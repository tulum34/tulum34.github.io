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lumbiabusiness-my.sharepoint.com/personal/mt4011_gsb_columbia_edu/Documents/Sync Documents/"/>
    </mc:Choice>
  </mc:AlternateContent>
  <xr:revisionPtr revIDLastSave="35" documentId="8_{477F046B-86BE-4A0F-A6C2-B9AC390A96B8}" xr6:coauthVersionLast="47" xr6:coauthVersionMax="47" xr10:uidLastSave="{BF1599A0-12E0-4C71-84D4-A1DE1F9C2309}"/>
  <bookViews>
    <workbookView xWindow="-120" yWindow="-120" windowWidth="29040" windowHeight="15720" xr2:uid="{00000000-000D-0000-FFFF-FFFF00000000}"/>
  </bookViews>
  <sheets>
    <sheet name="Yatırım Dökümü " sheetId="1" r:id="rId1"/>
    <sheet name="Yatırım Dökümü Hisse Sened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65" i="1" l="1"/>
  <c r="V133" i="2" a="1"/>
  <c r="V133" i="2" s="1"/>
  <c r="U133" i="2" a="1"/>
  <c r="U133" i="2" s="1"/>
  <c r="V132" i="2" a="1"/>
  <c r="V132" i="2" s="1"/>
  <c r="U132" i="2" a="1"/>
  <c r="U132" i="2" s="1"/>
  <c r="V131" i="2" a="1"/>
  <c r="V131" i="2"/>
  <c r="U131" i="2" a="1"/>
  <c r="U131" i="2"/>
  <c r="V130" i="2" a="1"/>
  <c r="V130" i="2" s="1"/>
  <c r="U130" i="2" a="1"/>
  <c r="U130" i="2" s="1"/>
  <c r="V129" i="2" a="1"/>
  <c r="V129" i="2" s="1"/>
  <c r="U129" i="2" a="1"/>
  <c r="U129" i="2" s="1"/>
  <c r="V128" i="2" a="1"/>
  <c r="V128" i="2"/>
  <c r="U128" i="2" a="1"/>
  <c r="U128" i="2" s="1"/>
  <c r="V127" i="2" a="1"/>
  <c r="V127" i="2"/>
  <c r="U127" i="2" a="1"/>
  <c r="U127" i="2"/>
  <c r="V126" i="2" a="1"/>
  <c r="V126" i="2"/>
  <c r="U126" i="2" a="1"/>
  <c r="U126" i="2" s="1"/>
  <c r="V125" i="2" a="1"/>
  <c r="V125" i="2" s="1"/>
  <c r="U125" i="2" a="1"/>
  <c r="U125" i="2" s="1"/>
  <c r="V124" i="2" a="1"/>
  <c r="V124" i="2" s="1"/>
  <c r="U124" i="2" a="1"/>
  <c r="U124" i="2" s="1"/>
  <c r="M104" i="2" a="1"/>
  <c r="M104" i="2" s="1"/>
  <c r="O103" i="2" a="1"/>
  <c r="O103" i="2" s="1"/>
  <c r="L103" i="2" a="1"/>
  <c r="L103" i="2" s="1"/>
  <c r="J103" i="2" a="1"/>
  <c r="J103" i="2" s="1"/>
  <c r="I103" i="2" a="1"/>
  <c r="I103" i="2"/>
  <c r="K103" i="2" s="1" a="1"/>
  <c r="K103" i="2" s="1"/>
  <c r="N103" i="2" s="1" a="1"/>
  <c r="N103" i="2" s="1"/>
  <c r="F103" i="2" a="1"/>
  <c r="F103" i="2"/>
  <c r="E103" i="2" a="1"/>
  <c r="E103" i="2" s="1"/>
  <c r="L102" i="2" a="1"/>
  <c r="L102" i="2" s="1"/>
  <c r="J102" i="2" a="1"/>
  <c r="J102" i="2" s="1"/>
  <c r="I102" i="2" a="1"/>
  <c r="I102" i="2" s="1"/>
  <c r="K102" i="2" s="1" a="1"/>
  <c r="K102" i="2" s="1"/>
  <c r="N102" i="2" s="1" a="1"/>
  <c r="N102" i="2" s="1"/>
  <c r="F102" i="2" a="1"/>
  <c r="F102" i="2"/>
  <c r="E102" i="2" a="1"/>
  <c r="E102" i="2" s="1"/>
  <c r="L101" i="2" a="1"/>
  <c r="L101" i="2" s="1"/>
  <c r="J101" i="2" a="1"/>
  <c r="J101" i="2" s="1"/>
  <c r="I101" i="2" a="1"/>
  <c r="I101" i="2" s="1"/>
  <c r="K101" i="2" s="1" a="1"/>
  <c r="K101" i="2" s="1"/>
  <c r="N101" i="2" s="1" a="1"/>
  <c r="N101" i="2" s="1"/>
  <c r="F101" i="2" a="1"/>
  <c r="F101" i="2" s="1"/>
  <c r="E101" i="2" a="1"/>
  <c r="E101" i="2"/>
  <c r="L100" i="2" a="1"/>
  <c r="L100" i="2"/>
  <c r="J100" i="2" a="1"/>
  <c r="J100" i="2" s="1"/>
  <c r="I100" i="2" a="1"/>
  <c r="I100" i="2" s="1"/>
  <c r="K100" i="2" s="1" a="1"/>
  <c r="K100" i="2" s="1"/>
  <c r="N100" i="2" s="1" a="1"/>
  <c r="N100" i="2" s="1"/>
  <c r="F100" i="2" a="1"/>
  <c r="F100" i="2" s="1"/>
  <c r="E100" i="2" a="1"/>
  <c r="E100" i="2" s="1"/>
  <c r="N99" i="2" a="1"/>
  <c r="N99" i="2" s="1"/>
  <c r="L99" i="2" a="1"/>
  <c r="L99" i="2"/>
  <c r="J99" i="2" a="1"/>
  <c r="J99" i="2" s="1"/>
  <c r="I99" i="2" a="1"/>
  <c r="I99" i="2"/>
  <c r="K99" i="2" s="1" a="1"/>
  <c r="K99" i="2" s="1"/>
  <c r="F99" i="2" a="1"/>
  <c r="F99" i="2" s="1"/>
  <c r="E99" i="2" a="1"/>
  <c r="E99" i="2" s="1"/>
  <c r="L98" i="2" a="1"/>
  <c r="L98" i="2" s="1"/>
  <c r="O98" i="2" s="1" a="1"/>
  <c r="O98" i="2" s="1"/>
  <c r="J98" i="2" a="1"/>
  <c r="J98" i="2" s="1"/>
  <c r="I98" i="2" a="1"/>
  <c r="I98" i="2" s="1"/>
  <c r="K98" i="2" s="1" a="1"/>
  <c r="K98" i="2" s="1"/>
  <c r="N98" i="2" s="1" a="1"/>
  <c r="N98" i="2" s="1"/>
  <c r="F98" i="2" a="1"/>
  <c r="F98" i="2"/>
  <c r="E98" i="2" a="1"/>
  <c r="E98" i="2" s="1"/>
  <c r="L97" i="2" a="1"/>
  <c r="L97" i="2"/>
  <c r="J97" i="2" a="1"/>
  <c r="J97" i="2" s="1"/>
  <c r="I97" i="2" a="1"/>
  <c r="I97" i="2" s="1"/>
  <c r="K97" i="2" s="1" a="1"/>
  <c r="K97" i="2" s="1"/>
  <c r="F97" i="2" a="1"/>
  <c r="F97" i="2" s="1"/>
  <c r="E97" i="2" a="1"/>
  <c r="E97" i="2"/>
  <c r="L96" i="2" a="1"/>
  <c r="L96" i="2"/>
  <c r="J96" i="2" a="1"/>
  <c r="J96" i="2" s="1"/>
  <c r="I96" i="2" a="1"/>
  <c r="I96" i="2" s="1"/>
  <c r="K96" i="2" s="1" a="1"/>
  <c r="K96" i="2" s="1"/>
  <c r="N96" i="2" s="1" a="1"/>
  <c r="N96" i="2" s="1"/>
  <c r="F96" i="2" a="1"/>
  <c r="F96" i="2" s="1"/>
  <c r="E96" i="2" a="1"/>
  <c r="E96" i="2" s="1"/>
  <c r="L95" i="2" a="1"/>
  <c r="L95" i="2"/>
  <c r="K95" i="2"/>
  <c r="N95" i="2" s="1" a="1"/>
  <c r="N95" i="2" s="1"/>
  <c r="J95" i="2" a="1"/>
  <c r="J95" i="2" s="1"/>
  <c r="I95" i="2" a="1"/>
  <c r="I95" i="2"/>
  <c r="K95" i="2" s="1" a="1"/>
  <c r="F95" i="2" a="1"/>
  <c r="F95" i="2" s="1"/>
  <c r="E95" i="2" a="1"/>
  <c r="E95" i="2" s="1"/>
  <c r="L94" i="2" a="1"/>
  <c r="L94" i="2"/>
  <c r="O94" i="2" s="1" a="1"/>
  <c r="O94" i="2" s="1"/>
  <c r="J94" i="2" a="1"/>
  <c r="J94" i="2" s="1"/>
  <c r="I94" i="2" a="1"/>
  <c r="I94" i="2" s="1"/>
  <c r="K94" i="2" s="1" a="1"/>
  <c r="K94" i="2" s="1"/>
  <c r="N94" i="2" s="1" a="1"/>
  <c r="N94" i="2" s="1"/>
  <c r="F94" i="2" a="1"/>
  <c r="F94" i="2"/>
  <c r="E94" i="2" a="1"/>
  <c r="E94" i="2" s="1"/>
  <c r="L93" i="2" a="1"/>
  <c r="L93" i="2"/>
  <c r="K93" i="2" a="1"/>
  <c r="K93" i="2" s="1"/>
  <c r="J93" i="2" a="1"/>
  <c r="J93" i="2" s="1"/>
  <c r="I93" i="2" a="1"/>
  <c r="I93" i="2" s="1"/>
  <c r="F93" i="2" a="1"/>
  <c r="F93" i="2" s="1"/>
  <c r="E93" i="2" a="1"/>
  <c r="E93" i="2"/>
  <c r="O92" i="2" a="1"/>
  <c r="O92" i="2" s="1"/>
  <c r="L92" i="2" a="1"/>
  <c r="L92" i="2"/>
  <c r="J92" i="2" a="1"/>
  <c r="J92" i="2" s="1"/>
  <c r="I92" i="2" a="1"/>
  <c r="I92" i="2" s="1"/>
  <c r="K92" i="2" s="1" a="1"/>
  <c r="K92" i="2" s="1"/>
  <c r="N92" i="2" s="1" a="1"/>
  <c r="N92" i="2" s="1"/>
  <c r="F92" i="2" a="1"/>
  <c r="F92" i="2" s="1"/>
  <c r="E92" i="2" a="1"/>
  <c r="E92" i="2" s="1"/>
  <c r="L91" i="2" a="1"/>
  <c r="L91" i="2"/>
  <c r="J91" i="2" a="1"/>
  <c r="J91" i="2" s="1"/>
  <c r="I91" i="2" a="1"/>
  <c r="I91" i="2"/>
  <c r="K91" i="2" s="1" a="1"/>
  <c r="K91" i="2" s="1"/>
  <c r="N91" i="2" s="1" a="1"/>
  <c r="N91" i="2" s="1"/>
  <c r="F91" i="2" a="1"/>
  <c r="F91" i="2" s="1"/>
  <c r="E91" i="2" a="1"/>
  <c r="E91" i="2" s="1"/>
  <c r="L90" i="2" a="1"/>
  <c r="L90" i="2" s="1"/>
  <c r="O90" i="2" s="1" a="1"/>
  <c r="O90" i="2" s="1"/>
  <c r="J90" i="2" a="1"/>
  <c r="J90" i="2" s="1"/>
  <c r="I90" i="2" a="1"/>
  <c r="I90" i="2" s="1"/>
  <c r="K90" i="2" s="1" a="1"/>
  <c r="K90" i="2" s="1"/>
  <c r="N90" i="2" s="1" a="1"/>
  <c r="N90" i="2" s="1"/>
  <c r="F90" i="2" a="1"/>
  <c r="F90" i="2"/>
  <c r="E90" i="2" a="1"/>
  <c r="E90" i="2" s="1"/>
  <c r="L89" i="2" a="1"/>
  <c r="L89" i="2"/>
  <c r="J89" i="2" a="1"/>
  <c r="J89" i="2" s="1"/>
  <c r="I89" i="2" a="1"/>
  <c r="I89" i="2" s="1"/>
  <c r="K89" i="2" s="1" a="1"/>
  <c r="K89" i="2" s="1"/>
  <c r="F89" i="2" a="1"/>
  <c r="F89" i="2" s="1"/>
  <c r="E89" i="2" a="1"/>
  <c r="E89" i="2"/>
  <c r="N88" i="2" a="1"/>
  <c r="N88" i="2" s="1"/>
  <c r="O87" i="2" a="1"/>
  <c r="O87" i="2"/>
  <c r="L87" i="2" a="1"/>
  <c r="L87" i="2" s="1"/>
  <c r="J87" i="2" a="1"/>
  <c r="J87" i="2" s="1"/>
  <c r="I87" i="2" a="1"/>
  <c r="I87" i="2" s="1"/>
  <c r="K87" i="2" s="1" a="1"/>
  <c r="K87" i="2" s="1"/>
  <c r="N87" i="2" s="1" a="1"/>
  <c r="N87" i="2" s="1"/>
  <c r="F87" i="2" a="1"/>
  <c r="F87" i="2" s="1"/>
  <c r="E87" i="2" a="1"/>
  <c r="E87" i="2"/>
  <c r="L86" i="2" a="1"/>
  <c r="L86" i="2" s="1"/>
  <c r="J86" i="2" a="1"/>
  <c r="J86" i="2" s="1"/>
  <c r="I86" i="2" a="1"/>
  <c r="I86" i="2" s="1"/>
  <c r="F86" i="2" a="1"/>
  <c r="F86" i="2" s="1"/>
  <c r="E86" i="2" a="1"/>
  <c r="E86" i="2"/>
  <c r="L85" i="2" a="1"/>
  <c r="L85" i="2" s="1"/>
  <c r="K85" i="2" a="1"/>
  <c r="K85" i="2" s="1"/>
  <c r="J85" i="2" a="1"/>
  <c r="J85" i="2"/>
  <c r="I85" i="2" a="1"/>
  <c r="I85" i="2" s="1"/>
  <c r="F85" i="2" a="1"/>
  <c r="F85" i="2" s="1"/>
  <c r="E85" i="2" a="1"/>
  <c r="E85" i="2"/>
  <c r="L84" i="2" a="1"/>
  <c r="L84" i="2" s="1"/>
  <c r="J84" i="2" a="1"/>
  <c r="J84" i="2" s="1"/>
  <c r="I84" i="2" a="1"/>
  <c r="I84" i="2"/>
  <c r="F84" i="2" a="1"/>
  <c r="F84" i="2" s="1"/>
  <c r="E84" i="2" a="1"/>
  <c r="E84" i="2"/>
  <c r="L83" i="2" a="1"/>
  <c r="L83" i="2" s="1"/>
  <c r="O83" i="2" s="1" a="1"/>
  <c r="O83" i="2" s="1"/>
  <c r="K83" i="2" a="1"/>
  <c r="K83" i="2" s="1"/>
  <c r="N83" i="2" s="1" a="1"/>
  <c r="N83" i="2" s="1"/>
  <c r="J83" i="2" a="1"/>
  <c r="J83" i="2" s="1"/>
  <c r="I83" i="2" a="1"/>
  <c r="I83" i="2" s="1"/>
  <c r="F83" i="2" a="1"/>
  <c r="F83" i="2" s="1"/>
  <c r="E83" i="2" a="1"/>
  <c r="E83" i="2" s="1"/>
  <c r="N82" i="2"/>
  <c r="L82" i="2" a="1"/>
  <c r="L82" i="2" s="1"/>
  <c r="O82" i="2" s="1" a="1"/>
  <c r="O82" i="2" s="1"/>
  <c r="K82" i="2"/>
  <c r="N82" i="2" s="1" a="1"/>
  <c r="J82" i="2" a="1"/>
  <c r="J82" i="2" s="1"/>
  <c r="I82" i="2" a="1"/>
  <c r="I82" i="2" s="1"/>
  <c r="K82" i="2" s="1" a="1"/>
  <c r="F82" i="2" a="1"/>
  <c r="F82" i="2" s="1"/>
  <c r="E82" i="2" a="1"/>
  <c r="E82" i="2"/>
  <c r="O81" i="2" a="1"/>
  <c r="O81" i="2" s="1"/>
  <c r="L81" i="2" a="1"/>
  <c r="L81" i="2" s="1"/>
  <c r="J81" i="2" a="1"/>
  <c r="J81" i="2"/>
  <c r="I81" i="2" a="1"/>
  <c r="I81" i="2" s="1"/>
  <c r="K81" i="2" s="1" a="1"/>
  <c r="K81" i="2" s="1"/>
  <c r="N81" i="2" s="1" a="1"/>
  <c r="N81" i="2" s="1"/>
  <c r="F81" i="2" a="1"/>
  <c r="F81" i="2" s="1"/>
  <c r="E81" i="2" a="1"/>
  <c r="E81" i="2"/>
  <c r="N80" i="2" a="1"/>
  <c r="N80" i="2" s="1"/>
  <c r="L80" i="2" a="1"/>
  <c r="L80" i="2" s="1"/>
  <c r="J80" i="2" a="1"/>
  <c r="J80" i="2" s="1"/>
  <c r="I80" i="2" a="1"/>
  <c r="I80" i="2"/>
  <c r="K80" i="2" s="1" a="1"/>
  <c r="K80" i="2" s="1"/>
  <c r="F80" i="2" a="1"/>
  <c r="F80" i="2" s="1"/>
  <c r="E80" i="2" a="1"/>
  <c r="E80" i="2"/>
  <c r="L79" i="2" a="1"/>
  <c r="L79" i="2" s="1"/>
  <c r="J79" i="2" a="1"/>
  <c r="J79" i="2" s="1"/>
  <c r="I79" i="2" a="1"/>
  <c r="I79" i="2" s="1"/>
  <c r="K79" i="2" s="1" a="1"/>
  <c r="K79" i="2" s="1"/>
  <c r="N79" i="2" s="1" a="1"/>
  <c r="N79" i="2" s="1"/>
  <c r="F79" i="2" a="1"/>
  <c r="F79" i="2" s="1"/>
  <c r="E79" i="2" a="1"/>
  <c r="E79" i="2" s="1"/>
  <c r="L78" i="2" a="1"/>
  <c r="L78" i="2" s="1"/>
  <c r="J78" i="2" a="1"/>
  <c r="J78" i="2"/>
  <c r="I78" i="2" a="1"/>
  <c r="I78" i="2" s="1"/>
  <c r="K78" i="2" s="1" a="1"/>
  <c r="K78" i="2" s="1"/>
  <c r="F78" i="2" a="1"/>
  <c r="F78" i="2" s="1"/>
  <c r="E78" i="2" a="1"/>
  <c r="E78" i="2"/>
  <c r="L77" i="2" a="1"/>
  <c r="L77" i="2" s="1"/>
  <c r="K77" i="2" a="1"/>
  <c r="K77" i="2" s="1"/>
  <c r="O77" i="2" s="1" a="1"/>
  <c r="O77" i="2" s="1"/>
  <c r="J77" i="2" a="1"/>
  <c r="J77" i="2"/>
  <c r="I77" i="2" a="1"/>
  <c r="I77" i="2"/>
  <c r="F77" i="2" a="1"/>
  <c r="F77" i="2" s="1"/>
  <c r="E77" i="2" a="1"/>
  <c r="E77" i="2"/>
  <c r="L76" i="2" a="1"/>
  <c r="L76" i="2" s="1"/>
  <c r="J76" i="2" a="1"/>
  <c r="J76" i="2" s="1"/>
  <c r="I76" i="2" a="1"/>
  <c r="I76" i="2"/>
  <c r="K76" i="2" s="1" a="1"/>
  <c r="K76" i="2" s="1"/>
  <c r="N76" i="2" s="1" a="1"/>
  <c r="N76" i="2" s="1"/>
  <c r="F76" i="2" a="1"/>
  <c r="F76" i="2" s="1"/>
  <c r="E76" i="2" a="1"/>
  <c r="E76" i="2" s="1"/>
  <c r="L75" i="2" a="1"/>
  <c r="L75" i="2" s="1"/>
  <c r="J75" i="2" a="1"/>
  <c r="J75" i="2" s="1"/>
  <c r="I75" i="2" a="1"/>
  <c r="I75" i="2" s="1"/>
  <c r="K75" i="2" s="1" a="1"/>
  <c r="K75" i="2" s="1"/>
  <c r="N75" i="2" s="1" a="1"/>
  <c r="N75" i="2" s="1"/>
  <c r="F75" i="2" a="1"/>
  <c r="F75" i="2" s="1"/>
  <c r="E75" i="2" a="1"/>
  <c r="E75" i="2"/>
  <c r="L74" i="2" a="1"/>
  <c r="L74" i="2" s="1"/>
  <c r="J74" i="2" a="1"/>
  <c r="J74" i="2" s="1"/>
  <c r="I74" i="2" a="1"/>
  <c r="I74" i="2" s="1"/>
  <c r="F74" i="2" a="1"/>
  <c r="F74" i="2" s="1"/>
  <c r="E74" i="2" a="1"/>
  <c r="E74" i="2"/>
  <c r="O73" i="2" a="1"/>
  <c r="O73" i="2" s="1"/>
  <c r="L73" i="2" a="1"/>
  <c r="L73" i="2" s="1"/>
  <c r="J73" i="2" a="1"/>
  <c r="J73" i="2"/>
  <c r="I73" i="2" a="1"/>
  <c r="I73" i="2"/>
  <c r="K73" i="2" s="1" a="1"/>
  <c r="K73" i="2" s="1"/>
  <c r="N73" i="2" s="1" a="1"/>
  <c r="N73" i="2" s="1"/>
  <c r="F73" i="2" a="1"/>
  <c r="F73" i="2" s="1"/>
  <c r="E73" i="2" a="1"/>
  <c r="E73" i="2"/>
  <c r="L72" i="2" a="1"/>
  <c r="L72" i="2" s="1"/>
  <c r="K72" i="2" a="1"/>
  <c r="K72" i="2" s="1"/>
  <c r="N72" i="2" s="1" a="1"/>
  <c r="N72" i="2" s="1"/>
  <c r="J72" i="2" a="1"/>
  <c r="J72" i="2" s="1"/>
  <c r="I72" i="2" a="1"/>
  <c r="I72" i="2"/>
  <c r="F72" i="2" a="1"/>
  <c r="F72" i="2" s="1"/>
  <c r="E72" i="2" a="1"/>
  <c r="E72" i="2" s="1"/>
  <c r="L71" i="2" a="1"/>
  <c r="L71" i="2" s="1"/>
  <c r="K71" i="2" a="1"/>
  <c r="K71" i="2" s="1"/>
  <c r="N71" i="2" s="1" a="1"/>
  <c r="N71" i="2" s="1"/>
  <c r="J71" i="2" a="1"/>
  <c r="J71" i="2" s="1"/>
  <c r="I71" i="2" a="1"/>
  <c r="I71" i="2" s="1"/>
  <c r="F71" i="2" a="1"/>
  <c r="F71" i="2" s="1"/>
  <c r="E71" i="2" a="1"/>
  <c r="E71" i="2" s="1"/>
  <c r="L70" i="2" a="1"/>
  <c r="L70" i="2" s="1"/>
  <c r="J70" i="2" a="1"/>
  <c r="J70" i="2" s="1"/>
  <c r="I70" i="2" a="1"/>
  <c r="I70" i="2" s="1"/>
  <c r="F70" i="2" a="1"/>
  <c r="F70" i="2" s="1"/>
  <c r="E70" i="2" a="1"/>
  <c r="E70" i="2"/>
  <c r="L69" i="2" a="1"/>
  <c r="L69" i="2" s="1"/>
  <c r="K69" i="2" a="1"/>
  <c r="K69" i="2" s="1"/>
  <c r="J69" i="2" a="1"/>
  <c r="J69" i="2"/>
  <c r="I69" i="2" a="1"/>
  <c r="I69" i="2"/>
  <c r="F69" i="2" a="1"/>
  <c r="F69" i="2" s="1"/>
  <c r="E69" i="2" a="1"/>
  <c r="E69" i="2"/>
  <c r="N68" i="2" a="1"/>
  <c r="N68" i="2" s="1"/>
  <c r="L68" i="2" a="1"/>
  <c r="L68" i="2" s="1"/>
  <c r="J68" i="2" a="1"/>
  <c r="J68" i="2" s="1"/>
  <c r="I68" i="2" a="1"/>
  <c r="I68" i="2"/>
  <c r="K68" i="2" s="1" a="1"/>
  <c r="K68" i="2" s="1"/>
  <c r="F68" i="2" a="1"/>
  <c r="F68" i="2" s="1"/>
  <c r="E68" i="2" a="1"/>
  <c r="E68" i="2"/>
  <c r="L67" i="2" a="1"/>
  <c r="L67" i="2" s="1"/>
  <c r="J67" i="2" a="1"/>
  <c r="J67" i="2" s="1"/>
  <c r="I67" i="2" a="1"/>
  <c r="I67" i="2" s="1"/>
  <c r="K67" i="2" s="1" a="1"/>
  <c r="K67" i="2" s="1"/>
  <c r="N67" i="2" s="1" a="1"/>
  <c r="N67" i="2" s="1"/>
  <c r="F67" i="2" a="1"/>
  <c r="F67" i="2" s="1"/>
  <c r="E67" i="2" a="1"/>
  <c r="E67" i="2" s="1"/>
  <c r="L66" i="2" a="1"/>
  <c r="L66" i="2" s="1"/>
  <c r="J66" i="2" a="1"/>
  <c r="J66" i="2"/>
  <c r="I66" i="2" a="1"/>
  <c r="I66" i="2" s="1"/>
  <c r="F66" i="2" a="1"/>
  <c r="F66" i="2" s="1"/>
  <c r="E66" i="2" a="1"/>
  <c r="E66" i="2"/>
  <c r="L65" i="2" a="1"/>
  <c r="L65" i="2" s="1"/>
  <c r="J65" i="2" a="1"/>
  <c r="J65" i="2"/>
  <c r="I65" i="2" a="1"/>
  <c r="I65" i="2" s="1"/>
  <c r="K65" i="2" s="1" a="1"/>
  <c r="K65" i="2" s="1"/>
  <c r="F65" i="2" a="1"/>
  <c r="F65" i="2" s="1"/>
  <c r="E65" i="2" a="1"/>
  <c r="E65" i="2"/>
  <c r="L64" i="2" a="1"/>
  <c r="L64" i="2" s="1"/>
  <c r="J64" i="2" a="1"/>
  <c r="J64" i="2" s="1"/>
  <c r="I64" i="2" a="1"/>
  <c r="I64" i="2"/>
  <c r="K64" i="2" s="1" a="1"/>
  <c r="K64" i="2" s="1"/>
  <c r="N64" i="2" s="1" a="1"/>
  <c r="N64" i="2" s="1"/>
  <c r="F64" i="2" a="1"/>
  <c r="F64" i="2"/>
  <c r="E64" i="2" a="1"/>
  <c r="E64" i="2" s="1"/>
  <c r="L63" i="2" a="1"/>
  <c r="L63" i="2"/>
  <c r="K63" i="2" a="1"/>
  <c r="K63" i="2" s="1"/>
  <c r="N63" i="2" s="1" a="1"/>
  <c r="N63" i="2" s="1"/>
  <c r="J63" i="2" a="1"/>
  <c r="J63" i="2" s="1"/>
  <c r="I63" i="2" a="1"/>
  <c r="I63" i="2"/>
  <c r="F63" i="2" a="1"/>
  <c r="F63" i="2" s="1"/>
  <c r="E63" i="2" a="1"/>
  <c r="E63" i="2" s="1"/>
  <c r="L62" i="2" a="1"/>
  <c r="L62" i="2" s="1"/>
  <c r="O62" i="2" s="1" a="1"/>
  <c r="O62" i="2" s="1"/>
  <c r="J62" i="2" a="1"/>
  <c r="J62" i="2" s="1"/>
  <c r="I62" i="2" a="1"/>
  <c r="I62" i="2"/>
  <c r="K62" i="2" s="1" a="1"/>
  <c r="K62" i="2" s="1"/>
  <c r="N62" i="2" s="1" a="1"/>
  <c r="N62" i="2" s="1"/>
  <c r="F62" i="2" a="1"/>
  <c r="F62" i="2" s="1"/>
  <c r="E62" i="2" a="1"/>
  <c r="E62" i="2" s="1"/>
  <c r="L61" i="2" a="1"/>
  <c r="L61" i="2"/>
  <c r="K61" i="2" a="1"/>
  <c r="K61" i="2" s="1"/>
  <c r="N61" i="2" s="1" a="1"/>
  <c r="N61" i="2" s="1"/>
  <c r="J61" i="2" a="1"/>
  <c r="J61" i="2" s="1"/>
  <c r="I61" i="2" a="1"/>
  <c r="I61" i="2" s="1"/>
  <c r="F61" i="2" a="1"/>
  <c r="F61" i="2" s="1"/>
  <c r="E61" i="2" a="1"/>
  <c r="E61" i="2" s="1"/>
  <c r="L60" i="2" a="1"/>
  <c r="L60" i="2" s="1"/>
  <c r="O60" i="2" s="1" a="1"/>
  <c r="O60" i="2" s="1"/>
  <c r="J60" i="2" a="1"/>
  <c r="J60" i="2" s="1"/>
  <c r="I60" i="2" a="1"/>
  <c r="I60" i="2"/>
  <c r="K60" i="2" s="1" a="1"/>
  <c r="K60" i="2" s="1"/>
  <c r="N60" i="2" s="1" a="1"/>
  <c r="N60" i="2" s="1"/>
  <c r="F60" i="2" a="1"/>
  <c r="F60" i="2" s="1"/>
  <c r="E60" i="2" a="1"/>
  <c r="E60" i="2" s="1"/>
  <c r="L59" i="2" a="1"/>
  <c r="L59" i="2"/>
  <c r="J59" i="2" a="1"/>
  <c r="J59" i="2" s="1"/>
  <c r="I59" i="2" a="1"/>
  <c r="I59" i="2" s="1"/>
  <c r="K59" i="2" s="1" a="1"/>
  <c r="K59" i="2" s="1"/>
  <c r="N59" i="2" s="1" a="1"/>
  <c r="N59" i="2" s="1"/>
  <c r="F59" i="2" a="1"/>
  <c r="F59" i="2" s="1"/>
  <c r="E59" i="2" a="1"/>
  <c r="E59" i="2" s="1"/>
  <c r="L58" i="2" a="1"/>
  <c r="L58" i="2" s="1"/>
  <c r="O58" i="2" s="1" a="1"/>
  <c r="O58" i="2" s="1"/>
  <c r="J58" i="2" a="1"/>
  <c r="J58" i="2" s="1"/>
  <c r="I58" i="2" a="1"/>
  <c r="I58" i="2"/>
  <c r="K58" i="2" s="1" a="1"/>
  <c r="K58" i="2" s="1"/>
  <c r="N58" i="2" s="1" a="1"/>
  <c r="N58" i="2" s="1"/>
  <c r="F58" i="2" a="1"/>
  <c r="F58" i="2" s="1"/>
  <c r="E58" i="2" a="1"/>
  <c r="E58" i="2" s="1"/>
  <c r="L57" i="2" a="1"/>
  <c r="L57" i="2" s="1"/>
  <c r="O57" i="2" s="1" a="1"/>
  <c r="O57" i="2" s="1"/>
  <c r="J57" i="2" a="1"/>
  <c r="J57" i="2" s="1"/>
  <c r="I57" i="2" a="1"/>
  <c r="I57" i="2" s="1"/>
  <c r="K57" i="2" s="1" a="1"/>
  <c r="K57" i="2" s="1"/>
  <c r="N57" i="2" s="1" a="1"/>
  <c r="N57" i="2" s="1"/>
  <c r="F57" i="2" a="1"/>
  <c r="F57" i="2"/>
  <c r="E57" i="2" a="1"/>
  <c r="E57" i="2" s="1"/>
  <c r="L56" i="2" a="1"/>
  <c r="L56" i="2"/>
  <c r="J56" i="2" a="1"/>
  <c r="J56" i="2" s="1"/>
  <c r="I56" i="2" a="1"/>
  <c r="I56" i="2" s="1"/>
  <c r="K56" i="2" s="1" a="1"/>
  <c r="K56" i="2" s="1"/>
  <c r="F56" i="2" a="1"/>
  <c r="F56" i="2" s="1"/>
  <c r="E56" i="2" a="1"/>
  <c r="E56" i="2"/>
  <c r="L55" i="2" a="1"/>
  <c r="L55" i="2"/>
  <c r="J55" i="2" a="1"/>
  <c r="J55" i="2" s="1"/>
  <c r="I55" i="2" a="1"/>
  <c r="I55" i="2" s="1"/>
  <c r="F55" i="2" a="1"/>
  <c r="F55" i="2" s="1"/>
  <c r="E55" i="2" a="1"/>
  <c r="E55" i="2" s="1"/>
  <c r="N54" i="2" a="1"/>
  <c r="N54" i="2" s="1"/>
  <c r="L54" i="2" a="1"/>
  <c r="L54" i="2"/>
  <c r="J54" i="2" a="1"/>
  <c r="J54" i="2" s="1"/>
  <c r="I54" i="2" a="1"/>
  <c r="I54" i="2"/>
  <c r="K54" i="2" s="1" a="1"/>
  <c r="K54" i="2" s="1"/>
  <c r="F54" i="2" a="1"/>
  <c r="F54" i="2" s="1"/>
  <c r="E54" i="2" a="1"/>
  <c r="E54" i="2" s="1"/>
  <c r="L53" i="2" a="1"/>
  <c r="L53" i="2" s="1"/>
  <c r="O53" i="2" s="1" a="1"/>
  <c r="O53" i="2" s="1"/>
  <c r="J53" i="2" a="1"/>
  <c r="J53" i="2" s="1"/>
  <c r="I53" i="2" a="1"/>
  <c r="I53" i="2" s="1"/>
  <c r="K53" i="2" s="1" a="1"/>
  <c r="K53" i="2" s="1"/>
  <c r="N53" i="2" s="1" a="1"/>
  <c r="N53" i="2" s="1"/>
  <c r="F53" i="2" a="1"/>
  <c r="F53" i="2"/>
  <c r="E53" i="2" a="1"/>
  <c r="E53" i="2" s="1"/>
  <c r="L52" i="2" a="1"/>
  <c r="L52" i="2"/>
  <c r="J52" i="2" a="1"/>
  <c r="J52" i="2" s="1"/>
  <c r="I52" i="2" a="1"/>
  <c r="I52" i="2" s="1"/>
  <c r="K52" i="2" s="1" a="1"/>
  <c r="K52" i="2" s="1"/>
  <c r="F52" i="2" a="1"/>
  <c r="F52" i="2" s="1"/>
  <c r="E52" i="2" a="1"/>
  <c r="E52" i="2"/>
  <c r="L51" i="2" a="1"/>
  <c r="L51" i="2"/>
  <c r="J51" i="2" a="1"/>
  <c r="J51" i="2" s="1"/>
  <c r="I51" i="2" a="1"/>
  <c r="I51" i="2" s="1"/>
  <c r="K51" i="2" s="1" a="1"/>
  <c r="K51" i="2" s="1"/>
  <c r="F51" i="2" a="1"/>
  <c r="F51" i="2" s="1"/>
  <c r="E51" i="2" a="1"/>
  <c r="E51" i="2" s="1"/>
  <c r="L50" i="2" a="1"/>
  <c r="L50" i="2"/>
  <c r="J50" i="2" a="1"/>
  <c r="J50" i="2" s="1"/>
  <c r="I50" i="2" a="1"/>
  <c r="I50" i="2" s="1"/>
  <c r="K50" i="2" s="1" a="1"/>
  <c r="K50" i="2" s="1"/>
  <c r="N50" i="2" s="1" a="1"/>
  <c r="N50" i="2" s="1"/>
  <c r="F50" i="2" a="1"/>
  <c r="F50" i="2" s="1"/>
  <c r="E50" i="2" a="1"/>
  <c r="E50" i="2" s="1"/>
  <c r="L49" i="2" a="1"/>
  <c r="L49" i="2" s="1"/>
  <c r="O49" i="2" s="1" a="1"/>
  <c r="O49" i="2" s="1"/>
  <c r="J49" i="2" a="1"/>
  <c r="J49" i="2" s="1"/>
  <c r="I49" i="2" a="1"/>
  <c r="I49" i="2" s="1"/>
  <c r="K49" i="2" s="1" a="1"/>
  <c r="K49" i="2" s="1"/>
  <c r="N49" i="2" s="1" a="1"/>
  <c r="N49" i="2" s="1"/>
  <c r="F49" i="2" a="1"/>
  <c r="F49" i="2"/>
  <c r="E49" i="2" a="1"/>
  <c r="E49" i="2" s="1"/>
  <c r="L48" i="2" a="1"/>
  <c r="L48" i="2"/>
  <c r="O48" i="2" s="1" a="1"/>
  <c r="O48" i="2" s="1"/>
  <c r="J48" i="2" a="1"/>
  <c r="J48" i="2" s="1"/>
  <c r="I48" i="2" a="1"/>
  <c r="I48" i="2" s="1"/>
  <c r="K48" i="2" s="1" a="1"/>
  <c r="K48" i="2" s="1"/>
  <c r="N48" i="2" s="1" a="1"/>
  <c r="N48" i="2" s="1"/>
  <c r="F48" i="2" a="1"/>
  <c r="F48" i="2" s="1"/>
  <c r="E48" i="2" a="1"/>
  <c r="E48" i="2" s="1"/>
  <c r="L47" i="2" a="1"/>
  <c r="L47" i="2"/>
  <c r="J47" i="2" a="1"/>
  <c r="J47" i="2" s="1"/>
  <c r="I47" i="2" a="1"/>
  <c r="I47" i="2" s="1"/>
  <c r="K47" i="2" s="1" a="1"/>
  <c r="K47" i="2" s="1"/>
  <c r="N47" i="2" s="1" a="1"/>
  <c r="N47" i="2" s="1"/>
  <c r="F47" i="2" a="1"/>
  <c r="F47" i="2" s="1"/>
  <c r="E47" i="2" a="1"/>
  <c r="E47" i="2" s="1"/>
  <c r="L46" i="2" a="1"/>
  <c r="L46" i="2" s="1"/>
  <c r="J46" i="2" a="1"/>
  <c r="J46" i="2" s="1"/>
  <c r="I46" i="2" a="1"/>
  <c r="I46" i="2" s="1"/>
  <c r="K46" i="2" s="1" a="1"/>
  <c r="K46" i="2" s="1"/>
  <c r="N46" i="2" s="1" a="1"/>
  <c r="N46" i="2" s="1"/>
  <c r="F46" i="2" a="1"/>
  <c r="F46" i="2" s="1"/>
  <c r="E46" i="2" a="1"/>
  <c r="E46" i="2" s="1"/>
  <c r="L45" i="2" a="1"/>
  <c r="L45" i="2" s="1"/>
  <c r="O45" i="2" s="1" a="1"/>
  <c r="O45" i="2" s="1"/>
  <c r="J45" i="2" a="1"/>
  <c r="J45" i="2"/>
  <c r="I45" i="2" a="1"/>
  <c r="I45" i="2" s="1"/>
  <c r="K45" i="2" s="1" a="1"/>
  <c r="K45" i="2" s="1"/>
  <c r="N45" i="2" s="1" a="1"/>
  <c r="N45" i="2" s="1"/>
  <c r="F45" i="2" a="1"/>
  <c r="F45" i="2" s="1"/>
  <c r="E45" i="2" a="1"/>
  <c r="E45" i="2"/>
  <c r="L44" i="2" a="1"/>
  <c r="L44" i="2" s="1"/>
  <c r="O44" i="2" s="1" a="1"/>
  <c r="O44" i="2" s="1"/>
  <c r="J44" i="2" a="1"/>
  <c r="J44" i="2" s="1"/>
  <c r="K44" i="2" s="1" a="1"/>
  <c r="K44" i="2" s="1"/>
  <c r="N44" i="2" s="1" a="1"/>
  <c r="N44" i="2" s="1"/>
  <c r="I44" i="2" a="1"/>
  <c r="I44" i="2"/>
  <c r="F44" i="2" a="1"/>
  <c r="F44" i="2" s="1"/>
  <c r="E44" i="2" a="1"/>
  <c r="E44" i="2"/>
  <c r="L43" i="2" a="1"/>
  <c r="L43" i="2" s="1"/>
  <c r="J43" i="2" a="1"/>
  <c r="J43" i="2" s="1"/>
  <c r="I43" i="2" a="1"/>
  <c r="I43" i="2" s="1"/>
  <c r="F43" i="2" a="1"/>
  <c r="F43" i="2" s="1"/>
  <c r="E43" i="2" a="1"/>
  <c r="E43" i="2"/>
  <c r="O42" i="2" a="1"/>
  <c r="O42" i="2"/>
  <c r="L42" i="2" a="1"/>
  <c r="L42" i="2" s="1"/>
  <c r="J42" i="2" a="1"/>
  <c r="J42" i="2" s="1"/>
  <c r="I42" i="2" a="1"/>
  <c r="I42" i="2" s="1"/>
  <c r="F42" i="2" a="1"/>
  <c r="F42" i="2" s="1"/>
  <c r="E42" i="2" a="1"/>
  <c r="E42" i="2" s="1"/>
  <c r="O41" i="2" a="1"/>
  <c r="O41" i="2"/>
  <c r="L41" i="2" a="1"/>
  <c r="L41" i="2" s="1"/>
  <c r="J41" i="2" a="1"/>
  <c r="J41" i="2" s="1"/>
  <c r="I41" i="2" a="1"/>
  <c r="I41" i="2" s="1"/>
  <c r="F41" i="2" a="1"/>
  <c r="F41" i="2"/>
  <c r="E41" i="2" a="1"/>
  <c r="E41" i="2" s="1"/>
  <c r="L40" i="2" a="1"/>
  <c r="L40" i="2" s="1"/>
  <c r="O40" i="2" s="1" a="1"/>
  <c r="O40" i="2" s="1"/>
  <c r="K40" i="2" a="1"/>
  <c r="K40" i="2" s="1"/>
  <c r="N40" i="2" s="1" a="1"/>
  <c r="N40" i="2" s="1"/>
  <c r="J40" i="2" a="1"/>
  <c r="J40" i="2"/>
  <c r="I40" i="2" a="1"/>
  <c r="I40" i="2" s="1"/>
  <c r="F40" i="2" a="1"/>
  <c r="F40" i="2"/>
  <c r="E40" i="2" a="1"/>
  <c r="E40" i="2"/>
  <c r="L39" i="2" a="1"/>
  <c r="L39" i="2" s="1"/>
  <c r="J39" i="2" a="1"/>
  <c r="J39" i="2" s="1"/>
  <c r="K39" i="2" s="1" a="1"/>
  <c r="K39" i="2" s="1"/>
  <c r="N39" i="2" s="1" a="1"/>
  <c r="N39" i="2" s="1"/>
  <c r="I39" i="2" a="1"/>
  <c r="I39" i="2" s="1"/>
  <c r="F39" i="2" a="1"/>
  <c r="F39" i="2"/>
  <c r="E39" i="2" a="1"/>
  <c r="E39" i="2"/>
  <c r="L38" i="2" a="1"/>
  <c r="L38" i="2"/>
  <c r="J38" i="2" a="1"/>
  <c r="J38" i="2" s="1"/>
  <c r="I38" i="2" a="1"/>
  <c r="I38" i="2" s="1"/>
  <c r="F38" i="2" a="1"/>
  <c r="F38" i="2" s="1"/>
  <c r="E38" i="2" a="1"/>
  <c r="E38" i="2"/>
  <c r="L37" i="2" a="1"/>
  <c r="L37" i="2" s="1"/>
  <c r="J37" i="2" a="1"/>
  <c r="J37" i="2" s="1"/>
  <c r="I37" i="2" a="1"/>
  <c r="I37" i="2" s="1"/>
  <c r="K37" i="2" s="1" a="1"/>
  <c r="K37" i="2" s="1"/>
  <c r="N37" i="2" s="1" a="1"/>
  <c r="N37" i="2" s="1"/>
  <c r="F37" i="2" a="1"/>
  <c r="F37" i="2"/>
  <c r="E37" i="2" a="1"/>
  <c r="E37" i="2" s="1"/>
  <c r="L36" i="2" a="1"/>
  <c r="L36" i="2" s="1"/>
  <c r="K36" i="2" a="1"/>
  <c r="K36" i="2" s="1"/>
  <c r="N36" i="2" s="1" a="1"/>
  <c r="N36" i="2" s="1"/>
  <c r="J36" i="2" a="1"/>
  <c r="J36" i="2"/>
  <c r="I36" i="2" a="1"/>
  <c r="I36" i="2" s="1"/>
  <c r="F36" i="2" a="1"/>
  <c r="F36" i="2"/>
  <c r="E36" i="2" a="1"/>
  <c r="E36" i="2"/>
  <c r="L35" i="2" a="1"/>
  <c r="L35" i="2" s="1"/>
  <c r="J35" i="2" a="1"/>
  <c r="J35" i="2" s="1"/>
  <c r="K35" i="2" s="1" a="1"/>
  <c r="K35" i="2" s="1"/>
  <c r="N35" i="2" s="1" a="1"/>
  <c r="N35" i="2" s="1"/>
  <c r="I35" i="2" a="1"/>
  <c r="I35" i="2" s="1"/>
  <c r="F35" i="2" a="1"/>
  <c r="F35" i="2"/>
  <c r="E35" i="2" a="1"/>
  <c r="E35" i="2"/>
  <c r="L34" i="2" a="1"/>
  <c r="L34" i="2"/>
  <c r="J34" i="2" a="1"/>
  <c r="J34" i="2" s="1"/>
  <c r="I34" i="2" a="1"/>
  <c r="I34" i="2" s="1"/>
  <c r="K34" i="2" s="1" a="1"/>
  <c r="K34" i="2" s="1"/>
  <c r="F34" i="2" a="1"/>
  <c r="F34" i="2" s="1"/>
  <c r="E34" i="2" a="1"/>
  <c r="E34" i="2"/>
  <c r="L33" i="2" a="1"/>
  <c r="L33" i="2" s="1"/>
  <c r="J33" i="2" a="1"/>
  <c r="J33" i="2" s="1"/>
  <c r="I33" i="2" a="1"/>
  <c r="I33" i="2" s="1"/>
  <c r="K33" i="2" s="1" a="1"/>
  <c r="K33" i="2" s="1"/>
  <c r="N33" i="2" s="1" a="1"/>
  <c r="N33" i="2" s="1"/>
  <c r="F33" i="2" a="1"/>
  <c r="F33" i="2"/>
  <c r="E33" i="2" a="1"/>
  <c r="E33" i="2" s="1"/>
  <c r="L32" i="2" a="1"/>
  <c r="L32" i="2" s="1"/>
  <c r="O32" i="2" s="1" a="1"/>
  <c r="O32" i="2" s="1"/>
  <c r="K32" i="2" a="1"/>
  <c r="K32" i="2" s="1"/>
  <c r="N32" i="2" s="1" a="1"/>
  <c r="N32" i="2" s="1"/>
  <c r="J32" i="2" a="1"/>
  <c r="J32" i="2"/>
  <c r="I32" i="2" a="1"/>
  <c r="I32" i="2" s="1"/>
  <c r="F32" i="2" a="1"/>
  <c r="F32" i="2"/>
  <c r="E32" i="2" a="1"/>
  <c r="E32" i="2"/>
  <c r="L31" i="2" a="1"/>
  <c r="L31" i="2" s="1"/>
  <c r="J31" i="2" a="1"/>
  <c r="J31" i="2" s="1"/>
  <c r="K31" i="2" s="1" a="1"/>
  <c r="K31" i="2" s="1"/>
  <c r="N31" i="2" s="1" a="1"/>
  <c r="N31" i="2" s="1"/>
  <c r="I31" i="2" a="1"/>
  <c r="I31" i="2" s="1"/>
  <c r="F31" i="2" a="1"/>
  <c r="F31" i="2"/>
  <c r="E31" i="2" a="1"/>
  <c r="E31" i="2"/>
  <c r="L30" i="2" a="1"/>
  <c r="L30" i="2"/>
  <c r="J30" i="2" a="1"/>
  <c r="J30" i="2" s="1"/>
  <c r="I30" i="2" a="1"/>
  <c r="I30" i="2" s="1"/>
  <c r="K30" i="2" s="1" a="1"/>
  <c r="K30" i="2" s="1"/>
  <c r="F30" i="2" a="1"/>
  <c r="F30" i="2" s="1"/>
  <c r="E30" i="2" a="1"/>
  <c r="E30" i="2"/>
  <c r="L29" i="2" a="1"/>
  <c r="L29" i="2" s="1"/>
  <c r="J29" i="2" a="1"/>
  <c r="J29" i="2" s="1"/>
  <c r="I29" i="2" a="1"/>
  <c r="I29" i="2" s="1"/>
  <c r="K29" i="2" s="1" a="1"/>
  <c r="K29" i="2" s="1"/>
  <c r="N29" i="2" s="1" a="1"/>
  <c r="N29" i="2" s="1"/>
  <c r="F29" i="2" a="1"/>
  <c r="F29" i="2"/>
  <c r="E29" i="2" a="1"/>
  <c r="E29" i="2" s="1"/>
  <c r="L28" i="2" a="1"/>
  <c r="L28" i="2" s="1"/>
  <c r="J28" i="2" a="1"/>
  <c r="J28" i="2"/>
  <c r="I28" i="2" a="1"/>
  <c r="I28" i="2" s="1"/>
  <c r="K28" i="2" s="1" a="1"/>
  <c r="K28" i="2" s="1"/>
  <c r="N28" i="2" s="1" a="1"/>
  <c r="N28" i="2" s="1"/>
  <c r="F28" i="2" a="1"/>
  <c r="F28" i="2"/>
  <c r="E28" i="2" a="1"/>
  <c r="E28" i="2"/>
  <c r="L27" i="2" a="1"/>
  <c r="L27" i="2" s="1"/>
  <c r="J27" i="2" a="1"/>
  <c r="J27" i="2" s="1"/>
  <c r="K27" i="2" s="1" a="1"/>
  <c r="K27" i="2" s="1"/>
  <c r="N27" i="2" s="1" a="1"/>
  <c r="N27" i="2" s="1"/>
  <c r="I27" i="2" a="1"/>
  <c r="I27" i="2" s="1"/>
  <c r="F27" i="2" a="1"/>
  <c r="F27" i="2"/>
  <c r="E27" i="2" a="1"/>
  <c r="E27" i="2"/>
  <c r="L26" i="2" a="1"/>
  <c r="L26" i="2"/>
  <c r="K26" i="2" a="1"/>
  <c r="K26" i="2" s="1"/>
  <c r="J26" i="2" a="1"/>
  <c r="J26" i="2" s="1"/>
  <c r="I26" i="2" a="1"/>
  <c r="I26" i="2" s="1"/>
  <c r="F26" i="2" a="1"/>
  <c r="F26" i="2" s="1"/>
  <c r="E26" i="2" a="1"/>
  <c r="E26" i="2"/>
  <c r="L25" i="2" a="1"/>
  <c r="L25" i="2" s="1"/>
  <c r="O25" i="2" s="1" a="1"/>
  <c r="O25" i="2" s="1"/>
  <c r="J25" i="2" a="1"/>
  <c r="J25" i="2"/>
  <c r="I25" i="2" a="1"/>
  <c r="I25" i="2" s="1"/>
  <c r="K25" i="2" s="1" a="1"/>
  <c r="K25" i="2" s="1"/>
  <c r="N25" i="2" s="1" a="1"/>
  <c r="N25" i="2" s="1"/>
  <c r="F25" i="2" a="1"/>
  <c r="F25" i="2"/>
  <c r="E25" i="2" a="1"/>
  <c r="E25" i="2" s="1"/>
  <c r="L24" i="2" a="1"/>
  <c r="L24" i="2" s="1"/>
  <c r="J24" i="2" a="1"/>
  <c r="J24" i="2"/>
  <c r="I24" i="2" a="1"/>
  <c r="I24" i="2" s="1"/>
  <c r="K24" i="2" s="1" a="1"/>
  <c r="K24" i="2" s="1"/>
  <c r="N24" i="2" s="1" a="1"/>
  <c r="N24" i="2" s="1"/>
  <c r="F24" i="2" a="1"/>
  <c r="F24" i="2" s="1"/>
  <c r="E24" i="2" a="1"/>
  <c r="E24" i="2"/>
  <c r="L23" i="2" a="1"/>
  <c r="L23" i="2"/>
  <c r="K23" i="2" a="1"/>
  <c r="K23" i="2" s="1"/>
  <c r="N23" i="2" s="1" a="1"/>
  <c r="N23" i="2" s="1"/>
  <c r="J23" i="2" a="1"/>
  <c r="J23" i="2"/>
  <c r="I23" i="2" a="1"/>
  <c r="I23" i="2" s="1"/>
  <c r="F23" i="2" a="1"/>
  <c r="F23" i="2"/>
  <c r="E23" i="2" a="1"/>
  <c r="E23" i="2" s="1"/>
  <c r="L22" i="2" a="1"/>
  <c r="L22" i="2"/>
  <c r="J22" i="2" a="1"/>
  <c r="J22" i="2" s="1"/>
  <c r="K22" i="2" s="1" a="1"/>
  <c r="K22" i="2" s="1"/>
  <c r="N22" i="2" s="1" a="1"/>
  <c r="N22" i="2" s="1"/>
  <c r="I22" i="2" a="1"/>
  <c r="I22" i="2" s="1"/>
  <c r="F22" i="2" a="1"/>
  <c r="F22" i="2"/>
  <c r="E22" i="2" a="1"/>
  <c r="E22" i="2" s="1"/>
  <c r="N21" i="2" a="1"/>
  <c r="N21" i="2" s="1"/>
  <c r="N20" i="2" a="1"/>
  <c r="N20" i="2"/>
  <c r="N19" i="2"/>
  <c r="L19" i="2" a="1"/>
  <c r="L19" i="2" s="1"/>
  <c r="J19" i="2" a="1"/>
  <c r="J19" i="2"/>
  <c r="I19" i="2" a="1"/>
  <c r="I19" i="2" s="1"/>
  <c r="K19" i="2" s="1" a="1"/>
  <c r="K19" i="2" s="1"/>
  <c r="N19" i="2" s="1" a="1"/>
  <c r="F19" i="2" a="1"/>
  <c r="F19" i="2" s="1"/>
  <c r="E19" i="2" a="1"/>
  <c r="E19" i="2" s="1"/>
  <c r="L18" i="2" a="1"/>
  <c r="L18" i="2" s="1"/>
  <c r="K18" i="2" a="1"/>
  <c r="K18" i="2" s="1"/>
  <c r="J18" i="2" a="1"/>
  <c r="J18" i="2"/>
  <c r="I18" i="2" a="1"/>
  <c r="I18" i="2"/>
  <c r="F18" i="2" a="1"/>
  <c r="F18" i="2" s="1"/>
  <c r="E18" i="2" a="1"/>
  <c r="E18" i="2"/>
  <c r="L17" i="2" a="1"/>
  <c r="L17" i="2" s="1"/>
  <c r="J17" i="2" a="1"/>
  <c r="J17" i="2" s="1"/>
  <c r="K17" i="2" s="1" a="1"/>
  <c r="K17" i="2" s="1"/>
  <c r="I17" i="2" a="1"/>
  <c r="I17" i="2"/>
  <c r="F17" i="2" a="1"/>
  <c r="F17" i="2" s="1"/>
  <c r="E17" i="2" a="1"/>
  <c r="E17" i="2"/>
  <c r="L16" i="2" a="1"/>
  <c r="L16" i="2" s="1"/>
  <c r="J16" i="2" a="1"/>
  <c r="J16" i="2" s="1"/>
  <c r="I16" i="2" a="1"/>
  <c r="I16" i="2" s="1"/>
  <c r="F16" i="2" a="1"/>
  <c r="F16" i="2" s="1"/>
  <c r="E16" i="2" a="1"/>
  <c r="E16" i="2"/>
  <c r="L15" i="2" a="1"/>
  <c r="L15" i="2" s="1"/>
  <c r="J15" i="2" a="1"/>
  <c r="J15" i="2"/>
  <c r="I15" i="2" a="1"/>
  <c r="I15" i="2" s="1"/>
  <c r="K15" i="2" s="1" a="1"/>
  <c r="K15" i="2" s="1"/>
  <c r="N15" i="2" s="1" a="1"/>
  <c r="N15" i="2" s="1"/>
  <c r="F15" i="2" a="1"/>
  <c r="F15" i="2" s="1"/>
  <c r="E15" i="2" a="1"/>
  <c r="E15" i="2" s="1"/>
  <c r="L14" i="2" a="1"/>
  <c r="L14" i="2" s="1"/>
  <c r="O14" i="2" s="1" a="1"/>
  <c r="O14" i="2" s="1"/>
  <c r="K14" i="2" a="1"/>
  <c r="K14" i="2" s="1"/>
  <c r="N14" i="2" s="1" a="1"/>
  <c r="N14" i="2" s="1"/>
  <c r="J14" i="2" a="1"/>
  <c r="J14" i="2"/>
  <c r="I14" i="2" a="1"/>
  <c r="I14" i="2"/>
  <c r="F14" i="2" a="1"/>
  <c r="F14" i="2" s="1"/>
  <c r="E14" i="2" a="1"/>
  <c r="E14" i="2"/>
  <c r="L13" i="2" a="1"/>
  <c r="L13" i="2" s="1"/>
  <c r="J13" i="2" a="1"/>
  <c r="J13" i="2" s="1"/>
  <c r="K13" i="2" s="1" a="1"/>
  <c r="K13" i="2" s="1"/>
  <c r="I13" i="2" a="1"/>
  <c r="I13" i="2"/>
  <c r="F13" i="2" a="1"/>
  <c r="F13" i="2" s="1"/>
  <c r="E13" i="2" a="1"/>
  <c r="E13" i="2"/>
  <c r="L12" i="2" a="1"/>
  <c r="L12" i="2" s="1"/>
  <c r="J12" i="2" a="1"/>
  <c r="J12" i="2" s="1"/>
  <c r="I12" i="2" a="1"/>
  <c r="I12" i="2" s="1"/>
  <c r="K12" i="2" s="1" a="1"/>
  <c r="K12" i="2" s="1"/>
  <c r="F12" i="2" a="1"/>
  <c r="F12" i="2" s="1"/>
  <c r="E12" i="2" a="1"/>
  <c r="E12" i="2"/>
  <c r="L11" i="2" a="1"/>
  <c r="L11" i="2" s="1"/>
  <c r="J11" i="2" a="1"/>
  <c r="J11" i="2"/>
  <c r="I11" i="2" a="1"/>
  <c r="I11" i="2" s="1"/>
  <c r="K11" i="2" s="1" a="1"/>
  <c r="K11" i="2" s="1"/>
  <c r="N11" i="2" s="1" a="1"/>
  <c r="N11" i="2" s="1"/>
  <c r="F11" i="2" a="1"/>
  <c r="F11" i="2" s="1"/>
  <c r="E11" i="2" a="1"/>
  <c r="E11" i="2" s="1"/>
  <c r="L10" i="2" a="1"/>
  <c r="L10" i="2" s="1"/>
  <c r="O10" i="2" s="1" a="1"/>
  <c r="O10" i="2" s="1"/>
  <c r="K10" i="2" a="1"/>
  <c r="K10" i="2" s="1"/>
  <c r="N10" i="2" s="1" a="1"/>
  <c r="N10" i="2" s="1"/>
  <c r="J10" i="2" a="1"/>
  <c r="J10" i="2"/>
  <c r="I10" i="2" a="1"/>
  <c r="I10" i="2"/>
  <c r="F10" i="2" a="1"/>
  <c r="F10" i="2" s="1"/>
  <c r="E10" i="2" a="1"/>
  <c r="E10" i="2"/>
  <c r="L9" i="2" a="1"/>
  <c r="L9" i="2" s="1"/>
  <c r="J9" i="2" a="1"/>
  <c r="J9" i="2" s="1"/>
  <c r="I9" i="2" a="1"/>
  <c r="I9" i="2" s="1"/>
  <c r="F9" i="2" a="1"/>
  <c r="F9" i="2" s="1"/>
  <c r="E9" i="2" a="1"/>
  <c r="E9" i="2"/>
  <c r="L8" i="2" a="1"/>
  <c r="L8" i="2" s="1"/>
  <c r="J8" i="2" a="1"/>
  <c r="J8" i="2" s="1"/>
  <c r="I8" i="2" a="1"/>
  <c r="I8" i="2" s="1"/>
  <c r="F8" i="2" a="1"/>
  <c r="F8" i="2" s="1"/>
  <c r="E8" i="2" a="1"/>
  <c r="E8" i="2"/>
  <c r="N7" i="2"/>
  <c r="L7" i="2" a="1"/>
  <c r="L7" i="2" s="1"/>
  <c r="O7" i="2" s="1" a="1"/>
  <c r="O7" i="2" s="1"/>
  <c r="J7" i="2" a="1"/>
  <c r="J7" i="2"/>
  <c r="I7" i="2" a="1"/>
  <c r="I7" i="2" s="1"/>
  <c r="K7" i="2" s="1" a="1"/>
  <c r="K7" i="2" s="1"/>
  <c r="N7" i="2" s="1" a="1"/>
  <c r="F7" i="2" a="1"/>
  <c r="F7" i="2" s="1"/>
  <c r="E7" i="2" a="1"/>
  <c r="E7" i="2" s="1"/>
  <c r="L6" i="2" a="1"/>
  <c r="L6" i="2" s="1"/>
  <c r="O6" i="2" s="1" a="1"/>
  <c r="O6" i="2" s="1"/>
  <c r="K6" i="2" a="1"/>
  <c r="K6" i="2" s="1"/>
  <c r="N6" i="2" s="1" a="1"/>
  <c r="N6" i="2" s="1"/>
  <c r="J6" i="2" a="1"/>
  <c r="J6" i="2" s="1"/>
  <c r="I6" i="2" a="1"/>
  <c r="I6" i="2"/>
  <c r="F6" i="2" a="1"/>
  <c r="F6" i="2" s="1"/>
  <c r="E6" i="2" a="1"/>
  <c r="E6" i="2"/>
  <c r="L5" i="2" a="1"/>
  <c r="L5" i="2" s="1"/>
  <c r="J5" i="2" a="1"/>
  <c r="J5" i="2" s="1"/>
  <c r="I5" i="2" a="1"/>
  <c r="I5" i="2" s="1"/>
  <c r="F5" i="2" a="1"/>
  <c r="F5" i="2" s="1"/>
  <c r="E5" i="2" a="1"/>
  <c r="E5" i="2"/>
  <c r="L4" i="2" a="1"/>
  <c r="L4" i="2" s="1"/>
  <c r="J4" i="2" a="1"/>
  <c r="J4" i="2" s="1"/>
  <c r="I4" i="2" a="1"/>
  <c r="I4" i="2" s="1"/>
  <c r="F4" i="2" a="1"/>
  <c r="F4" i="2" s="1"/>
  <c r="E4" i="2" a="1"/>
  <c r="E4" i="2"/>
  <c r="N3" i="2" a="1"/>
  <c r="N3" i="2"/>
  <c r="M1722" i="1" a="1"/>
  <c r="M1722" i="1" s="1"/>
  <c r="O1721" i="1" a="1"/>
  <c r="O1721" i="1" s="1"/>
  <c r="L1721" i="1" a="1"/>
  <c r="L1721" i="1"/>
  <c r="K1721" i="1" a="1"/>
  <c r="K1721" i="1" s="1"/>
  <c r="N1721" i="1" s="1" a="1"/>
  <c r="N1721" i="1" s="1"/>
  <c r="J1721" i="1" a="1"/>
  <c r="J1721" i="1" s="1"/>
  <c r="I1721" i="1" a="1"/>
  <c r="I1721" i="1" s="1"/>
  <c r="F1721" i="1" a="1"/>
  <c r="F1721" i="1" s="1"/>
  <c r="E1721" i="1" a="1"/>
  <c r="E1721" i="1" s="1"/>
  <c r="O1720" i="1" a="1"/>
  <c r="O1720" i="1"/>
  <c r="L1720" i="1" a="1"/>
  <c r="L1720" i="1"/>
  <c r="K1720" i="1" a="1"/>
  <c r="K1720" i="1" s="1"/>
  <c r="J1720" i="1" a="1"/>
  <c r="J1720" i="1" s="1"/>
  <c r="I1720" i="1" a="1"/>
  <c r="I1720" i="1" s="1"/>
  <c r="F1720" i="1" a="1"/>
  <c r="F1720" i="1"/>
  <c r="E1720" i="1" a="1"/>
  <c r="E1720" i="1" s="1"/>
  <c r="O1719" i="1" a="1"/>
  <c r="O1719" i="1"/>
  <c r="L1719" i="1" a="1"/>
  <c r="L1719" i="1" s="1"/>
  <c r="K1719" i="1" a="1"/>
  <c r="K1719" i="1" s="1"/>
  <c r="J1719" i="1" a="1"/>
  <c r="J1719" i="1" s="1"/>
  <c r="N1719" i="1" s="1" a="1"/>
  <c r="N1719" i="1" s="1"/>
  <c r="I1719" i="1" a="1"/>
  <c r="I1719" i="1" s="1"/>
  <c r="F1719" i="1" a="1"/>
  <c r="F1719" i="1" s="1"/>
  <c r="E1719" i="1" a="1"/>
  <c r="E1719" i="1" s="1"/>
  <c r="O1718" i="1" a="1"/>
  <c r="O1718" i="1"/>
  <c r="L1718" i="1" a="1"/>
  <c r="L1718" i="1"/>
  <c r="K1718" i="1" a="1"/>
  <c r="K1718" i="1" s="1"/>
  <c r="J1718" i="1" a="1"/>
  <c r="J1718" i="1" s="1"/>
  <c r="I1718" i="1" a="1"/>
  <c r="I1718" i="1" s="1"/>
  <c r="F1718" i="1" a="1"/>
  <c r="F1718" i="1" s="1"/>
  <c r="E1718" i="1" a="1"/>
  <c r="E1718" i="1" s="1"/>
  <c r="O1717" i="1" a="1"/>
  <c r="O1717" i="1" s="1"/>
  <c r="L1717" i="1" a="1"/>
  <c r="L1717" i="1"/>
  <c r="K1717" i="1" a="1"/>
  <c r="K1717" i="1" s="1"/>
  <c r="N1717" i="1" s="1" a="1"/>
  <c r="N1717" i="1" s="1"/>
  <c r="J1717" i="1" a="1"/>
  <c r="J1717" i="1" s="1"/>
  <c r="I1717" i="1" a="1"/>
  <c r="I1717" i="1" s="1"/>
  <c r="F1717" i="1" a="1"/>
  <c r="F1717" i="1" s="1"/>
  <c r="E1717" i="1" a="1"/>
  <c r="E1717" i="1" s="1"/>
  <c r="O1716" i="1" a="1"/>
  <c r="O1716" i="1"/>
  <c r="L1716" i="1" a="1"/>
  <c r="L1716" i="1"/>
  <c r="K1716" i="1" a="1"/>
  <c r="K1716" i="1" s="1"/>
  <c r="J1716" i="1" a="1"/>
  <c r="J1716" i="1" s="1"/>
  <c r="N1716" i="1" s="1" a="1"/>
  <c r="N1716" i="1" s="1"/>
  <c r="I1716" i="1" a="1"/>
  <c r="I1716" i="1" s="1"/>
  <c r="F1716" i="1" a="1"/>
  <c r="F1716" i="1" s="1"/>
  <c r="E1716" i="1" a="1"/>
  <c r="E1716" i="1" s="1"/>
  <c r="O1715" i="1" a="1"/>
  <c r="O1715" i="1"/>
  <c r="L1715" i="1" a="1"/>
  <c r="L1715" i="1" s="1"/>
  <c r="K1715" i="1" a="1"/>
  <c r="K1715" i="1" s="1"/>
  <c r="J1715" i="1" a="1"/>
  <c r="J1715" i="1" s="1"/>
  <c r="N1715" i="1" s="1" a="1"/>
  <c r="N1715" i="1" s="1"/>
  <c r="I1715" i="1" a="1"/>
  <c r="I1715" i="1" s="1"/>
  <c r="F1715" i="1" a="1"/>
  <c r="F1715" i="1" s="1"/>
  <c r="E1715" i="1" a="1"/>
  <c r="E1715" i="1" s="1"/>
  <c r="O1714" i="1" a="1"/>
  <c r="O1714" i="1"/>
  <c r="L1714" i="1" a="1"/>
  <c r="L1714" i="1"/>
  <c r="K1714" i="1" a="1"/>
  <c r="K1714" i="1" s="1"/>
  <c r="J1714" i="1" a="1"/>
  <c r="J1714" i="1" s="1"/>
  <c r="I1714" i="1" a="1"/>
  <c r="I1714" i="1" s="1"/>
  <c r="F1714" i="1" a="1"/>
  <c r="F1714" i="1" s="1"/>
  <c r="E1714" i="1" a="1"/>
  <c r="E1714" i="1" s="1"/>
  <c r="O1713" i="1" a="1"/>
  <c r="O1713" i="1" s="1"/>
  <c r="L1713" i="1" a="1"/>
  <c r="L1713" i="1"/>
  <c r="K1713" i="1" a="1"/>
  <c r="K1713" i="1" s="1"/>
  <c r="N1713" i="1" s="1" a="1"/>
  <c r="N1713" i="1" s="1"/>
  <c r="J1713" i="1" a="1"/>
  <c r="J1713" i="1" s="1"/>
  <c r="I1713" i="1" a="1"/>
  <c r="I1713" i="1" s="1"/>
  <c r="F1713" i="1" a="1"/>
  <c r="F1713" i="1" s="1"/>
  <c r="E1713" i="1" a="1"/>
  <c r="E1713" i="1" s="1"/>
  <c r="O1712" i="1" a="1"/>
  <c r="O1712" i="1" s="1"/>
  <c r="L1712" i="1" a="1"/>
  <c r="L1712" i="1" s="1"/>
  <c r="K1712" i="1" a="1"/>
  <c r="K1712" i="1" s="1"/>
  <c r="J1712" i="1" a="1"/>
  <c r="J1712" i="1" s="1"/>
  <c r="I1712" i="1" a="1"/>
  <c r="I1712" i="1" s="1"/>
  <c r="F1712" i="1" a="1"/>
  <c r="F1712" i="1" s="1"/>
  <c r="E1712" i="1" a="1"/>
  <c r="E1712" i="1" s="1"/>
  <c r="O1711" i="1" a="1"/>
  <c r="O1711" i="1" s="1"/>
  <c r="L1711" i="1" a="1"/>
  <c r="L1711" i="1" s="1"/>
  <c r="K1711" i="1" a="1"/>
  <c r="K1711" i="1" s="1"/>
  <c r="N1711" i="1" s="1" a="1"/>
  <c r="N1711" i="1" s="1"/>
  <c r="J1711" i="1" a="1"/>
  <c r="J1711" i="1" s="1"/>
  <c r="I1711" i="1" a="1"/>
  <c r="I1711" i="1" s="1"/>
  <c r="F1711" i="1" a="1"/>
  <c r="F1711" i="1" s="1"/>
  <c r="E1711" i="1" a="1"/>
  <c r="E1711" i="1" s="1"/>
  <c r="O1710" i="1" a="1"/>
  <c r="O1710" i="1" s="1"/>
  <c r="L1710" i="1" a="1"/>
  <c r="L1710" i="1" s="1"/>
  <c r="K1710" i="1" a="1"/>
  <c r="K1710" i="1" s="1"/>
  <c r="J1710" i="1" a="1"/>
  <c r="J1710" i="1" s="1"/>
  <c r="I1710" i="1" a="1"/>
  <c r="I1710" i="1" s="1"/>
  <c r="F1710" i="1" a="1"/>
  <c r="F1710" i="1" s="1"/>
  <c r="E1710" i="1" a="1"/>
  <c r="E1710" i="1" s="1"/>
  <c r="O1709" i="1" a="1"/>
  <c r="O1709" i="1" s="1"/>
  <c r="L1709" i="1" a="1"/>
  <c r="L1709" i="1" s="1"/>
  <c r="K1709" i="1" a="1"/>
  <c r="K1709" i="1" s="1"/>
  <c r="J1709" i="1" a="1"/>
  <c r="J1709" i="1" s="1"/>
  <c r="I1709" i="1" a="1"/>
  <c r="I1709" i="1" s="1"/>
  <c r="F1709" i="1" a="1"/>
  <c r="F1709" i="1" s="1"/>
  <c r="E1709" i="1" a="1"/>
  <c r="E1709" i="1" s="1"/>
  <c r="O1708" i="1" a="1"/>
  <c r="O1708" i="1" s="1"/>
  <c r="L1708" i="1" a="1"/>
  <c r="L1708" i="1" s="1"/>
  <c r="K1708" i="1" a="1"/>
  <c r="K1708" i="1" s="1"/>
  <c r="N1708" i="1" s="1" a="1"/>
  <c r="N1708" i="1" s="1"/>
  <c r="J1708" i="1" a="1"/>
  <c r="J1708" i="1" s="1"/>
  <c r="I1708" i="1" a="1"/>
  <c r="I1708" i="1" s="1"/>
  <c r="F1708" i="1" a="1"/>
  <c r="F1708" i="1" s="1"/>
  <c r="E1708" i="1" a="1"/>
  <c r="E1708" i="1" s="1"/>
  <c r="L1707" i="1" a="1"/>
  <c r="L1707" i="1" s="1"/>
  <c r="J1707" i="1" a="1"/>
  <c r="J1707" i="1" s="1"/>
  <c r="K1707" i="1" s="1" a="1"/>
  <c r="K1707" i="1" s="1"/>
  <c r="I1707" i="1" a="1"/>
  <c r="I1707" i="1" s="1"/>
  <c r="F1707" i="1" a="1"/>
  <c r="F1707" i="1" s="1"/>
  <c r="E1707" i="1" a="1"/>
  <c r="E1707" i="1" s="1"/>
  <c r="L1706" i="1" a="1"/>
  <c r="L1706" i="1" s="1"/>
  <c r="O1706" i="1" s="1" a="1"/>
  <c r="O1706" i="1" s="1"/>
  <c r="J1706" i="1" a="1"/>
  <c r="J1706" i="1" s="1"/>
  <c r="I1706" i="1" a="1"/>
  <c r="I1706" i="1" s="1"/>
  <c r="K1706" i="1" s="1" a="1"/>
  <c r="K1706" i="1" s="1"/>
  <c r="N1706" i="1" s="1" a="1"/>
  <c r="N1706" i="1" s="1"/>
  <c r="F1706" i="1" a="1"/>
  <c r="F1706" i="1" s="1"/>
  <c r="E1706" i="1" a="1"/>
  <c r="E1706" i="1" s="1"/>
  <c r="O1705" i="1" a="1"/>
  <c r="O1705" i="1" s="1"/>
  <c r="L1705" i="1" a="1"/>
  <c r="L1705" i="1" s="1"/>
  <c r="K1705" i="1" a="1"/>
  <c r="K1705" i="1" s="1"/>
  <c r="N1705" i="1" s="1" a="1"/>
  <c r="N1705" i="1" s="1"/>
  <c r="J1705" i="1" a="1"/>
  <c r="J1705" i="1" s="1"/>
  <c r="I1705" i="1" a="1"/>
  <c r="I1705" i="1" s="1"/>
  <c r="F1705" i="1" a="1"/>
  <c r="F1705" i="1" s="1"/>
  <c r="E1705" i="1" a="1"/>
  <c r="E1705" i="1" s="1"/>
  <c r="L1704" i="1" a="1"/>
  <c r="L1704" i="1" s="1"/>
  <c r="J1704" i="1" a="1"/>
  <c r="J1704" i="1" s="1"/>
  <c r="K1704" i="1" s="1" a="1"/>
  <c r="K1704" i="1" s="1"/>
  <c r="N1704" i="1" s="1" a="1"/>
  <c r="N1704" i="1" s="1"/>
  <c r="I1704" i="1" a="1"/>
  <c r="I1704" i="1" s="1"/>
  <c r="F1704" i="1" a="1"/>
  <c r="F1704" i="1" s="1"/>
  <c r="E1704" i="1" a="1"/>
  <c r="E1704" i="1" s="1"/>
  <c r="L1703" i="1" a="1"/>
  <c r="L1703" i="1" s="1"/>
  <c r="O1703" i="1" s="1" a="1"/>
  <c r="O1703" i="1" s="1"/>
  <c r="K1703" i="1" a="1"/>
  <c r="K1703" i="1" s="1"/>
  <c r="N1703" i="1" s="1" a="1"/>
  <c r="N1703" i="1" s="1"/>
  <c r="J1703" i="1" a="1"/>
  <c r="J1703" i="1" s="1"/>
  <c r="I1703" i="1" a="1"/>
  <c r="I1703" i="1" s="1"/>
  <c r="F1703" i="1" a="1"/>
  <c r="F1703" i="1" s="1"/>
  <c r="E1703" i="1" a="1"/>
  <c r="E1703" i="1" s="1"/>
  <c r="L1702" i="1" a="1"/>
  <c r="L1702" i="1" s="1"/>
  <c r="J1702" i="1" a="1"/>
  <c r="J1702" i="1" s="1"/>
  <c r="K1702" i="1" s="1" a="1"/>
  <c r="K1702" i="1" s="1"/>
  <c r="I1702" i="1" a="1"/>
  <c r="I1702" i="1" s="1"/>
  <c r="F1702" i="1" a="1"/>
  <c r="F1702" i="1" s="1"/>
  <c r="E1702" i="1" a="1"/>
  <c r="E1702" i="1" s="1"/>
  <c r="L1701" i="1" a="1"/>
  <c r="L1701" i="1" s="1"/>
  <c r="J1701" i="1" a="1"/>
  <c r="J1701" i="1" s="1"/>
  <c r="K1701" i="1" s="1" a="1"/>
  <c r="K1701" i="1" s="1"/>
  <c r="N1701" i="1" s="1" a="1"/>
  <c r="N1701" i="1" s="1"/>
  <c r="I1701" i="1" a="1"/>
  <c r="I1701" i="1" s="1"/>
  <c r="F1701" i="1" a="1"/>
  <c r="F1701" i="1" s="1"/>
  <c r="E1701" i="1" a="1"/>
  <c r="E1701" i="1" s="1"/>
  <c r="L1700" i="1" a="1"/>
  <c r="L1700" i="1" s="1"/>
  <c r="K1700" i="1" a="1"/>
  <c r="K1700" i="1" s="1"/>
  <c r="N1700" i="1" s="1" a="1"/>
  <c r="N1700" i="1" s="1"/>
  <c r="J1700" i="1" a="1"/>
  <c r="J1700" i="1" s="1"/>
  <c r="I1700" i="1" a="1"/>
  <c r="I1700" i="1" s="1"/>
  <c r="F1700" i="1" a="1"/>
  <c r="F1700" i="1" s="1"/>
  <c r="E1700" i="1" a="1"/>
  <c r="E1700" i="1" s="1"/>
  <c r="L1699" i="1" a="1"/>
  <c r="L1699" i="1" s="1"/>
  <c r="J1699" i="1" a="1"/>
  <c r="J1699" i="1" s="1"/>
  <c r="K1699" i="1" s="1" a="1"/>
  <c r="K1699" i="1" s="1"/>
  <c r="I1699" i="1" a="1"/>
  <c r="I1699" i="1" s="1"/>
  <c r="F1699" i="1" a="1"/>
  <c r="F1699" i="1" s="1"/>
  <c r="E1699" i="1" a="1"/>
  <c r="E1699" i="1" s="1"/>
  <c r="L1698" i="1" a="1"/>
  <c r="L1698" i="1" s="1"/>
  <c r="J1698" i="1" a="1"/>
  <c r="J1698" i="1" s="1"/>
  <c r="I1698" i="1" a="1"/>
  <c r="I1698" i="1" s="1"/>
  <c r="K1698" i="1" s="1" a="1"/>
  <c r="K1698" i="1" s="1"/>
  <c r="N1698" i="1" s="1" a="1"/>
  <c r="N1698" i="1" s="1"/>
  <c r="F1698" i="1" a="1"/>
  <c r="F1698" i="1" s="1"/>
  <c r="E1698" i="1" a="1"/>
  <c r="E1698" i="1" s="1"/>
  <c r="O1697" i="1" a="1"/>
  <c r="O1697" i="1" s="1"/>
  <c r="L1697" i="1" a="1"/>
  <c r="L1697" i="1" s="1"/>
  <c r="K1697" i="1" a="1"/>
  <c r="K1697" i="1" s="1"/>
  <c r="N1697" i="1" s="1" a="1"/>
  <c r="N1697" i="1" s="1"/>
  <c r="J1697" i="1" a="1"/>
  <c r="J1697" i="1" s="1"/>
  <c r="I1697" i="1" a="1"/>
  <c r="I1697" i="1" s="1"/>
  <c r="F1697" i="1" a="1"/>
  <c r="F1697" i="1" s="1"/>
  <c r="E1697" i="1" a="1"/>
  <c r="E1697" i="1" s="1"/>
  <c r="L1696" i="1" a="1"/>
  <c r="L1696" i="1" s="1"/>
  <c r="O1696" i="1" s="1" a="1"/>
  <c r="O1696" i="1" s="1"/>
  <c r="J1696" i="1" a="1"/>
  <c r="J1696" i="1" s="1"/>
  <c r="K1696" i="1" s="1" a="1"/>
  <c r="K1696" i="1" s="1"/>
  <c r="N1696" i="1" s="1" a="1"/>
  <c r="N1696" i="1" s="1"/>
  <c r="I1696" i="1" a="1"/>
  <c r="I1696" i="1" s="1"/>
  <c r="F1696" i="1" a="1"/>
  <c r="F1696" i="1" s="1"/>
  <c r="E1696" i="1" a="1"/>
  <c r="E1696" i="1" s="1"/>
  <c r="L1695" i="1" a="1"/>
  <c r="L1695" i="1" s="1"/>
  <c r="O1695" i="1" s="1" a="1"/>
  <c r="O1695" i="1" s="1"/>
  <c r="K1695" i="1" a="1"/>
  <c r="K1695" i="1" s="1"/>
  <c r="N1695" i="1" s="1" a="1"/>
  <c r="N1695" i="1" s="1"/>
  <c r="J1695" i="1" a="1"/>
  <c r="J1695" i="1" s="1"/>
  <c r="I1695" i="1" a="1"/>
  <c r="I1695" i="1" s="1"/>
  <c r="F1695" i="1" a="1"/>
  <c r="F1695" i="1" s="1"/>
  <c r="E1695" i="1" a="1"/>
  <c r="E1695" i="1" s="1"/>
  <c r="L1694" i="1" a="1"/>
  <c r="L1694" i="1" s="1"/>
  <c r="K1694" i="1" a="1"/>
  <c r="K1694" i="1" s="1"/>
  <c r="J1694" i="1" a="1"/>
  <c r="J1694" i="1" s="1"/>
  <c r="I1694" i="1" a="1"/>
  <c r="I1694" i="1" s="1"/>
  <c r="F1694" i="1" a="1"/>
  <c r="F1694" i="1" s="1"/>
  <c r="E1694" i="1" a="1"/>
  <c r="E1694" i="1" s="1"/>
  <c r="L1693" i="1" a="1"/>
  <c r="L1693" i="1" s="1"/>
  <c r="K1693" i="1" a="1"/>
  <c r="K1693" i="1" s="1"/>
  <c r="J1693" i="1" a="1"/>
  <c r="J1693" i="1" s="1"/>
  <c r="I1693" i="1" a="1"/>
  <c r="I1693" i="1" s="1"/>
  <c r="F1693" i="1" a="1"/>
  <c r="F1693" i="1" s="1"/>
  <c r="E1693" i="1" a="1"/>
  <c r="E1693" i="1" s="1"/>
  <c r="L1692" i="1" a="1"/>
  <c r="L1692" i="1" s="1"/>
  <c r="K1692" i="1" a="1"/>
  <c r="K1692" i="1" s="1"/>
  <c r="J1692" i="1" a="1"/>
  <c r="J1692" i="1" s="1"/>
  <c r="I1692" i="1" a="1"/>
  <c r="I1692" i="1" s="1"/>
  <c r="F1692" i="1" a="1"/>
  <c r="F1692" i="1" s="1"/>
  <c r="E1692" i="1" a="1"/>
  <c r="E1692" i="1" s="1"/>
  <c r="L1691" i="1" a="1"/>
  <c r="L1691" i="1" s="1"/>
  <c r="K1691" i="1" a="1"/>
  <c r="K1691" i="1" s="1"/>
  <c r="J1691" i="1" a="1"/>
  <c r="J1691" i="1" s="1"/>
  <c r="I1691" i="1" a="1"/>
  <c r="I1691" i="1" s="1"/>
  <c r="F1691" i="1" a="1"/>
  <c r="F1691" i="1" s="1"/>
  <c r="E1691" i="1" a="1"/>
  <c r="E1691" i="1" s="1"/>
  <c r="L1690" i="1" a="1"/>
  <c r="L1690" i="1" s="1"/>
  <c r="K1690" i="1" a="1"/>
  <c r="K1690" i="1" s="1"/>
  <c r="J1690" i="1" a="1"/>
  <c r="J1690" i="1" s="1"/>
  <c r="I1690" i="1" a="1"/>
  <c r="I1690" i="1" s="1"/>
  <c r="F1690" i="1" a="1"/>
  <c r="F1690" i="1" s="1"/>
  <c r="E1690" i="1" a="1"/>
  <c r="E1690" i="1" s="1"/>
  <c r="L1689" i="1" a="1"/>
  <c r="L1689" i="1" s="1"/>
  <c r="K1689" i="1" a="1"/>
  <c r="K1689" i="1" s="1"/>
  <c r="J1689" i="1" a="1"/>
  <c r="J1689" i="1" s="1"/>
  <c r="I1689" i="1" a="1"/>
  <c r="I1689" i="1" s="1"/>
  <c r="F1689" i="1" a="1"/>
  <c r="F1689" i="1" s="1"/>
  <c r="E1689" i="1" a="1"/>
  <c r="E1689" i="1" s="1"/>
  <c r="L1688" i="1" a="1"/>
  <c r="L1688" i="1" s="1"/>
  <c r="K1688" i="1" a="1"/>
  <c r="K1688" i="1" s="1"/>
  <c r="J1688" i="1" a="1"/>
  <c r="J1688" i="1" s="1"/>
  <c r="I1688" i="1" a="1"/>
  <c r="I1688" i="1" s="1"/>
  <c r="F1688" i="1" a="1"/>
  <c r="F1688" i="1" s="1"/>
  <c r="E1688" i="1" a="1"/>
  <c r="E1688" i="1" s="1"/>
  <c r="L1687" i="1" a="1"/>
  <c r="L1687" i="1" s="1"/>
  <c r="O1687" i="1" s="1" a="1"/>
  <c r="O1687" i="1" s="1"/>
  <c r="J1687" i="1" a="1"/>
  <c r="J1687" i="1" s="1"/>
  <c r="K1687" i="1" s="1" a="1"/>
  <c r="K1687" i="1" s="1"/>
  <c r="N1687" i="1" s="1" a="1"/>
  <c r="N1687" i="1" s="1"/>
  <c r="I1687" i="1" a="1"/>
  <c r="I1687" i="1" s="1"/>
  <c r="F1687" i="1" a="1"/>
  <c r="F1687" i="1"/>
  <c r="E1687" i="1" a="1"/>
  <c r="E1687" i="1" s="1"/>
  <c r="L1686" i="1" a="1"/>
  <c r="L1686" i="1"/>
  <c r="J1686" i="1" a="1"/>
  <c r="J1686" i="1"/>
  <c r="K1686" i="1" s="1" a="1"/>
  <c r="K1686" i="1" s="1"/>
  <c r="N1686" i="1" s="1" a="1"/>
  <c r="N1686" i="1" s="1"/>
  <c r="I1686" i="1" a="1"/>
  <c r="I1686" i="1" s="1"/>
  <c r="F1686" i="1" a="1"/>
  <c r="F1686" i="1" s="1"/>
  <c r="E1686" i="1" a="1"/>
  <c r="E1686" i="1" s="1"/>
  <c r="L1685" i="1" a="1"/>
  <c r="L1685" i="1" s="1"/>
  <c r="O1685" i="1" s="1" a="1"/>
  <c r="O1685" i="1" s="1"/>
  <c r="J1685" i="1" a="1"/>
  <c r="J1685" i="1" s="1"/>
  <c r="K1685" i="1" s="1" a="1"/>
  <c r="K1685" i="1" s="1"/>
  <c r="N1685" i="1" s="1" a="1"/>
  <c r="N1685" i="1" s="1"/>
  <c r="I1685" i="1" a="1"/>
  <c r="I1685" i="1" s="1"/>
  <c r="F1685" i="1" a="1"/>
  <c r="F1685" i="1"/>
  <c r="E1685" i="1" a="1"/>
  <c r="E1685" i="1" s="1"/>
  <c r="L1684" i="1" a="1"/>
  <c r="L1684" i="1"/>
  <c r="O1684" i="1" s="1" a="1"/>
  <c r="O1684" i="1" s="1"/>
  <c r="J1684" i="1" a="1"/>
  <c r="J1684" i="1"/>
  <c r="K1684" i="1" s="1" a="1"/>
  <c r="K1684" i="1" s="1"/>
  <c r="N1684" i="1" s="1" a="1"/>
  <c r="N1684" i="1" s="1"/>
  <c r="I1684" i="1" a="1"/>
  <c r="I1684" i="1" s="1"/>
  <c r="F1684" i="1" a="1"/>
  <c r="F1684" i="1" s="1"/>
  <c r="E1684" i="1" a="1"/>
  <c r="E1684" i="1" s="1"/>
  <c r="L1683" i="1" a="1"/>
  <c r="L1683" i="1" s="1"/>
  <c r="J1683" i="1" a="1"/>
  <c r="J1683" i="1" s="1"/>
  <c r="K1683" i="1" s="1" a="1"/>
  <c r="K1683" i="1" s="1"/>
  <c r="N1683" i="1" s="1" a="1"/>
  <c r="N1683" i="1" s="1"/>
  <c r="I1683" i="1" a="1"/>
  <c r="I1683" i="1" s="1"/>
  <c r="F1683" i="1" a="1"/>
  <c r="F1683" i="1"/>
  <c r="E1683" i="1" a="1"/>
  <c r="E1683" i="1" s="1"/>
  <c r="L1682" i="1" a="1"/>
  <c r="L1682" i="1"/>
  <c r="J1682" i="1" a="1"/>
  <c r="J1682" i="1"/>
  <c r="K1682" i="1" s="1" a="1"/>
  <c r="K1682" i="1" s="1"/>
  <c r="N1682" i="1" s="1" a="1"/>
  <c r="N1682" i="1" s="1"/>
  <c r="I1682" i="1" a="1"/>
  <c r="I1682" i="1" s="1"/>
  <c r="F1682" i="1" a="1"/>
  <c r="F1682" i="1" s="1"/>
  <c r="E1682" i="1" a="1"/>
  <c r="E1682" i="1" s="1"/>
  <c r="L1681" i="1" a="1"/>
  <c r="L1681" i="1" s="1"/>
  <c r="J1681" i="1" a="1"/>
  <c r="J1681" i="1" s="1"/>
  <c r="K1681" i="1" s="1" a="1"/>
  <c r="K1681" i="1" s="1"/>
  <c r="N1681" i="1" s="1" a="1"/>
  <c r="N1681" i="1" s="1"/>
  <c r="I1681" i="1" a="1"/>
  <c r="I1681" i="1" s="1"/>
  <c r="F1681" i="1" a="1"/>
  <c r="F1681" i="1"/>
  <c r="E1681" i="1" a="1"/>
  <c r="E1681" i="1" s="1"/>
  <c r="L1680" i="1" a="1"/>
  <c r="L1680" i="1"/>
  <c r="J1680" i="1" a="1"/>
  <c r="J1680" i="1"/>
  <c r="K1680" i="1" s="1" a="1"/>
  <c r="K1680" i="1" s="1"/>
  <c r="N1680" i="1" s="1" a="1"/>
  <c r="N1680" i="1" s="1"/>
  <c r="I1680" i="1" a="1"/>
  <c r="I1680" i="1" s="1"/>
  <c r="F1680" i="1" a="1"/>
  <c r="F1680" i="1" s="1"/>
  <c r="E1680" i="1" a="1"/>
  <c r="E1680" i="1" s="1"/>
  <c r="L1679" i="1" a="1"/>
  <c r="L1679" i="1" s="1"/>
  <c r="O1679" i="1" s="1" a="1"/>
  <c r="O1679" i="1" s="1"/>
  <c r="J1679" i="1" a="1"/>
  <c r="J1679" i="1" s="1"/>
  <c r="K1679" i="1" s="1" a="1"/>
  <c r="K1679" i="1" s="1"/>
  <c r="N1679" i="1" s="1" a="1"/>
  <c r="N1679" i="1" s="1"/>
  <c r="I1679" i="1" a="1"/>
  <c r="I1679" i="1" s="1"/>
  <c r="F1679" i="1" a="1"/>
  <c r="F1679" i="1"/>
  <c r="E1679" i="1" a="1"/>
  <c r="E1679" i="1" s="1"/>
  <c r="L1678" i="1" a="1"/>
  <c r="L1678" i="1"/>
  <c r="O1678" i="1" s="1" a="1"/>
  <c r="O1678" i="1" s="1"/>
  <c r="J1678" i="1" a="1"/>
  <c r="J1678" i="1"/>
  <c r="K1678" i="1" s="1" a="1"/>
  <c r="K1678" i="1" s="1"/>
  <c r="N1678" i="1" s="1" a="1"/>
  <c r="N1678" i="1" s="1"/>
  <c r="I1678" i="1" a="1"/>
  <c r="I1678" i="1" s="1"/>
  <c r="F1678" i="1" a="1"/>
  <c r="F1678" i="1" s="1"/>
  <c r="E1678" i="1" a="1"/>
  <c r="E1678" i="1" s="1"/>
  <c r="L1677" i="1" a="1"/>
  <c r="L1677" i="1" s="1"/>
  <c r="O1677" i="1" s="1" a="1"/>
  <c r="O1677" i="1" s="1"/>
  <c r="J1677" i="1" a="1"/>
  <c r="J1677" i="1" s="1"/>
  <c r="K1677" i="1" s="1" a="1"/>
  <c r="K1677" i="1" s="1"/>
  <c r="N1677" i="1" s="1" a="1"/>
  <c r="N1677" i="1" s="1"/>
  <c r="I1677" i="1" a="1"/>
  <c r="I1677" i="1" s="1"/>
  <c r="F1677" i="1" a="1"/>
  <c r="F1677" i="1"/>
  <c r="E1677" i="1" a="1"/>
  <c r="E1677" i="1" s="1"/>
  <c r="L1676" i="1" a="1"/>
  <c r="L1676" i="1"/>
  <c r="O1676" i="1" s="1" a="1"/>
  <c r="O1676" i="1" s="1"/>
  <c r="J1676" i="1" a="1"/>
  <c r="J1676" i="1"/>
  <c r="K1676" i="1" s="1" a="1"/>
  <c r="K1676" i="1" s="1"/>
  <c r="N1676" i="1" s="1" a="1"/>
  <c r="N1676" i="1" s="1"/>
  <c r="I1676" i="1" a="1"/>
  <c r="I1676" i="1" s="1"/>
  <c r="F1676" i="1" a="1"/>
  <c r="F1676" i="1" s="1"/>
  <c r="E1676" i="1" a="1"/>
  <c r="E1676" i="1" s="1"/>
  <c r="L1675" i="1" a="1"/>
  <c r="L1675" i="1" s="1"/>
  <c r="J1675" i="1" a="1"/>
  <c r="J1675" i="1" s="1"/>
  <c r="K1675" i="1" s="1" a="1"/>
  <c r="K1675" i="1" s="1"/>
  <c r="N1675" i="1" s="1" a="1"/>
  <c r="N1675" i="1" s="1"/>
  <c r="I1675" i="1" a="1"/>
  <c r="I1675" i="1" s="1"/>
  <c r="F1675" i="1" a="1"/>
  <c r="F1675" i="1"/>
  <c r="E1675" i="1" a="1"/>
  <c r="E1675" i="1" s="1"/>
  <c r="L1674" i="1" a="1"/>
  <c r="L1674" i="1"/>
  <c r="J1674" i="1" a="1"/>
  <c r="J1674" i="1"/>
  <c r="K1674" i="1" s="1" a="1"/>
  <c r="K1674" i="1" s="1"/>
  <c r="N1674" i="1" s="1" a="1"/>
  <c r="N1674" i="1" s="1"/>
  <c r="I1674" i="1" a="1"/>
  <c r="I1674" i="1" s="1"/>
  <c r="F1674" i="1" a="1"/>
  <c r="F1674" i="1" s="1"/>
  <c r="E1674" i="1" a="1"/>
  <c r="E1674" i="1" s="1"/>
  <c r="L1673" i="1" a="1"/>
  <c r="L1673" i="1" s="1"/>
  <c r="O1673" i="1" s="1" a="1"/>
  <c r="O1673" i="1" s="1"/>
  <c r="K1673" i="1" a="1"/>
  <c r="K1673" i="1" s="1"/>
  <c r="N1673" i="1" s="1" a="1"/>
  <c r="N1673" i="1" s="1"/>
  <c r="J1673" i="1" a="1"/>
  <c r="J1673" i="1"/>
  <c r="I1673" i="1" a="1"/>
  <c r="I1673" i="1" s="1"/>
  <c r="F1673" i="1" a="1"/>
  <c r="F1673" i="1"/>
  <c r="E1673" i="1" a="1"/>
  <c r="E1673" i="1"/>
  <c r="L1672" i="1" a="1"/>
  <c r="L1672" i="1"/>
  <c r="J1672" i="1" a="1"/>
  <c r="J1672" i="1" s="1"/>
  <c r="K1672" i="1" s="1" a="1"/>
  <c r="K1672" i="1" s="1"/>
  <c r="I1672" i="1" a="1"/>
  <c r="I1672" i="1" s="1"/>
  <c r="F1672" i="1" a="1"/>
  <c r="F1672" i="1" s="1"/>
  <c r="E1672" i="1" a="1"/>
  <c r="E1672" i="1"/>
  <c r="L1671" i="1" a="1"/>
  <c r="L1671" i="1"/>
  <c r="J1671" i="1" a="1"/>
  <c r="J1671" i="1" s="1"/>
  <c r="K1671" i="1" s="1" a="1"/>
  <c r="K1671" i="1" s="1"/>
  <c r="N1671" i="1" s="1" a="1"/>
  <c r="N1671" i="1" s="1"/>
  <c r="I1671" i="1" a="1"/>
  <c r="I1671" i="1" s="1"/>
  <c r="F1671" i="1" a="1"/>
  <c r="F1671" i="1" s="1"/>
  <c r="E1671" i="1" a="1"/>
  <c r="E1671" i="1" s="1"/>
  <c r="L1670" i="1" a="1"/>
  <c r="L1670" i="1" s="1"/>
  <c r="J1670" i="1" a="1"/>
  <c r="J1670" i="1"/>
  <c r="I1670" i="1" a="1"/>
  <c r="I1670" i="1" s="1"/>
  <c r="F1670" i="1" a="1"/>
  <c r="F1670" i="1"/>
  <c r="E1670" i="1" a="1"/>
  <c r="E1670" i="1" s="1"/>
  <c r="L1669" i="1" a="1"/>
  <c r="L1669" i="1" s="1"/>
  <c r="K1669" i="1" a="1"/>
  <c r="K1669" i="1" s="1"/>
  <c r="N1669" i="1" s="1" a="1"/>
  <c r="N1669" i="1" s="1"/>
  <c r="J1669" i="1" a="1"/>
  <c r="J1669" i="1"/>
  <c r="I1669" i="1" a="1"/>
  <c r="I1669" i="1" s="1"/>
  <c r="F1669" i="1" a="1"/>
  <c r="F1669" i="1"/>
  <c r="E1669" i="1" a="1"/>
  <c r="E1669" i="1"/>
  <c r="L1668" i="1" a="1"/>
  <c r="L1668" i="1"/>
  <c r="J1668" i="1" a="1"/>
  <c r="J1668" i="1" s="1"/>
  <c r="K1668" i="1" s="1" a="1"/>
  <c r="K1668" i="1" s="1"/>
  <c r="I1668" i="1" a="1"/>
  <c r="I1668" i="1" s="1"/>
  <c r="F1668" i="1" a="1"/>
  <c r="F1668" i="1" s="1"/>
  <c r="E1668" i="1" a="1"/>
  <c r="E1668" i="1"/>
  <c r="L1667" i="1" a="1"/>
  <c r="L1667" i="1"/>
  <c r="O1667" i="1" s="1" a="1"/>
  <c r="O1667" i="1" s="1"/>
  <c r="J1667" i="1" a="1"/>
  <c r="J1667" i="1" s="1"/>
  <c r="K1667" i="1" s="1" a="1"/>
  <c r="K1667" i="1" s="1"/>
  <c r="N1667" i="1" s="1" a="1"/>
  <c r="N1667" i="1" s="1"/>
  <c r="I1667" i="1" a="1"/>
  <c r="I1667" i="1" s="1"/>
  <c r="F1667" i="1" a="1"/>
  <c r="F1667" i="1" s="1"/>
  <c r="E1667" i="1" a="1"/>
  <c r="E1667" i="1" s="1"/>
  <c r="L1666" i="1" a="1"/>
  <c r="L1666" i="1" s="1"/>
  <c r="J1666" i="1" a="1"/>
  <c r="J1666" i="1"/>
  <c r="K1666" i="1" s="1" a="1"/>
  <c r="K1666" i="1" s="1"/>
  <c r="N1666" i="1" s="1" a="1"/>
  <c r="N1666" i="1" s="1"/>
  <c r="I1666" i="1" a="1"/>
  <c r="I1666" i="1"/>
  <c r="F1666" i="1" a="1"/>
  <c r="F1666" i="1" s="1"/>
  <c r="E1666" i="1" a="1"/>
  <c r="E1666" i="1" s="1"/>
  <c r="L1665" i="1" a="1"/>
  <c r="L1665" i="1" s="1"/>
  <c r="J1665" i="1" a="1"/>
  <c r="J1665" i="1"/>
  <c r="K1665" i="1" s="1" a="1"/>
  <c r="K1665" i="1" s="1"/>
  <c r="N1665" i="1" s="1" a="1"/>
  <c r="N1665" i="1" s="1"/>
  <c r="I1665" i="1" a="1"/>
  <c r="I1665" i="1"/>
  <c r="F1665" i="1" a="1"/>
  <c r="F1665" i="1" s="1"/>
  <c r="E1665" i="1" a="1"/>
  <c r="E1665" i="1" s="1"/>
  <c r="L1664" i="1" a="1"/>
  <c r="L1664" i="1" s="1"/>
  <c r="J1664" i="1" a="1"/>
  <c r="J1664" i="1"/>
  <c r="K1664" i="1" s="1" a="1"/>
  <c r="K1664" i="1" s="1"/>
  <c r="N1664" i="1" s="1" a="1"/>
  <c r="N1664" i="1" s="1"/>
  <c r="I1664" i="1" a="1"/>
  <c r="I1664" i="1"/>
  <c r="F1664" i="1" a="1"/>
  <c r="F1664" i="1" s="1"/>
  <c r="E1664" i="1" a="1"/>
  <c r="E1664" i="1" s="1"/>
  <c r="L1663" i="1" a="1"/>
  <c r="L1663" i="1" s="1"/>
  <c r="J1663" i="1" a="1"/>
  <c r="J1663" i="1"/>
  <c r="K1663" i="1" s="1" a="1"/>
  <c r="K1663" i="1" s="1"/>
  <c r="N1663" i="1" s="1" a="1"/>
  <c r="N1663" i="1" s="1"/>
  <c r="I1663" i="1" a="1"/>
  <c r="I1663" i="1"/>
  <c r="F1663" i="1" a="1"/>
  <c r="F1663" i="1" s="1"/>
  <c r="E1663" i="1" a="1"/>
  <c r="E1663" i="1" s="1"/>
  <c r="L1662" i="1" a="1"/>
  <c r="L1662" i="1" s="1"/>
  <c r="J1662" i="1" a="1"/>
  <c r="J1662" i="1"/>
  <c r="K1662" i="1" s="1" a="1"/>
  <c r="K1662" i="1" s="1"/>
  <c r="N1662" i="1" s="1" a="1"/>
  <c r="N1662" i="1" s="1"/>
  <c r="I1662" i="1" a="1"/>
  <c r="I1662" i="1"/>
  <c r="F1662" i="1" a="1"/>
  <c r="F1662" i="1" s="1"/>
  <c r="E1662" i="1" a="1"/>
  <c r="E1662" i="1" s="1"/>
  <c r="L1661" i="1" a="1"/>
  <c r="L1661" i="1" s="1"/>
  <c r="J1661" i="1" a="1"/>
  <c r="J1661" i="1"/>
  <c r="K1661" i="1" s="1" a="1"/>
  <c r="K1661" i="1" s="1"/>
  <c r="N1661" i="1" s="1" a="1"/>
  <c r="N1661" i="1" s="1"/>
  <c r="I1661" i="1" a="1"/>
  <c r="I1661" i="1"/>
  <c r="F1661" i="1" a="1"/>
  <c r="F1661" i="1" s="1"/>
  <c r="E1661" i="1" a="1"/>
  <c r="E1661" i="1" s="1"/>
  <c r="L1660" i="1" a="1"/>
  <c r="L1660" i="1" s="1"/>
  <c r="K1660" i="1" a="1"/>
  <c r="K1660" i="1" s="1"/>
  <c r="N1660" i="1" s="1" a="1"/>
  <c r="N1660" i="1" s="1"/>
  <c r="J1660" i="1" a="1"/>
  <c r="J1660" i="1"/>
  <c r="I1660" i="1" a="1"/>
  <c r="I1660" i="1"/>
  <c r="F1660" i="1" a="1"/>
  <c r="F1660" i="1" s="1"/>
  <c r="E1660" i="1" a="1"/>
  <c r="E1660" i="1" s="1"/>
  <c r="L1659" i="1" a="1"/>
  <c r="L1659" i="1" s="1"/>
  <c r="O1659" i="1" s="1" a="1"/>
  <c r="O1659" i="1" s="1"/>
  <c r="K1659" i="1" a="1"/>
  <c r="K1659" i="1" s="1"/>
  <c r="N1659" i="1" s="1" a="1"/>
  <c r="N1659" i="1" s="1"/>
  <c r="J1659" i="1" a="1"/>
  <c r="J1659" i="1"/>
  <c r="I1659" i="1" a="1"/>
  <c r="I1659" i="1"/>
  <c r="F1659" i="1" a="1"/>
  <c r="F1659" i="1" s="1"/>
  <c r="E1659" i="1" a="1"/>
  <c r="E1659" i="1" s="1"/>
  <c r="L1658" i="1" a="1"/>
  <c r="L1658" i="1" s="1"/>
  <c r="J1658" i="1" a="1"/>
  <c r="J1658" i="1"/>
  <c r="K1658" i="1" s="1" a="1"/>
  <c r="K1658" i="1" s="1"/>
  <c r="N1658" i="1" s="1" a="1"/>
  <c r="N1658" i="1" s="1"/>
  <c r="I1658" i="1" a="1"/>
  <c r="I1658" i="1"/>
  <c r="F1658" i="1" a="1"/>
  <c r="F1658" i="1" s="1"/>
  <c r="E1658" i="1" a="1"/>
  <c r="E1658" i="1" s="1"/>
  <c r="L1657" i="1" a="1"/>
  <c r="L1657" i="1" s="1"/>
  <c r="J1657" i="1" a="1"/>
  <c r="J1657" i="1"/>
  <c r="K1657" i="1" s="1" a="1"/>
  <c r="K1657" i="1" s="1"/>
  <c r="N1657" i="1" s="1" a="1"/>
  <c r="N1657" i="1" s="1"/>
  <c r="I1657" i="1" a="1"/>
  <c r="I1657" i="1"/>
  <c r="F1657" i="1" a="1"/>
  <c r="F1657" i="1" s="1"/>
  <c r="E1657" i="1" a="1"/>
  <c r="E1657" i="1" s="1"/>
  <c r="L1656" i="1" a="1"/>
  <c r="L1656" i="1" s="1"/>
  <c r="J1656" i="1" a="1"/>
  <c r="J1656" i="1"/>
  <c r="I1656" i="1" a="1"/>
  <c r="I1656" i="1"/>
  <c r="F1656" i="1" a="1"/>
  <c r="F1656" i="1" s="1"/>
  <c r="E1656" i="1" a="1"/>
  <c r="E1656" i="1" s="1"/>
  <c r="L1655" i="1" a="1"/>
  <c r="L1655" i="1" s="1"/>
  <c r="J1655" i="1" a="1"/>
  <c r="J1655" i="1"/>
  <c r="K1655" i="1" s="1" a="1"/>
  <c r="K1655" i="1" s="1"/>
  <c r="N1655" i="1" s="1" a="1"/>
  <c r="N1655" i="1" s="1"/>
  <c r="I1655" i="1" a="1"/>
  <c r="I1655" i="1"/>
  <c r="F1655" i="1" a="1"/>
  <c r="F1655" i="1" s="1"/>
  <c r="E1655" i="1" a="1"/>
  <c r="E1655" i="1" s="1"/>
  <c r="L1654" i="1" a="1"/>
  <c r="L1654" i="1" s="1"/>
  <c r="K1654" i="1" a="1"/>
  <c r="K1654" i="1" s="1"/>
  <c r="N1654" i="1" s="1" a="1"/>
  <c r="N1654" i="1" s="1"/>
  <c r="J1654" i="1" a="1"/>
  <c r="J1654" i="1"/>
  <c r="I1654" i="1" a="1"/>
  <c r="I1654" i="1"/>
  <c r="F1654" i="1" a="1"/>
  <c r="F1654" i="1" s="1"/>
  <c r="E1654" i="1" a="1"/>
  <c r="E1654" i="1" s="1"/>
  <c r="L1653" i="1" a="1"/>
  <c r="L1653" i="1" s="1"/>
  <c r="J1653" i="1" a="1"/>
  <c r="J1653" i="1"/>
  <c r="K1653" i="1" s="1" a="1"/>
  <c r="K1653" i="1" s="1"/>
  <c r="I1653" i="1" a="1"/>
  <c r="I1653" i="1"/>
  <c r="F1653" i="1" a="1"/>
  <c r="F1653" i="1" s="1"/>
  <c r="E1653" i="1" a="1"/>
  <c r="E1653" i="1" s="1"/>
  <c r="L1652" i="1" a="1"/>
  <c r="L1652" i="1" s="1"/>
  <c r="J1652" i="1" a="1"/>
  <c r="J1652" i="1"/>
  <c r="K1652" i="1" s="1" a="1"/>
  <c r="K1652" i="1" s="1"/>
  <c r="N1652" i="1" s="1" a="1"/>
  <c r="N1652" i="1" s="1"/>
  <c r="I1652" i="1" a="1"/>
  <c r="I1652" i="1"/>
  <c r="F1652" i="1" a="1"/>
  <c r="F1652" i="1" s="1"/>
  <c r="E1652" i="1" a="1"/>
  <c r="E1652" i="1" s="1"/>
  <c r="L1651" i="1" a="1"/>
  <c r="L1651" i="1" s="1"/>
  <c r="O1651" i="1" s="1" a="1"/>
  <c r="O1651" i="1" s="1"/>
  <c r="J1651" i="1" a="1"/>
  <c r="J1651" i="1" s="1"/>
  <c r="K1651" i="1" s="1" a="1"/>
  <c r="K1651" i="1" s="1"/>
  <c r="N1651" i="1" s="1" a="1"/>
  <c r="N1651" i="1" s="1"/>
  <c r="I1651" i="1" a="1"/>
  <c r="I1651" i="1"/>
  <c r="F1651" i="1" a="1"/>
  <c r="F1651" i="1" s="1"/>
  <c r="E1651" i="1" a="1"/>
  <c r="E1651" i="1" s="1"/>
  <c r="L1650" i="1" a="1"/>
  <c r="L1650" i="1" s="1"/>
  <c r="J1650" i="1" a="1"/>
  <c r="J1650" i="1" s="1"/>
  <c r="K1650" i="1" s="1" a="1"/>
  <c r="K1650" i="1" s="1"/>
  <c r="N1650" i="1" s="1" a="1"/>
  <c r="N1650" i="1" s="1"/>
  <c r="I1650" i="1" a="1"/>
  <c r="I1650" i="1"/>
  <c r="F1650" i="1" a="1"/>
  <c r="F1650" i="1" s="1"/>
  <c r="E1650" i="1" a="1"/>
  <c r="E1650" i="1" s="1"/>
  <c r="L1649" i="1" a="1"/>
  <c r="L1649" i="1" s="1"/>
  <c r="O1649" i="1" s="1" a="1"/>
  <c r="O1649" i="1" s="1"/>
  <c r="J1649" i="1" a="1"/>
  <c r="J1649" i="1" s="1"/>
  <c r="K1649" i="1" s="1" a="1"/>
  <c r="K1649" i="1" s="1"/>
  <c r="N1649" i="1" s="1" a="1"/>
  <c r="N1649" i="1" s="1"/>
  <c r="I1649" i="1" a="1"/>
  <c r="I1649" i="1"/>
  <c r="F1649" i="1" a="1"/>
  <c r="F1649" i="1" s="1"/>
  <c r="E1649" i="1" a="1"/>
  <c r="E1649" i="1" s="1"/>
  <c r="L1648" i="1" a="1"/>
  <c r="L1648" i="1" s="1"/>
  <c r="O1648" i="1" s="1" a="1"/>
  <c r="O1648" i="1" s="1"/>
  <c r="J1648" i="1" a="1"/>
  <c r="J1648" i="1"/>
  <c r="K1648" i="1" s="1" a="1"/>
  <c r="K1648" i="1" s="1"/>
  <c r="N1648" i="1" s="1" a="1"/>
  <c r="N1648" i="1" s="1"/>
  <c r="I1648" i="1" a="1"/>
  <c r="I1648" i="1"/>
  <c r="F1648" i="1" a="1"/>
  <c r="F1648" i="1" s="1"/>
  <c r="E1648" i="1" a="1"/>
  <c r="E1648" i="1" s="1"/>
  <c r="L1647" i="1" a="1"/>
  <c r="L1647" i="1" s="1"/>
  <c r="J1647" i="1" a="1"/>
  <c r="J1647" i="1" s="1"/>
  <c r="K1647" i="1" s="1" a="1"/>
  <c r="K1647" i="1" s="1"/>
  <c r="I1647" i="1" a="1"/>
  <c r="I1647" i="1"/>
  <c r="F1647" i="1" a="1"/>
  <c r="F1647" i="1" s="1"/>
  <c r="E1647" i="1" a="1"/>
  <c r="E1647" i="1" s="1"/>
  <c r="L1646" i="1" a="1"/>
  <c r="L1646" i="1" s="1"/>
  <c r="K1646" i="1" a="1"/>
  <c r="K1646" i="1" s="1"/>
  <c r="N1646" i="1" s="1" a="1"/>
  <c r="N1646" i="1" s="1"/>
  <c r="J1646" i="1" a="1"/>
  <c r="J1646" i="1" s="1"/>
  <c r="I1646" i="1" a="1"/>
  <c r="I1646" i="1"/>
  <c r="F1646" i="1" a="1"/>
  <c r="F1646" i="1" s="1"/>
  <c r="E1646" i="1" a="1"/>
  <c r="E1646" i="1" s="1"/>
  <c r="L1645" i="1" a="1"/>
  <c r="L1645" i="1" s="1"/>
  <c r="J1645" i="1" a="1"/>
  <c r="J1645" i="1"/>
  <c r="K1645" i="1" s="1" a="1"/>
  <c r="K1645" i="1" s="1"/>
  <c r="I1645" i="1" a="1"/>
  <c r="I1645" i="1"/>
  <c r="F1645" i="1" a="1"/>
  <c r="F1645" i="1" s="1"/>
  <c r="E1645" i="1" a="1"/>
  <c r="E1645" i="1" s="1"/>
  <c r="L1644" i="1" a="1"/>
  <c r="L1644" i="1" s="1"/>
  <c r="O1644" i="1" s="1" a="1"/>
  <c r="O1644" i="1" s="1"/>
  <c r="J1644" i="1" a="1"/>
  <c r="J1644" i="1"/>
  <c r="K1644" i="1" s="1" a="1"/>
  <c r="K1644" i="1" s="1"/>
  <c r="N1644" i="1" s="1" a="1"/>
  <c r="N1644" i="1" s="1"/>
  <c r="I1644" i="1" a="1"/>
  <c r="I1644" i="1"/>
  <c r="F1644" i="1" a="1"/>
  <c r="F1644" i="1" s="1"/>
  <c r="E1644" i="1" a="1"/>
  <c r="E1644" i="1" s="1"/>
  <c r="L1643" i="1" a="1"/>
  <c r="L1643" i="1" s="1"/>
  <c r="O1643" i="1" s="1" a="1"/>
  <c r="O1643" i="1" s="1"/>
  <c r="J1643" i="1" a="1"/>
  <c r="J1643" i="1" s="1"/>
  <c r="K1643" i="1" s="1" a="1"/>
  <c r="K1643" i="1" s="1"/>
  <c r="N1643" i="1" s="1" a="1"/>
  <c r="N1643" i="1" s="1"/>
  <c r="I1643" i="1" a="1"/>
  <c r="I1643" i="1"/>
  <c r="F1643" i="1" a="1"/>
  <c r="F1643" i="1" s="1"/>
  <c r="E1643" i="1" a="1"/>
  <c r="E1643" i="1" s="1"/>
  <c r="O1642" i="1" a="1"/>
  <c r="O1642" i="1" s="1"/>
  <c r="L1642" i="1" a="1"/>
  <c r="L1642" i="1" s="1"/>
  <c r="K1642" i="1" a="1"/>
  <c r="K1642" i="1" s="1"/>
  <c r="J1642" i="1" a="1"/>
  <c r="J1642" i="1" s="1"/>
  <c r="I1642" i="1" a="1"/>
  <c r="I1642" i="1"/>
  <c r="F1642" i="1" a="1"/>
  <c r="F1642" i="1" s="1"/>
  <c r="E1642" i="1" a="1"/>
  <c r="E1642" i="1" s="1"/>
  <c r="L1641" i="1" a="1"/>
  <c r="L1641" i="1" s="1"/>
  <c r="O1641" i="1" s="1" a="1"/>
  <c r="O1641" i="1" s="1"/>
  <c r="K1641" i="1" a="1"/>
  <c r="K1641" i="1" s="1"/>
  <c r="N1641" i="1" s="1" a="1"/>
  <c r="N1641" i="1" s="1"/>
  <c r="J1641" i="1" a="1"/>
  <c r="J1641" i="1"/>
  <c r="I1641" i="1" a="1"/>
  <c r="I1641" i="1" s="1"/>
  <c r="F1641" i="1" a="1"/>
  <c r="F1641" i="1" s="1"/>
  <c r="E1641" i="1" a="1"/>
  <c r="E1641" i="1"/>
  <c r="L1640" i="1" a="1"/>
  <c r="L1640" i="1" s="1"/>
  <c r="J1640" i="1" a="1"/>
  <c r="J1640" i="1"/>
  <c r="K1640" i="1" s="1" a="1"/>
  <c r="K1640" i="1" s="1"/>
  <c r="I1640" i="1" a="1"/>
  <c r="I1640" i="1" s="1"/>
  <c r="F1640" i="1" a="1"/>
  <c r="F1640" i="1" s="1"/>
  <c r="E1640" i="1" a="1"/>
  <c r="E1640" i="1"/>
  <c r="L1639" i="1" a="1"/>
  <c r="L1639" i="1" s="1"/>
  <c r="O1639" i="1" s="1" a="1"/>
  <c r="O1639" i="1" s="1"/>
  <c r="K1639" i="1" a="1"/>
  <c r="K1639" i="1" s="1"/>
  <c r="N1639" i="1" s="1" a="1"/>
  <c r="N1639" i="1" s="1"/>
  <c r="J1639" i="1" a="1"/>
  <c r="J1639" i="1"/>
  <c r="I1639" i="1" a="1"/>
  <c r="I1639" i="1" s="1"/>
  <c r="F1639" i="1" a="1"/>
  <c r="F1639" i="1" s="1"/>
  <c r="E1639" i="1" a="1"/>
  <c r="E1639" i="1"/>
  <c r="L1638" i="1" a="1"/>
  <c r="L1638" i="1" s="1"/>
  <c r="J1638" i="1" a="1"/>
  <c r="J1638" i="1"/>
  <c r="K1638" i="1" s="1" a="1"/>
  <c r="K1638" i="1" s="1"/>
  <c r="I1638" i="1" a="1"/>
  <c r="I1638" i="1" s="1"/>
  <c r="F1638" i="1" a="1"/>
  <c r="F1638" i="1" s="1"/>
  <c r="E1638" i="1" a="1"/>
  <c r="E1638" i="1" s="1"/>
  <c r="L1637" i="1" a="1"/>
  <c r="L1637" i="1" s="1"/>
  <c r="I1637" i="1" a="1"/>
  <c r="I1637" i="1" s="1"/>
  <c r="G1637" i="1" a="1"/>
  <c r="G1637" i="1" s="1"/>
  <c r="J1637" i="1" s="1" a="1"/>
  <c r="J1637" i="1" s="1"/>
  <c r="K1637" i="1" s="1" a="1"/>
  <c r="K1637" i="1" s="1"/>
  <c r="N1637" i="1" s="1" a="1"/>
  <c r="N1637" i="1" s="1"/>
  <c r="F1637" i="1" a="1"/>
  <c r="F1637" i="1"/>
  <c r="E1637" i="1" a="1"/>
  <c r="E1637" i="1" s="1"/>
  <c r="L1636" i="1" a="1"/>
  <c r="L1636" i="1" s="1"/>
  <c r="J1636" i="1" a="1"/>
  <c r="J1636" i="1" s="1"/>
  <c r="K1636" i="1" s="1" a="1"/>
  <c r="K1636" i="1" s="1"/>
  <c r="N1636" i="1" s="1" a="1"/>
  <c r="N1636" i="1" s="1"/>
  <c r="I1636" i="1" a="1"/>
  <c r="I1636" i="1" s="1"/>
  <c r="F1636" i="1" a="1"/>
  <c r="F1636" i="1" s="1"/>
  <c r="E1636" i="1" a="1"/>
  <c r="E1636" i="1" s="1"/>
  <c r="L1635" i="1" a="1"/>
  <c r="L1635" i="1" s="1"/>
  <c r="O1635" i="1" s="1" a="1"/>
  <c r="O1635" i="1" s="1"/>
  <c r="J1635" i="1" a="1"/>
  <c r="J1635" i="1" s="1"/>
  <c r="K1635" i="1" s="1" a="1"/>
  <c r="K1635" i="1" s="1"/>
  <c r="N1635" i="1" s="1" a="1"/>
  <c r="N1635" i="1" s="1"/>
  <c r="I1635" i="1" a="1"/>
  <c r="I1635" i="1" s="1"/>
  <c r="F1635" i="1" a="1"/>
  <c r="F1635" i="1"/>
  <c r="E1635" i="1" a="1"/>
  <c r="E1635" i="1" s="1"/>
  <c r="L1634" i="1" a="1"/>
  <c r="L1634" i="1" s="1"/>
  <c r="J1634" i="1" a="1"/>
  <c r="J1634" i="1" s="1"/>
  <c r="K1634" i="1" s="1" a="1"/>
  <c r="K1634" i="1" s="1"/>
  <c r="N1634" i="1" s="1" a="1"/>
  <c r="N1634" i="1" s="1"/>
  <c r="I1634" i="1" a="1"/>
  <c r="I1634" i="1" s="1"/>
  <c r="F1634" i="1" a="1"/>
  <c r="F1634" i="1" s="1"/>
  <c r="E1634" i="1" a="1"/>
  <c r="E1634" i="1" s="1"/>
  <c r="L1633" i="1" a="1"/>
  <c r="L1633" i="1" s="1"/>
  <c r="O1633" i="1" s="1" a="1"/>
  <c r="O1633" i="1" s="1"/>
  <c r="J1633" i="1" a="1"/>
  <c r="J1633" i="1" s="1"/>
  <c r="K1633" i="1" s="1" a="1"/>
  <c r="K1633" i="1" s="1"/>
  <c r="N1633" i="1" s="1" a="1"/>
  <c r="N1633" i="1" s="1"/>
  <c r="I1633" i="1" a="1"/>
  <c r="I1633" i="1" s="1"/>
  <c r="F1633" i="1" a="1"/>
  <c r="F1633" i="1"/>
  <c r="E1633" i="1" a="1"/>
  <c r="E1633" i="1" s="1"/>
  <c r="L1632" i="1" a="1"/>
  <c r="L1632" i="1" s="1"/>
  <c r="J1632" i="1" a="1"/>
  <c r="J1632" i="1" s="1"/>
  <c r="K1632" i="1" s="1" a="1"/>
  <c r="K1632" i="1" s="1"/>
  <c r="N1632" i="1" s="1" a="1"/>
  <c r="N1632" i="1" s="1"/>
  <c r="I1632" i="1" a="1"/>
  <c r="I1632" i="1" s="1"/>
  <c r="F1632" i="1" a="1"/>
  <c r="F1632" i="1" s="1"/>
  <c r="E1632" i="1" a="1"/>
  <c r="E1632" i="1" s="1"/>
  <c r="N1631" i="1" a="1"/>
  <c r="N1631" i="1" s="1"/>
  <c r="L1631" i="1" a="1"/>
  <c r="L1631" i="1" s="1"/>
  <c r="J1631" i="1" a="1"/>
  <c r="J1631" i="1" s="1"/>
  <c r="K1631" i="1" s="1" a="1"/>
  <c r="K1631" i="1" s="1"/>
  <c r="I1631" i="1" a="1"/>
  <c r="I1631" i="1" s="1"/>
  <c r="F1631" i="1" a="1"/>
  <c r="F1631" i="1"/>
  <c r="E1631" i="1" a="1"/>
  <c r="E1631" i="1" s="1"/>
  <c r="L1630" i="1" a="1"/>
  <c r="L1630" i="1" s="1"/>
  <c r="O1630" i="1" s="1" a="1"/>
  <c r="O1630" i="1" s="1"/>
  <c r="K1630" i="1"/>
  <c r="N1630" i="1" s="1" a="1"/>
  <c r="N1630" i="1" s="1"/>
  <c r="J1630" i="1" a="1"/>
  <c r="J1630" i="1" s="1"/>
  <c r="K1630" i="1" s="1" a="1"/>
  <c r="I1630" i="1" a="1"/>
  <c r="I1630" i="1" s="1"/>
  <c r="F1630" i="1" a="1"/>
  <c r="F1630" i="1" s="1"/>
  <c r="E1630" i="1" a="1"/>
  <c r="E1630" i="1" s="1"/>
  <c r="L1629" i="1" a="1"/>
  <c r="L1629" i="1" s="1"/>
  <c r="J1629" i="1" a="1"/>
  <c r="J1629" i="1" s="1"/>
  <c r="K1629" i="1" s="1" a="1"/>
  <c r="K1629" i="1" s="1"/>
  <c r="N1629" i="1" s="1" a="1"/>
  <c r="N1629" i="1" s="1"/>
  <c r="I1629" i="1" a="1"/>
  <c r="I1629" i="1" s="1"/>
  <c r="F1629" i="1" a="1"/>
  <c r="F1629" i="1"/>
  <c r="E1629" i="1" a="1"/>
  <c r="E1629" i="1" s="1"/>
  <c r="L1628" i="1" a="1"/>
  <c r="L1628" i="1" s="1"/>
  <c r="J1628" i="1" a="1"/>
  <c r="J1628" i="1" s="1"/>
  <c r="K1628" i="1" s="1" a="1"/>
  <c r="K1628" i="1" s="1"/>
  <c r="N1628" i="1" s="1" a="1"/>
  <c r="N1628" i="1" s="1"/>
  <c r="I1628" i="1" a="1"/>
  <c r="I1628" i="1" s="1"/>
  <c r="F1628" i="1" a="1"/>
  <c r="F1628" i="1" s="1"/>
  <c r="E1628" i="1" a="1"/>
  <c r="E1628" i="1" s="1"/>
  <c r="L1627" i="1" a="1"/>
  <c r="L1627" i="1" s="1"/>
  <c r="J1627" i="1" a="1"/>
  <c r="J1627" i="1" s="1"/>
  <c r="K1627" i="1" s="1" a="1"/>
  <c r="K1627" i="1" s="1"/>
  <c r="N1627" i="1" s="1" a="1"/>
  <c r="N1627" i="1" s="1"/>
  <c r="I1627" i="1" a="1"/>
  <c r="I1627" i="1" s="1"/>
  <c r="F1627" i="1" a="1"/>
  <c r="F1627" i="1"/>
  <c r="E1627" i="1" a="1"/>
  <c r="E1627" i="1" s="1"/>
  <c r="L1626" i="1" a="1"/>
  <c r="L1626" i="1" s="1"/>
  <c r="K1626" i="1"/>
  <c r="N1626" i="1" s="1" a="1"/>
  <c r="N1626" i="1" s="1"/>
  <c r="J1626" i="1" a="1"/>
  <c r="J1626" i="1" s="1"/>
  <c r="K1626" i="1" s="1" a="1"/>
  <c r="I1626" i="1" a="1"/>
  <c r="I1626" i="1" s="1"/>
  <c r="F1626" i="1" a="1"/>
  <c r="F1626" i="1" s="1"/>
  <c r="E1626" i="1" a="1"/>
  <c r="E1626" i="1" s="1"/>
  <c r="N1625" i="1" a="1"/>
  <c r="N1625" i="1" s="1"/>
  <c r="L1625" i="1" a="1"/>
  <c r="L1625" i="1" s="1"/>
  <c r="O1625" i="1" s="1" a="1"/>
  <c r="O1625" i="1" s="1"/>
  <c r="J1625" i="1" a="1"/>
  <c r="J1625" i="1" s="1"/>
  <c r="K1625" i="1" s="1" a="1"/>
  <c r="K1625" i="1" s="1"/>
  <c r="I1625" i="1" a="1"/>
  <c r="I1625" i="1" s="1"/>
  <c r="F1625" i="1" a="1"/>
  <c r="F1625" i="1"/>
  <c r="E1625" i="1" a="1"/>
  <c r="E1625" i="1" s="1"/>
  <c r="L1624" i="1" a="1"/>
  <c r="L1624" i="1" s="1"/>
  <c r="K1624" i="1"/>
  <c r="N1624" i="1" s="1" a="1"/>
  <c r="N1624" i="1" s="1"/>
  <c r="J1624" i="1" a="1"/>
  <c r="J1624" i="1" s="1"/>
  <c r="K1624" i="1" s="1" a="1"/>
  <c r="I1624" i="1" a="1"/>
  <c r="I1624" i="1" s="1"/>
  <c r="F1624" i="1" a="1"/>
  <c r="F1624" i="1" s="1"/>
  <c r="E1624" i="1" a="1"/>
  <c r="E1624" i="1" s="1"/>
  <c r="L1623" i="1" a="1"/>
  <c r="L1623" i="1" s="1"/>
  <c r="J1623" i="1" a="1"/>
  <c r="J1623" i="1" s="1"/>
  <c r="I1623" i="1" a="1"/>
  <c r="I1623" i="1" s="1"/>
  <c r="F1623" i="1" a="1"/>
  <c r="F1623" i="1" s="1"/>
  <c r="E1623" i="1" a="1"/>
  <c r="E1623" i="1"/>
  <c r="L1622" i="1" a="1"/>
  <c r="L1622" i="1"/>
  <c r="K1622" i="1" a="1"/>
  <c r="K1622" i="1" s="1"/>
  <c r="N1622" i="1" s="1" a="1"/>
  <c r="N1622" i="1" s="1"/>
  <c r="J1622" i="1" a="1"/>
  <c r="J1622" i="1" s="1"/>
  <c r="I1622" i="1" a="1"/>
  <c r="I1622" i="1"/>
  <c r="F1622" i="1" a="1"/>
  <c r="F1622" i="1" s="1"/>
  <c r="E1622" i="1" a="1"/>
  <c r="E1622" i="1"/>
  <c r="L1621" i="1" a="1"/>
  <c r="L1621" i="1" s="1"/>
  <c r="J1621" i="1" a="1"/>
  <c r="J1621" i="1" s="1"/>
  <c r="K1621" i="1" s="1" a="1"/>
  <c r="K1621" i="1" s="1"/>
  <c r="N1621" i="1" s="1" a="1"/>
  <c r="N1621" i="1" s="1"/>
  <c r="I1621" i="1" a="1"/>
  <c r="I1621" i="1"/>
  <c r="F1621" i="1" a="1"/>
  <c r="F1621" i="1"/>
  <c r="E1621" i="1" a="1"/>
  <c r="E1621" i="1" s="1"/>
  <c r="N1620" i="1" a="1"/>
  <c r="N1620" i="1" s="1"/>
  <c r="L1620" i="1" a="1"/>
  <c r="L1620" i="1" s="1"/>
  <c r="O1620" i="1" s="1" a="1"/>
  <c r="O1620" i="1" s="1"/>
  <c r="J1620" i="1" a="1"/>
  <c r="J1620" i="1" s="1"/>
  <c r="I1620" i="1" a="1"/>
  <c r="I1620" i="1"/>
  <c r="K1620" i="1" s="1" a="1"/>
  <c r="K1620" i="1" s="1"/>
  <c r="F1620" i="1" a="1"/>
  <c r="F1620" i="1"/>
  <c r="E1620" i="1" a="1"/>
  <c r="E1620" i="1"/>
  <c r="L1619" i="1" a="1"/>
  <c r="L1619" i="1" s="1"/>
  <c r="J1619" i="1" a="1"/>
  <c r="J1619" i="1" s="1"/>
  <c r="I1619" i="1" a="1"/>
  <c r="I1619" i="1" s="1"/>
  <c r="F1619" i="1" a="1"/>
  <c r="F1619" i="1"/>
  <c r="E1619" i="1" a="1"/>
  <c r="E1619" i="1"/>
  <c r="L1618" i="1" a="1"/>
  <c r="L1618" i="1"/>
  <c r="O1618" i="1" s="1" a="1"/>
  <c r="O1618" i="1" s="1"/>
  <c r="K1618" i="1" a="1"/>
  <c r="K1618" i="1" s="1"/>
  <c r="N1618" i="1" s="1" a="1"/>
  <c r="N1618" i="1" s="1"/>
  <c r="J1618" i="1" a="1"/>
  <c r="J1618" i="1" s="1"/>
  <c r="I1618" i="1" a="1"/>
  <c r="I1618" i="1"/>
  <c r="F1618" i="1" a="1"/>
  <c r="F1618" i="1" s="1"/>
  <c r="E1618" i="1" a="1"/>
  <c r="E1618" i="1"/>
  <c r="L1617" i="1" a="1"/>
  <c r="L1617" i="1" s="1"/>
  <c r="J1617" i="1" a="1"/>
  <c r="J1617" i="1" s="1"/>
  <c r="K1617" i="1" s="1" a="1"/>
  <c r="K1617" i="1" s="1"/>
  <c r="N1617" i="1" s="1" a="1"/>
  <c r="N1617" i="1" s="1"/>
  <c r="I1617" i="1" a="1"/>
  <c r="I1617" i="1"/>
  <c r="F1617" i="1" a="1"/>
  <c r="F1617" i="1"/>
  <c r="E1617" i="1" a="1"/>
  <c r="E1617" i="1" s="1"/>
  <c r="L1616" i="1" a="1"/>
  <c r="L1616" i="1" s="1"/>
  <c r="J1616" i="1" a="1"/>
  <c r="J1616" i="1" s="1"/>
  <c r="I1616" i="1" a="1"/>
  <c r="I1616" i="1" s="1"/>
  <c r="K1616" i="1" s="1" a="1"/>
  <c r="K1616" i="1" s="1"/>
  <c r="F1616" i="1" a="1"/>
  <c r="F1616" i="1"/>
  <c r="E1616" i="1" a="1"/>
  <c r="E1616" i="1"/>
  <c r="L1615" i="1" a="1"/>
  <c r="L1615" i="1" s="1"/>
  <c r="J1615" i="1" a="1"/>
  <c r="J1615" i="1" s="1"/>
  <c r="K1615" i="1" s="1" a="1"/>
  <c r="K1615" i="1" s="1"/>
  <c r="N1615" i="1" s="1" a="1"/>
  <c r="N1615" i="1" s="1"/>
  <c r="I1615" i="1" a="1"/>
  <c r="I1615" i="1" s="1"/>
  <c r="F1615" i="1" a="1"/>
  <c r="F1615" i="1"/>
  <c r="E1615" i="1" a="1"/>
  <c r="E1615" i="1" s="1"/>
  <c r="L1614" i="1" a="1"/>
  <c r="L1614" i="1"/>
  <c r="J1614" i="1" a="1"/>
  <c r="J1614" i="1" s="1"/>
  <c r="I1614" i="1" a="1"/>
  <c r="I1614" i="1"/>
  <c r="K1614" i="1" s="1" a="1"/>
  <c r="K1614" i="1" s="1"/>
  <c r="N1614" i="1" s="1" a="1"/>
  <c r="N1614" i="1" s="1"/>
  <c r="F1614" i="1" a="1"/>
  <c r="F1614" i="1" s="1"/>
  <c r="E1614" i="1" a="1"/>
  <c r="E1614" i="1" s="1"/>
  <c r="L1613" i="1" a="1"/>
  <c r="L1613" i="1" s="1"/>
  <c r="J1613" i="1" a="1"/>
  <c r="J1613" i="1" s="1"/>
  <c r="K1613" i="1" s="1" a="1"/>
  <c r="K1613" i="1" s="1"/>
  <c r="N1613" i="1" s="1" a="1"/>
  <c r="N1613" i="1" s="1"/>
  <c r="I1613" i="1" a="1"/>
  <c r="I1613" i="1" s="1"/>
  <c r="F1613" i="1" a="1"/>
  <c r="F1613" i="1"/>
  <c r="E1613" i="1" a="1"/>
  <c r="E1613" i="1" s="1"/>
  <c r="L1612" i="1" a="1"/>
  <c r="L1612" i="1" s="1"/>
  <c r="J1612" i="1" a="1"/>
  <c r="J1612" i="1" s="1"/>
  <c r="I1612" i="1" a="1"/>
  <c r="I1612" i="1"/>
  <c r="K1612" i="1" s="1" a="1"/>
  <c r="K1612" i="1" s="1"/>
  <c r="F1612" i="1" a="1"/>
  <c r="F1612" i="1" s="1"/>
  <c r="E1612" i="1" a="1"/>
  <c r="E1612" i="1"/>
  <c r="L1611" i="1" a="1"/>
  <c r="L1611" i="1" s="1"/>
  <c r="J1611" i="1" a="1"/>
  <c r="J1611" i="1" s="1"/>
  <c r="I1611" i="1" a="1"/>
  <c r="I1611" i="1" s="1"/>
  <c r="F1611" i="1" a="1"/>
  <c r="F1611" i="1" s="1"/>
  <c r="E1611" i="1" a="1"/>
  <c r="E1611" i="1" s="1"/>
  <c r="L1610" i="1" a="1"/>
  <c r="L1610" i="1"/>
  <c r="J1610" i="1" a="1"/>
  <c r="J1610" i="1" s="1"/>
  <c r="I1610" i="1" a="1"/>
  <c r="I1610" i="1"/>
  <c r="K1610" i="1" s="1" a="1"/>
  <c r="K1610" i="1" s="1"/>
  <c r="N1610" i="1" s="1" a="1"/>
  <c r="N1610" i="1" s="1"/>
  <c r="F1610" i="1" a="1"/>
  <c r="F1610" i="1" s="1"/>
  <c r="E1610" i="1" a="1"/>
  <c r="E1610" i="1" s="1"/>
  <c r="L1609" i="1" a="1"/>
  <c r="L1609" i="1" s="1"/>
  <c r="J1609" i="1" a="1"/>
  <c r="J1609" i="1" s="1"/>
  <c r="I1609" i="1" a="1"/>
  <c r="I1609" i="1" s="1"/>
  <c r="F1609" i="1" a="1"/>
  <c r="F1609" i="1"/>
  <c r="E1609" i="1" a="1"/>
  <c r="E1609" i="1" s="1"/>
  <c r="L1608" i="1" a="1"/>
  <c r="L1608" i="1" s="1"/>
  <c r="J1608" i="1" a="1"/>
  <c r="J1608" i="1" s="1"/>
  <c r="I1608" i="1" a="1"/>
  <c r="I1608" i="1" s="1"/>
  <c r="K1608" i="1" s="1" a="1"/>
  <c r="K1608" i="1" s="1"/>
  <c r="N1608" i="1" s="1" a="1"/>
  <c r="N1608" i="1" s="1"/>
  <c r="F1608" i="1" a="1"/>
  <c r="F1608" i="1" s="1"/>
  <c r="E1608" i="1" a="1"/>
  <c r="E1608" i="1"/>
  <c r="L1607" i="1" a="1"/>
  <c r="L1607" i="1" s="1"/>
  <c r="J1607" i="1" a="1"/>
  <c r="J1607" i="1" s="1"/>
  <c r="K1607" i="1" s="1" a="1"/>
  <c r="K1607" i="1" s="1"/>
  <c r="N1607" i="1" s="1" a="1"/>
  <c r="N1607" i="1" s="1"/>
  <c r="I1607" i="1" a="1"/>
  <c r="I1607" i="1" s="1"/>
  <c r="F1607" i="1" a="1"/>
  <c r="F1607" i="1"/>
  <c r="E1607" i="1" a="1"/>
  <c r="E1607" i="1" s="1"/>
  <c r="L1606" i="1" a="1"/>
  <c r="L1606" i="1"/>
  <c r="K1606" i="1" a="1"/>
  <c r="K1606" i="1" s="1"/>
  <c r="N1606" i="1" s="1" a="1"/>
  <c r="N1606" i="1" s="1"/>
  <c r="J1606" i="1" a="1"/>
  <c r="J1606" i="1" s="1"/>
  <c r="I1606" i="1" a="1"/>
  <c r="I1606" i="1"/>
  <c r="F1606" i="1" a="1"/>
  <c r="F1606" i="1" s="1"/>
  <c r="E1606" i="1" a="1"/>
  <c r="E1606" i="1" s="1"/>
  <c r="L1605" i="1" a="1"/>
  <c r="L1605" i="1" s="1"/>
  <c r="K1605" i="1"/>
  <c r="N1605" i="1" s="1" a="1"/>
  <c r="N1605" i="1" s="1"/>
  <c r="J1605" i="1" a="1"/>
  <c r="J1605" i="1" s="1"/>
  <c r="K1605" i="1" s="1" a="1"/>
  <c r="I1605" i="1" a="1"/>
  <c r="I1605" i="1" s="1"/>
  <c r="F1605" i="1" a="1"/>
  <c r="F1605" i="1"/>
  <c r="E1605" i="1" a="1"/>
  <c r="E1605" i="1" s="1"/>
  <c r="L1604" i="1" a="1"/>
  <c r="L1604" i="1" s="1"/>
  <c r="O1604" i="1" s="1" a="1"/>
  <c r="O1604" i="1" s="1"/>
  <c r="J1604" i="1" a="1"/>
  <c r="J1604" i="1" s="1"/>
  <c r="I1604" i="1" a="1"/>
  <c r="I1604" i="1" s="1"/>
  <c r="K1604" i="1" s="1" a="1"/>
  <c r="K1604" i="1" s="1"/>
  <c r="N1604" i="1" s="1" a="1"/>
  <c r="N1604" i="1" s="1"/>
  <c r="F1604" i="1" a="1"/>
  <c r="F1604" i="1" s="1"/>
  <c r="E1604" i="1" a="1"/>
  <c r="E1604" i="1"/>
  <c r="L1603" i="1" a="1"/>
  <c r="L1603" i="1" s="1"/>
  <c r="J1603" i="1" a="1"/>
  <c r="J1603" i="1" s="1"/>
  <c r="I1603" i="1" a="1"/>
  <c r="I1603" i="1" s="1"/>
  <c r="F1603" i="1" a="1"/>
  <c r="F1603" i="1"/>
  <c r="E1603" i="1" a="1"/>
  <c r="E1603" i="1" s="1"/>
  <c r="L1602" i="1" a="1"/>
  <c r="L1602" i="1"/>
  <c r="J1602" i="1" a="1"/>
  <c r="J1602" i="1" s="1"/>
  <c r="I1602" i="1" a="1"/>
  <c r="I1602" i="1"/>
  <c r="K1602" i="1" s="1" a="1"/>
  <c r="K1602" i="1" s="1"/>
  <c r="N1602" i="1" s="1" a="1"/>
  <c r="N1602" i="1" s="1"/>
  <c r="F1602" i="1" a="1"/>
  <c r="F1602" i="1" s="1"/>
  <c r="E1602" i="1" a="1"/>
  <c r="E1602" i="1"/>
  <c r="L1601" i="1" a="1"/>
  <c r="L1601" i="1" s="1"/>
  <c r="J1601" i="1" a="1"/>
  <c r="J1601" i="1" s="1"/>
  <c r="K1601" i="1" s="1" a="1"/>
  <c r="K1601" i="1" s="1"/>
  <c r="N1601" i="1" s="1" a="1"/>
  <c r="N1601" i="1" s="1"/>
  <c r="I1601" i="1" a="1"/>
  <c r="I1601" i="1" s="1"/>
  <c r="F1601" i="1" a="1"/>
  <c r="F1601" i="1"/>
  <c r="E1601" i="1" a="1"/>
  <c r="E1601" i="1" s="1"/>
  <c r="O1600" i="1" a="1"/>
  <c r="O1600" i="1" s="1"/>
  <c r="L1600" i="1" a="1"/>
  <c r="L1600" i="1" s="1"/>
  <c r="J1600" i="1" a="1"/>
  <c r="J1600" i="1" s="1"/>
  <c r="I1600" i="1" a="1"/>
  <c r="I1600" i="1" s="1"/>
  <c r="K1600" i="1" s="1" a="1"/>
  <c r="K1600" i="1" s="1"/>
  <c r="N1600" i="1" s="1" a="1"/>
  <c r="N1600" i="1" s="1"/>
  <c r="F1600" i="1" a="1"/>
  <c r="F1600" i="1" s="1"/>
  <c r="E1600" i="1" a="1"/>
  <c r="E1600" i="1"/>
  <c r="L1599" i="1" a="1"/>
  <c r="L1599" i="1" s="1"/>
  <c r="J1599" i="1" a="1"/>
  <c r="J1599" i="1" s="1"/>
  <c r="I1599" i="1" a="1"/>
  <c r="I1599" i="1" s="1"/>
  <c r="F1599" i="1" a="1"/>
  <c r="F1599" i="1"/>
  <c r="E1599" i="1" a="1"/>
  <c r="E1599" i="1" s="1"/>
  <c r="L1598" i="1" a="1"/>
  <c r="L1598" i="1"/>
  <c r="J1598" i="1" a="1"/>
  <c r="J1598" i="1" s="1"/>
  <c r="I1598" i="1" a="1"/>
  <c r="I1598" i="1"/>
  <c r="K1598" i="1" s="1" a="1"/>
  <c r="K1598" i="1" s="1"/>
  <c r="N1598" i="1" s="1" a="1"/>
  <c r="N1598" i="1" s="1"/>
  <c r="F1598" i="1" a="1"/>
  <c r="F1598" i="1" s="1"/>
  <c r="E1598" i="1" a="1"/>
  <c r="E1598" i="1" s="1"/>
  <c r="L1597" i="1" a="1"/>
  <c r="L1597" i="1" s="1"/>
  <c r="J1597" i="1" a="1"/>
  <c r="J1597" i="1" s="1"/>
  <c r="K1597" i="1" s="1" a="1"/>
  <c r="K1597" i="1" s="1"/>
  <c r="N1597" i="1" s="1" a="1"/>
  <c r="N1597" i="1" s="1"/>
  <c r="I1597" i="1" a="1"/>
  <c r="I1597" i="1" s="1"/>
  <c r="F1597" i="1" a="1"/>
  <c r="F1597" i="1"/>
  <c r="E1597" i="1" a="1"/>
  <c r="E1597" i="1" s="1"/>
  <c r="L1596" i="1" a="1"/>
  <c r="L1596" i="1" s="1"/>
  <c r="J1596" i="1" a="1"/>
  <c r="J1596" i="1" s="1"/>
  <c r="I1596" i="1" a="1"/>
  <c r="I1596" i="1"/>
  <c r="K1596" i="1" s="1" a="1"/>
  <c r="K1596" i="1" s="1"/>
  <c r="N1596" i="1" s="1" a="1"/>
  <c r="N1596" i="1" s="1"/>
  <c r="F1596" i="1" a="1"/>
  <c r="F1596" i="1" s="1"/>
  <c r="E1596" i="1" a="1"/>
  <c r="E1596" i="1"/>
  <c r="L1595" i="1" a="1"/>
  <c r="L1595" i="1" s="1"/>
  <c r="J1595" i="1" a="1"/>
  <c r="J1595" i="1" s="1"/>
  <c r="I1595" i="1" a="1"/>
  <c r="I1595" i="1" s="1"/>
  <c r="F1595" i="1" a="1"/>
  <c r="F1595" i="1" s="1"/>
  <c r="E1595" i="1" a="1"/>
  <c r="E1595" i="1" s="1"/>
  <c r="L1594" i="1" a="1"/>
  <c r="L1594" i="1"/>
  <c r="J1594" i="1" a="1"/>
  <c r="J1594" i="1" s="1"/>
  <c r="I1594" i="1" a="1"/>
  <c r="I1594" i="1"/>
  <c r="K1594" i="1" s="1" a="1"/>
  <c r="K1594" i="1" s="1"/>
  <c r="N1594" i="1" s="1" a="1"/>
  <c r="N1594" i="1" s="1"/>
  <c r="F1594" i="1" a="1"/>
  <c r="F1594" i="1" s="1"/>
  <c r="E1594" i="1" a="1"/>
  <c r="E1594" i="1" s="1"/>
  <c r="L1593" i="1" a="1"/>
  <c r="L1593" i="1" s="1"/>
  <c r="O1593" i="1" s="1" a="1"/>
  <c r="O1593" i="1" s="1"/>
  <c r="J1593" i="1" a="1"/>
  <c r="J1593" i="1" s="1"/>
  <c r="K1593" i="1" s="1" a="1"/>
  <c r="K1593" i="1" s="1"/>
  <c r="N1593" i="1" s="1" a="1"/>
  <c r="N1593" i="1" s="1"/>
  <c r="I1593" i="1" a="1"/>
  <c r="I1593" i="1" s="1"/>
  <c r="F1593" i="1" a="1"/>
  <c r="F1593" i="1"/>
  <c r="E1593" i="1" a="1"/>
  <c r="E1593" i="1" s="1"/>
  <c r="L1592" i="1" a="1"/>
  <c r="L1592" i="1" s="1"/>
  <c r="J1592" i="1" a="1"/>
  <c r="J1592" i="1" s="1"/>
  <c r="I1592" i="1" a="1"/>
  <c r="I1592" i="1" s="1"/>
  <c r="K1592" i="1" s="1" a="1"/>
  <c r="K1592" i="1" s="1"/>
  <c r="N1592" i="1" s="1" a="1"/>
  <c r="N1592" i="1" s="1"/>
  <c r="F1592" i="1" a="1"/>
  <c r="F1592" i="1" s="1"/>
  <c r="E1592" i="1" a="1"/>
  <c r="E1592" i="1"/>
  <c r="L1591" i="1" a="1"/>
  <c r="L1591" i="1" s="1"/>
  <c r="J1591" i="1" a="1"/>
  <c r="J1591" i="1" s="1"/>
  <c r="I1591" i="1" a="1"/>
  <c r="I1591" i="1"/>
  <c r="F1591" i="1" a="1"/>
  <c r="F1591" i="1" s="1"/>
  <c r="E1591" i="1" a="1"/>
  <c r="E1591" i="1"/>
  <c r="L1590" i="1" a="1"/>
  <c r="L1590" i="1" s="1"/>
  <c r="J1590" i="1" a="1"/>
  <c r="J1590" i="1" s="1"/>
  <c r="K1590" i="1" s="1" a="1"/>
  <c r="K1590" i="1" s="1"/>
  <c r="N1590" i="1" s="1" a="1"/>
  <c r="N1590" i="1" s="1"/>
  <c r="I1590" i="1" a="1"/>
  <c r="I1590" i="1" s="1"/>
  <c r="F1590" i="1" a="1"/>
  <c r="F1590" i="1" s="1"/>
  <c r="E1590" i="1" a="1"/>
  <c r="E1590" i="1"/>
  <c r="L1589" i="1" a="1"/>
  <c r="L1589" i="1" s="1"/>
  <c r="J1589" i="1" a="1"/>
  <c r="J1589" i="1" s="1"/>
  <c r="I1589" i="1" a="1"/>
  <c r="I1589" i="1"/>
  <c r="F1589" i="1" a="1"/>
  <c r="F1589" i="1" s="1"/>
  <c r="E1589" i="1" a="1"/>
  <c r="E1589" i="1"/>
  <c r="L1588" i="1" a="1"/>
  <c r="L1588" i="1" s="1"/>
  <c r="J1588" i="1" a="1"/>
  <c r="J1588" i="1" s="1"/>
  <c r="I1588" i="1" a="1"/>
  <c r="I1588" i="1"/>
  <c r="F1588" i="1" a="1"/>
  <c r="F1588" i="1" s="1"/>
  <c r="E1588" i="1" a="1"/>
  <c r="E1588" i="1"/>
  <c r="L1587" i="1" a="1"/>
  <c r="L1587" i="1" s="1"/>
  <c r="K1587" i="1"/>
  <c r="N1587" i="1" s="1" a="1"/>
  <c r="N1587" i="1" s="1"/>
  <c r="J1587" i="1" a="1"/>
  <c r="J1587" i="1" s="1"/>
  <c r="K1587" i="1" s="1" a="1"/>
  <c r="I1587" i="1" a="1"/>
  <c r="I1587" i="1"/>
  <c r="F1587" i="1" a="1"/>
  <c r="F1587" i="1" s="1"/>
  <c r="E1587" i="1" a="1"/>
  <c r="E1587" i="1"/>
  <c r="L1586" i="1" a="1"/>
  <c r="L1586" i="1" s="1"/>
  <c r="J1586" i="1" a="1"/>
  <c r="J1586" i="1" s="1"/>
  <c r="I1586" i="1" a="1"/>
  <c r="I1586" i="1" s="1"/>
  <c r="F1586" i="1" a="1"/>
  <c r="F1586" i="1" s="1"/>
  <c r="E1586" i="1" a="1"/>
  <c r="E1586" i="1"/>
  <c r="L1585" i="1" a="1"/>
  <c r="L1585" i="1" s="1"/>
  <c r="J1585" i="1" a="1"/>
  <c r="J1585" i="1" s="1"/>
  <c r="I1585" i="1" a="1"/>
  <c r="I1585" i="1" s="1"/>
  <c r="F1585" i="1" a="1"/>
  <c r="F1585" i="1" s="1"/>
  <c r="E1585" i="1" a="1"/>
  <c r="E1585" i="1"/>
  <c r="L1584" i="1" a="1"/>
  <c r="L1584" i="1" s="1"/>
  <c r="J1584" i="1" a="1"/>
  <c r="J1584" i="1" s="1"/>
  <c r="I1584" i="1" a="1"/>
  <c r="I1584" i="1" s="1"/>
  <c r="F1584" i="1" a="1"/>
  <c r="F1584" i="1" s="1"/>
  <c r="E1584" i="1" a="1"/>
  <c r="E1584" i="1"/>
  <c r="L1583" i="1" a="1"/>
  <c r="L1583" i="1" s="1"/>
  <c r="J1583" i="1" a="1"/>
  <c r="J1583" i="1" s="1"/>
  <c r="I1583" i="1" a="1"/>
  <c r="I1583" i="1"/>
  <c r="F1583" i="1" a="1"/>
  <c r="F1583" i="1" s="1"/>
  <c r="E1583" i="1" a="1"/>
  <c r="E1583" i="1"/>
  <c r="L1582" i="1" a="1"/>
  <c r="L1582" i="1" s="1"/>
  <c r="J1582" i="1" a="1"/>
  <c r="J1582" i="1" s="1"/>
  <c r="K1582" i="1" s="1" a="1"/>
  <c r="K1582" i="1" s="1"/>
  <c r="N1582" i="1" s="1" a="1"/>
  <c r="N1582" i="1" s="1"/>
  <c r="I1582" i="1" a="1"/>
  <c r="I1582" i="1" s="1"/>
  <c r="F1582" i="1" a="1"/>
  <c r="F1582" i="1" s="1"/>
  <c r="E1582" i="1" a="1"/>
  <c r="E1582" i="1"/>
  <c r="L1581" i="1" a="1"/>
  <c r="L1581" i="1" s="1"/>
  <c r="J1581" i="1" a="1"/>
  <c r="J1581" i="1" s="1"/>
  <c r="I1581" i="1" a="1"/>
  <c r="I1581" i="1"/>
  <c r="F1581" i="1" a="1"/>
  <c r="F1581" i="1" s="1"/>
  <c r="E1581" i="1" a="1"/>
  <c r="E1581" i="1"/>
  <c r="L1580" i="1" a="1"/>
  <c r="L1580" i="1" s="1"/>
  <c r="J1580" i="1" a="1"/>
  <c r="J1580" i="1" s="1"/>
  <c r="I1580" i="1" a="1"/>
  <c r="I1580" i="1"/>
  <c r="F1580" i="1" a="1"/>
  <c r="F1580" i="1" s="1"/>
  <c r="E1580" i="1" a="1"/>
  <c r="E1580" i="1"/>
  <c r="L1579" i="1" a="1"/>
  <c r="L1579" i="1" s="1"/>
  <c r="K1579" i="1"/>
  <c r="N1579" i="1" s="1" a="1"/>
  <c r="N1579" i="1" s="1"/>
  <c r="J1579" i="1" a="1"/>
  <c r="J1579" i="1" s="1"/>
  <c r="K1579" i="1" s="1" a="1"/>
  <c r="I1579" i="1" a="1"/>
  <c r="I1579" i="1"/>
  <c r="F1579" i="1" a="1"/>
  <c r="F1579" i="1" s="1"/>
  <c r="E1579" i="1" a="1"/>
  <c r="E1579" i="1"/>
  <c r="L1578" i="1" a="1"/>
  <c r="L1578" i="1" s="1"/>
  <c r="J1578" i="1" a="1"/>
  <c r="J1578" i="1" s="1"/>
  <c r="I1578" i="1" a="1"/>
  <c r="I1578" i="1" s="1"/>
  <c r="F1578" i="1" a="1"/>
  <c r="F1578" i="1" s="1"/>
  <c r="E1578" i="1" a="1"/>
  <c r="E1578" i="1"/>
  <c r="L1577" i="1" a="1"/>
  <c r="L1577" i="1" s="1"/>
  <c r="J1577" i="1" a="1"/>
  <c r="J1577" i="1" s="1"/>
  <c r="I1577" i="1" a="1"/>
  <c r="I1577" i="1" s="1"/>
  <c r="F1577" i="1" a="1"/>
  <c r="F1577" i="1" s="1"/>
  <c r="E1577" i="1" a="1"/>
  <c r="E1577" i="1"/>
  <c r="L1576" i="1" a="1"/>
  <c r="L1576" i="1" s="1"/>
  <c r="J1576" i="1" a="1"/>
  <c r="J1576" i="1" s="1"/>
  <c r="I1576" i="1" a="1"/>
  <c r="I1576" i="1" s="1"/>
  <c r="F1576" i="1" a="1"/>
  <c r="F1576" i="1" s="1"/>
  <c r="E1576" i="1" a="1"/>
  <c r="E1576" i="1"/>
  <c r="L1575" i="1" a="1"/>
  <c r="L1575" i="1" s="1"/>
  <c r="J1575" i="1" a="1"/>
  <c r="J1575" i="1" s="1"/>
  <c r="I1575" i="1" a="1"/>
  <c r="I1575" i="1"/>
  <c r="F1575" i="1" a="1"/>
  <c r="F1575" i="1" s="1"/>
  <c r="E1575" i="1" a="1"/>
  <c r="E1575" i="1"/>
  <c r="L1574" i="1" a="1"/>
  <c r="L1574" i="1" s="1"/>
  <c r="J1574" i="1" a="1"/>
  <c r="J1574" i="1" s="1"/>
  <c r="I1574" i="1" a="1"/>
  <c r="I1574" i="1" s="1"/>
  <c r="K1574" i="1" s="1" a="1"/>
  <c r="K1574" i="1" s="1"/>
  <c r="N1574" i="1" s="1" a="1"/>
  <c r="N1574" i="1" s="1"/>
  <c r="F1574" i="1" a="1"/>
  <c r="F1574" i="1" s="1"/>
  <c r="E1574" i="1" a="1"/>
  <c r="E1574" i="1"/>
  <c r="L1573" i="1" a="1"/>
  <c r="L1573" i="1" s="1"/>
  <c r="J1573" i="1" a="1"/>
  <c r="J1573" i="1" s="1"/>
  <c r="I1573" i="1" a="1"/>
  <c r="I1573" i="1"/>
  <c r="F1573" i="1" a="1"/>
  <c r="F1573" i="1" s="1"/>
  <c r="E1573" i="1" a="1"/>
  <c r="E1573" i="1"/>
  <c r="L1572" i="1" a="1"/>
  <c r="L1572" i="1" s="1"/>
  <c r="O1572" i="1" s="1" a="1"/>
  <c r="O1572" i="1" s="1"/>
  <c r="K1572" i="1" a="1"/>
  <c r="K1572" i="1" s="1"/>
  <c r="N1572" i="1" s="1" a="1"/>
  <c r="N1572" i="1" s="1"/>
  <c r="J1572" i="1" a="1"/>
  <c r="J1572" i="1" s="1"/>
  <c r="I1572" i="1" a="1"/>
  <c r="I1572" i="1" s="1"/>
  <c r="F1572" i="1" a="1"/>
  <c r="F1572" i="1" s="1"/>
  <c r="E1572" i="1" a="1"/>
  <c r="E1572" i="1"/>
  <c r="O1571" i="1" a="1"/>
  <c r="O1571" i="1" s="1"/>
  <c r="L1571" i="1" a="1"/>
  <c r="L1571" i="1" s="1"/>
  <c r="J1571" i="1" a="1"/>
  <c r="J1571" i="1" s="1"/>
  <c r="K1571" i="1" s="1" a="1"/>
  <c r="K1571" i="1" s="1"/>
  <c r="N1571" i="1" s="1" a="1"/>
  <c r="N1571" i="1" s="1"/>
  <c r="I1571" i="1" a="1"/>
  <c r="I1571" i="1"/>
  <c r="F1571" i="1" a="1"/>
  <c r="F1571" i="1" s="1"/>
  <c r="E1571" i="1" a="1"/>
  <c r="E1571" i="1"/>
  <c r="L1570" i="1" a="1"/>
  <c r="L1570" i="1" s="1"/>
  <c r="O1570" i="1" s="1" a="1"/>
  <c r="O1570" i="1" s="1"/>
  <c r="K1570" i="1" a="1"/>
  <c r="K1570" i="1" s="1"/>
  <c r="N1570" i="1" s="1" a="1"/>
  <c r="N1570" i="1" s="1"/>
  <c r="J1570" i="1" a="1"/>
  <c r="J1570" i="1" s="1"/>
  <c r="I1570" i="1" a="1"/>
  <c r="I1570" i="1" s="1"/>
  <c r="F1570" i="1" a="1"/>
  <c r="F1570" i="1" s="1"/>
  <c r="E1570" i="1" a="1"/>
  <c r="E1570" i="1"/>
  <c r="L1569" i="1" a="1"/>
  <c r="L1569" i="1" s="1"/>
  <c r="J1569" i="1" a="1"/>
  <c r="J1569" i="1" s="1"/>
  <c r="K1569" i="1" s="1" a="1"/>
  <c r="K1569" i="1" s="1"/>
  <c r="N1569" i="1" s="1" a="1"/>
  <c r="N1569" i="1" s="1"/>
  <c r="I1569" i="1" a="1"/>
  <c r="I1569" i="1"/>
  <c r="F1569" i="1" a="1"/>
  <c r="F1569" i="1" s="1"/>
  <c r="E1569" i="1" a="1"/>
  <c r="E1569" i="1"/>
  <c r="L1568" i="1" a="1"/>
  <c r="L1568" i="1" s="1"/>
  <c r="K1568" i="1" a="1"/>
  <c r="K1568" i="1" s="1"/>
  <c r="N1568" i="1" s="1" a="1"/>
  <c r="N1568" i="1" s="1"/>
  <c r="J1568" i="1" a="1"/>
  <c r="J1568" i="1" s="1"/>
  <c r="I1568" i="1" a="1"/>
  <c r="I1568" i="1" s="1"/>
  <c r="F1568" i="1" a="1"/>
  <c r="F1568" i="1" s="1"/>
  <c r="E1568" i="1" a="1"/>
  <c r="E1568" i="1"/>
  <c r="L1567" i="1" a="1"/>
  <c r="L1567" i="1" s="1"/>
  <c r="J1567" i="1" a="1"/>
  <c r="J1567" i="1" s="1"/>
  <c r="K1567" i="1" s="1" a="1"/>
  <c r="K1567" i="1" s="1"/>
  <c r="I1567" i="1" a="1"/>
  <c r="I1567" i="1"/>
  <c r="F1567" i="1" a="1"/>
  <c r="F1567" i="1" s="1"/>
  <c r="E1567" i="1" a="1"/>
  <c r="E1567" i="1"/>
  <c r="O1566" i="1" a="1"/>
  <c r="O1566" i="1" s="1"/>
  <c r="L1566" i="1" a="1"/>
  <c r="L1566" i="1" s="1"/>
  <c r="K1566" i="1" a="1"/>
  <c r="K1566" i="1" s="1"/>
  <c r="N1566" i="1" s="1" a="1"/>
  <c r="N1566" i="1" s="1"/>
  <c r="J1566" i="1" a="1"/>
  <c r="J1566" i="1" s="1"/>
  <c r="I1566" i="1" a="1"/>
  <c r="I1566" i="1" s="1"/>
  <c r="F1566" i="1" a="1"/>
  <c r="F1566" i="1" s="1"/>
  <c r="E1566" i="1" a="1"/>
  <c r="E1566" i="1"/>
  <c r="O1565" i="1" a="1"/>
  <c r="O1565" i="1" s="1"/>
  <c r="L1565" i="1" a="1"/>
  <c r="L1565" i="1"/>
  <c r="K1565" i="1" a="1"/>
  <c r="K1565" i="1" s="1"/>
  <c r="N1565" i="1" s="1" a="1"/>
  <c r="N1565" i="1" s="1"/>
  <c r="J1565" i="1" a="1"/>
  <c r="J1565" i="1"/>
  <c r="I1565" i="1" a="1"/>
  <c r="I1565" i="1" s="1"/>
  <c r="F1565" i="1" a="1"/>
  <c r="F1565" i="1"/>
  <c r="E1565" i="1" a="1"/>
  <c r="E1565" i="1" s="1"/>
  <c r="L1564" i="1" a="1"/>
  <c r="L1564" i="1" s="1"/>
  <c r="O1564" i="1" s="1" a="1"/>
  <c r="O1564" i="1" s="1"/>
  <c r="J1564" i="1" a="1"/>
  <c r="J1564" i="1" s="1"/>
  <c r="K1564" i="1" s="1" a="1"/>
  <c r="K1564" i="1" s="1"/>
  <c r="N1564" i="1" s="1" a="1"/>
  <c r="N1564" i="1" s="1"/>
  <c r="I1564" i="1" a="1"/>
  <c r="I1564" i="1" s="1"/>
  <c r="F1564" i="1" a="1"/>
  <c r="F1564" i="1"/>
  <c r="E1564" i="1" a="1"/>
  <c r="E1564" i="1" s="1"/>
  <c r="L1563" i="1" a="1"/>
  <c r="L1563" i="1"/>
  <c r="J1563" i="1" a="1"/>
  <c r="J1563" i="1"/>
  <c r="K1563" i="1" s="1" a="1"/>
  <c r="K1563" i="1" s="1"/>
  <c r="I1563" i="1" a="1"/>
  <c r="I1563" i="1" s="1"/>
  <c r="F1563" i="1" a="1"/>
  <c r="F1563" i="1"/>
  <c r="E1563" i="1" a="1"/>
  <c r="E1563" i="1" s="1"/>
  <c r="L1562" i="1" a="1"/>
  <c r="L1562" i="1" s="1"/>
  <c r="O1562" i="1" s="1" a="1"/>
  <c r="O1562" i="1" s="1"/>
  <c r="J1562" i="1" a="1"/>
  <c r="J1562" i="1" s="1"/>
  <c r="K1562" i="1" s="1" a="1"/>
  <c r="K1562" i="1" s="1"/>
  <c r="N1562" i="1" s="1" a="1"/>
  <c r="N1562" i="1" s="1"/>
  <c r="I1562" i="1" a="1"/>
  <c r="I1562" i="1" s="1"/>
  <c r="F1562" i="1" a="1"/>
  <c r="F1562" i="1"/>
  <c r="E1562" i="1" a="1"/>
  <c r="E1562" i="1" s="1"/>
  <c r="L1561" i="1" a="1"/>
  <c r="L1561" i="1"/>
  <c r="J1561" i="1" a="1"/>
  <c r="J1561" i="1" s="1"/>
  <c r="K1561" i="1" s="1" a="1"/>
  <c r="K1561" i="1" s="1"/>
  <c r="I1561" i="1" a="1"/>
  <c r="I1561" i="1" s="1"/>
  <c r="F1561" i="1" a="1"/>
  <c r="F1561" i="1"/>
  <c r="E1561" i="1" a="1"/>
  <c r="E1561" i="1" s="1"/>
  <c r="L1560" i="1" a="1"/>
  <c r="L1560" i="1" s="1"/>
  <c r="J1560" i="1" a="1"/>
  <c r="J1560" i="1" s="1"/>
  <c r="K1560" i="1" s="1" a="1"/>
  <c r="K1560" i="1" s="1"/>
  <c r="N1560" i="1" s="1" a="1"/>
  <c r="N1560" i="1" s="1"/>
  <c r="I1560" i="1" a="1"/>
  <c r="I1560" i="1" s="1"/>
  <c r="F1560" i="1" a="1"/>
  <c r="F1560" i="1"/>
  <c r="E1560" i="1" a="1"/>
  <c r="E1560" i="1" s="1"/>
  <c r="L1559" i="1" a="1"/>
  <c r="L1559" i="1"/>
  <c r="J1559" i="1" a="1"/>
  <c r="J1559" i="1"/>
  <c r="K1559" i="1" s="1" a="1"/>
  <c r="K1559" i="1" s="1"/>
  <c r="I1559" i="1" a="1"/>
  <c r="I1559" i="1" s="1"/>
  <c r="F1559" i="1" a="1"/>
  <c r="F1559" i="1"/>
  <c r="E1559" i="1" a="1"/>
  <c r="E1559" i="1" s="1"/>
  <c r="N1558" i="1" a="1"/>
  <c r="N1558" i="1" s="1"/>
  <c r="L1558" i="1" a="1"/>
  <c r="L1558" i="1" s="1"/>
  <c r="O1558" i="1" s="1" a="1"/>
  <c r="O1558" i="1" s="1"/>
  <c r="J1558" i="1" a="1"/>
  <c r="J1558" i="1" s="1"/>
  <c r="K1558" i="1" s="1" a="1"/>
  <c r="K1558" i="1" s="1"/>
  <c r="I1558" i="1" a="1"/>
  <c r="I1558" i="1" s="1"/>
  <c r="F1558" i="1" a="1"/>
  <c r="F1558" i="1"/>
  <c r="E1558" i="1" a="1"/>
  <c r="E1558" i="1" s="1"/>
  <c r="L1557" i="1" a="1"/>
  <c r="L1557" i="1"/>
  <c r="J1557" i="1" a="1"/>
  <c r="J1557" i="1" s="1"/>
  <c r="K1557" i="1" s="1" a="1"/>
  <c r="K1557" i="1" s="1"/>
  <c r="I1557" i="1" a="1"/>
  <c r="I1557" i="1" s="1"/>
  <c r="F1557" i="1" a="1"/>
  <c r="F1557" i="1"/>
  <c r="E1557" i="1" a="1"/>
  <c r="E1557" i="1" s="1"/>
  <c r="L1556" i="1" a="1"/>
  <c r="L1556" i="1" s="1"/>
  <c r="O1556" i="1" s="1" a="1"/>
  <c r="O1556" i="1" s="1"/>
  <c r="J1556" i="1" a="1"/>
  <c r="J1556" i="1"/>
  <c r="K1556" i="1" s="1" a="1"/>
  <c r="K1556" i="1" s="1"/>
  <c r="N1556" i="1" s="1" a="1"/>
  <c r="N1556" i="1" s="1"/>
  <c r="I1556" i="1" a="1"/>
  <c r="I1556" i="1" s="1"/>
  <c r="F1556" i="1" a="1"/>
  <c r="F1556" i="1" s="1"/>
  <c r="E1556" i="1" a="1"/>
  <c r="E1556" i="1" s="1"/>
  <c r="L1555" i="1" a="1"/>
  <c r="L1555" i="1"/>
  <c r="O1555" i="1" s="1" a="1"/>
  <c r="O1555" i="1" s="1"/>
  <c r="K1555" i="1" a="1"/>
  <c r="K1555" i="1" s="1"/>
  <c r="N1555" i="1" s="1" a="1"/>
  <c r="N1555" i="1" s="1"/>
  <c r="J1555" i="1" a="1"/>
  <c r="J1555" i="1"/>
  <c r="I1555" i="1" a="1"/>
  <c r="I1555" i="1" s="1"/>
  <c r="F1555" i="1" a="1"/>
  <c r="F1555" i="1" s="1"/>
  <c r="E1555" i="1" a="1"/>
  <c r="E1555" i="1" s="1"/>
  <c r="L1554" i="1" a="1"/>
  <c r="L1554" i="1"/>
  <c r="J1554" i="1" a="1"/>
  <c r="J1554" i="1" s="1"/>
  <c r="K1554" i="1" s="1" a="1"/>
  <c r="K1554" i="1" s="1"/>
  <c r="I1554" i="1" a="1"/>
  <c r="I1554" i="1"/>
  <c r="F1554" i="1" a="1"/>
  <c r="F1554" i="1"/>
  <c r="E1554" i="1" a="1"/>
  <c r="E1554" i="1"/>
  <c r="L1553" i="1" a="1"/>
  <c r="L1553" i="1"/>
  <c r="K1553" i="1"/>
  <c r="N1553" i="1" s="1" a="1"/>
  <c r="N1553" i="1" s="1"/>
  <c r="J1553" i="1" a="1"/>
  <c r="J1553" i="1" s="1"/>
  <c r="K1553" i="1" s="1" a="1"/>
  <c r="I1553" i="1" a="1"/>
  <c r="I1553" i="1"/>
  <c r="F1553" i="1" a="1"/>
  <c r="F1553" i="1"/>
  <c r="E1553" i="1" a="1"/>
  <c r="E1553" i="1"/>
  <c r="L1552" i="1" a="1"/>
  <c r="L1552" i="1"/>
  <c r="K1552" i="1"/>
  <c r="N1552" i="1" s="1" a="1"/>
  <c r="N1552" i="1" s="1"/>
  <c r="J1552" i="1" a="1"/>
  <c r="J1552" i="1" s="1"/>
  <c r="K1552" i="1" s="1" a="1"/>
  <c r="I1552" i="1" a="1"/>
  <c r="I1552" i="1"/>
  <c r="F1552" i="1" a="1"/>
  <c r="F1552" i="1"/>
  <c r="E1552" i="1" a="1"/>
  <c r="E1552" i="1"/>
  <c r="L1551" i="1" a="1"/>
  <c r="L1551" i="1"/>
  <c r="K1551" i="1"/>
  <c r="J1551" i="1" a="1"/>
  <c r="J1551" i="1" s="1"/>
  <c r="K1551" i="1" s="1" a="1"/>
  <c r="I1551" i="1" a="1"/>
  <c r="I1551" i="1"/>
  <c r="F1551" i="1" a="1"/>
  <c r="F1551" i="1"/>
  <c r="E1551" i="1" a="1"/>
  <c r="E1551" i="1"/>
  <c r="O1550" i="1" a="1"/>
  <c r="O1550" i="1" s="1"/>
  <c r="L1550" i="1" a="1"/>
  <c r="L1550" i="1"/>
  <c r="K1550" i="1"/>
  <c r="N1550" i="1" s="1" a="1"/>
  <c r="N1550" i="1" s="1"/>
  <c r="J1550" i="1" a="1"/>
  <c r="J1550" i="1" s="1"/>
  <c r="K1550" i="1" s="1" a="1"/>
  <c r="I1550" i="1" a="1"/>
  <c r="I1550" i="1"/>
  <c r="F1550" i="1" a="1"/>
  <c r="F1550" i="1"/>
  <c r="E1550" i="1" a="1"/>
  <c r="E1550" i="1"/>
  <c r="L1549" i="1" a="1"/>
  <c r="L1549" i="1"/>
  <c r="K1549" i="1"/>
  <c r="N1549" i="1" s="1" a="1"/>
  <c r="N1549" i="1" s="1"/>
  <c r="J1549" i="1" a="1"/>
  <c r="J1549" i="1" s="1"/>
  <c r="K1549" i="1" s="1" a="1"/>
  <c r="I1549" i="1" a="1"/>
  <c r="I1549" i="1"/>
  <c r="F1549" i="1" a="1"/>
  <c r="F1549" i="1"/>
  <c r="E1549" i="1" a="1"/>
  <c r="E1549" i="1"/>
  <c r="L1548" i="1" a="1"/>
  <c r="L1548" i="1"/>
  <c r="K1548" i="1"/>
  <c r="N1548" i="1" s="1" a="1"/>
  <c r="N1548" i="1" s="1"/>
  <c r="J1548" i="1" a="1"/>
  <c r="J1548" i="1" s="1"/>
  <c r="K1548" i="1" s="1" a="1"/>
  <c r="I1548" i="1" a="1"/>
  <c r="I1548" i="1"/>
  <c r="F1548" i="1" a="1"/>
  <c r="F1548" i="1"/>
  <c r="E1548" i="1" a="1"/>
  <c r="E1548" i="1"/>
  <c r="L1547" i="1" a="1"/>
  <c r="L1547" i="1"/>
  <c r="J1547" i="1" a="1"/>
  <c r="J1547" i="1" s="1"/>
  <c r="K1547" i="1" s="1" a="1"/>
  <c r="K1547" i="1" s="1"/>
  <c r="I1547" i="1" a="1"/>
  <c r="I1547" i="1"/>
  <c r="F1547" i="1" a="1"/>
  <c r="F1547" i="1"/>
  <c r="E1547" i="1" a="1"/>
  <c r="E1547" i="1"/>
  <c r="L1546" i="1" a="1"/>
  <c r="L1546" i="1"/>
  <c r="J1546" i="1" a="1"/>
  <c r="J1546" i="1" s="1"/>
  <c r="K1546" i="1" s="1" a="1"/>
  <c r="K1546" i="1" s="1"/>
  <c r="I1546" i="1" a="1"/>
  <c r="I1546" i="1"/>
  <c r="F1546" i="1" a="1"/>
  <c r="F1546" i="1"/>
  <c r="E1546" i="1" a="1"/>
  <c r="E1546" i="1"/>
  <c r="L1545" i="1" a="1"/>
  <c r="L1545" i="1"/>
  <c r="K1545" i="1"/>
  <c r="N1545" i="1" s="1" a="1"/>
  <c r="N1545" i="1" s="1"/>
  <c r="J1545" i="1" a="1"/>
  <c r="J1545" i="1" s="1"/>
  <c r="K1545" i="1" s="1" a="1"/>
  <c r="I1545" i="1" a="1"/>
  <c r="I1545" i="1"/>
  <c r="F1545" i="1" a="1"/>
  <c r="F1545" i="1"/>
  <c r="E1545" i="1" a="1"/>
  <c r="E1545" i="1"/>
  <c r="L1544" i="1" a="1"/>
  <c r="L1544" i="1"/>
  <c r="K1544" i="1"/>
  <c r="N1544" i="1" s="1" a="1"/>
  <c r="N1544" i="1" s="1"/>
  <c r="J1544" i="1" a="1"/>
  <c r="J1544" i="1" s="1"/>
  <c r="K1544" i="1" s="1" a="1"/>
  <c r="I1544" i="1" a="1"/>
  <c r="I1544" i="1"/>
  <c r="F1544" i="1" a="1"/>
  <c r="F1544" i="1"/>
  <c r="E1544" i="1" a="1"/>
  <c r="E1544" i="1"/>
  <c r="L1543" i="1" a="1"/>
  <c r="L1543" i="1"/>
  <c r="K1543" i="1"/>
  <c r="J1543" i="1" a="1"/>
  <c r="J1543" i="1" s="1"/>
  <c r="K1543" i="1" s="1" a="1"/>
  <c r="I1543" i="1" a="1"/>
  <c r="I1543" i="1"/>
  <c r="F1543" i="1" a="1"/>
  <c r="F1543" i="1"/>
  <c r="E1543" i="1" a="1"/>
  <c r="E1543" i="1"/>
  <c r="O1542" i="1" a="1"/>
  <c r="O1542" i="1" s="1"/>
  <c r="L1542" i="1" a="1"/>
  <c r="L1542" i="1"/>
  <c r="K1542" i="1"/>
  <c r="N1542" i="1" s="1" a="1"/>
  <c r="N1542" i="1" s="1"/>
  <c r="J1542" i="1" a="1"/>
  <c r="J1542" i="1" s="1"/>
  <c r="K1542" i="1" s="1" a="1"/>
  <c r="I1542" i="1" a="1"/>
  <c r="I1542" i="1"/>
  <c r="F1542" i="1" a="1"/>
  <c r="F1542" i="1"/>
  <c r="E1542" i="1" a="1"/>
  <c r="E1542" i="1"/>
  <c r="L1541" i="1" a="1"/>
  <c r="L1541" i="1"/>
  <c r="K1541" i="1"/>
  <c r="N1541" i="1" s="1" a="1"/>
  <c r="N1541" i="1" s="1"/>
  <c r="J1541" i="1" a="1"/>
  <c r="J1541" i="1" s="1"/>
  <c r="K1541" i="1" s="1" a="1"/>
  <c r="I1541" i="1" a="1"/>
  <c r="I1541" i="1"/>
  <c r="F1541" i="1" a="1"/>
  <c r="F1541" i="1"/>
  <c r="E1541" i="1" a="1"/>
  <c r="E1541" i="1"/>
  <c r="L1540" i="1" a="1"/>
  <c r="L1540" i="1"/>
  <c r="K1540" i="1"/>
  <c r="N1540" i="1" s="1" a="1"/>
  <c r="N1540" i="1" s="1"/>
  <c r="J1540" i="1" a="1"/>
  <c r="J1540" i="1" s="1"/>
  <c r="K1540" i="1" s="1" a="1"/>
  <c r="I1540" i="1" a="1"/>
  <c r="I1540" i="1"/>
  <c r="F1540" i="1" a="1"/>
  <c r="F1540" i="1"/>
  <c r="E1540" i="1" a="1"/>
  <c r="E1540" i="1"/>
  <c r="L1539" i="1" a="1"/>
  <c r="L1539" i="1"/>
  <c r="J1539" i="1" a="1"/>
  <c r="J1539" i="1" s="1"/>
  <c r="K1539" i="1" s="1" a="1"/>
  <c r="K1539" i="1" s="1"/>
  <c r="I1539" i="1" a="1"/>
  <c r="I1539" i="1"/>
  <c r="F1539" i="1" a="1"/>
  <c r="F1539" i="1"/>
  <c r="E1539" i="1" a="1"/>
  <c r="E1539" i="1"/>
  <c r="L1538" i="1" a="1"/>
  <c r="L1538" i="1"/>
  <c r="K1538" i="1"/>
  <c r="J1538" i="1" a="1"/>
  <c r="J1538" i="1" s="1"/>
  <c r="K1538" i="1" s="1" a="1"/>
  <c r="I1538" i="1" a="1"/>
  <c r="I1538" i="1"/>
  <c r="F1538" i="1" a="1"/>
  <c r="F1538" i="1"/>
  <c r="E1538" i="1" a="1"/>
  <c r="E1538" i="1" s="1"/>
  <c r="O1537" i="1" a="1"/>
  <c r="O1537" i="1" s="1"/>
  <c r="L1537" i="1" a="1"/>
  <c r="L1537" i="1"/>
  <c r="J1537" i="1" a="1"/>
  <c r="J1537" i="1" s="1"/>
  <c r="K1537" i="1" s="1" a="1"/>
  <c r="K1537" i="1" s="1"/>
  <c r="N1537" i="1" s="1" a="1"/>
  <c r="N1537" i="1" s="1"/>
  <c r="I1537" i="1" a="1"/>
  <c r="I1537" i="1"/>
  <c r="F1537" i="1" a="1"/>
  <c r="F1537" i="1"/>
  <c r="E1537" i="1" a="1"/>
  <c r="E1537" i="1" s="1"/>
  <c r="L1536" i="1" a="1"/>
  <c r="L1536" i="1"/>
  <c r="J1536" i="1" a="1"/>
  <c r="J1536" i="1" s="1"/>
  <c r="K1536" i="1" s="1" a="1"/>
  <c r="K1536" i="1" s="1"/>
  <c r="I1536" i="1" a="1"/>
  <c r="I1536" i="1"/>
  <c r="F1536" i="1" a="1"/>
  <c r="F1536" i="1"/>
  <c r="E1536" i="1" a="1"/>
  <c r="E1536" i="1" s="1"/>
  <c r="L1535" i="1" a="1"/>
  <c r="L1535" i="1"/>
  <c r="J1535" i="1" a="1"/>
  <c r="J1535" i="1" s="1"/>
  <c r="K1535" i="1" s="1" a="1"/>
  <c r="K1535" i="1" s="1"/>
  <c r="N1535" i="1" s="1" a="1"/>
  <c r="N1535" i="1" s="1"/>
  <c r="I1535" i="1" a="1"/>
  <c r="I1535" i="1"/>
  <c r="F1535" i="1" a="1"/>
  <c r="F1535" i="1"/>
  <c r="E1535" i="1" a="1"/>
  <c r="E1535" i="1" s="1"/>
  <c r="L1534" i="1" a="1"/>
  <c r="L1534" i="1"/>
  <c r="J1534" i="1" a="1"/>
  <c r="J1534" i="1" s="1"/>
  <c r="K1534" i="1" s="1" a="1"/>
  <c r="K1534" i="1" s="1"/>
  <c r="I1534" i="1" a="1"/>
  <c r="I1534" i="1"/>
  <c r="F1534" i="1" a="1"/>
  <c r="F1534" i="1"/>
  <c r="E1534" i="1" a="1"/>
  <c r="E1534" i="1" s="1"/>
  <c r="L1533" i="1" a="1"/>
  <c r="L1533" i="1"/>
  <c r="K1533" i="1"/>
  <c r="J1533" i="1" a="1"/>
  <c r="J1533" i="1" s="1"/>
  <c r="K1533" i="1" s="1" a="1"/>
  <c r="I1533" i="1" a="1"/>
  <c r="I1533" i="1"/>
  <c r="F1533" i="1" a="1"/>
  <c r="F1533" i="1"/>
  <c r="E1533" i="1" a="1"/>
  <c r="E1533" i="1"/>
  <c r="L1532" i="1" a="1"/>
  <c r="L1532" i="1"/>
  <c r="J1532" i="1" a="1"/>
  <c r="J1532" i="1"/>
  <c r="K1532" i="1" s="1" a="1"/>
  <c r="K1532" i="1" s="1"/>
  <c r="I1532" i="1" a="1"/>
  <c r="I1532" i="1"/>
  <c r="F1532" i="1" a="1"/>
  <c r="F1532" i="1"/>
  <c r="E1532" i="1" a="1"/>
  <c r="E1532" i="1" s="1"/>
  <c r="L1531" i="1" a="1"/>
  <c r="L1531" i="1"/>
  <c r="J1531" i="1" a="1"/>
  <c r="J1531" i="1" s="1"/>
  <c r="K1531" i="1" s="1" a="1"/>
  <c r="K1531" i="1" s="1"/>
  <c r="I1531" i="1" a="1"/>
  <c r="I1531" i="1"/>
  <c r="F1531" i="1" a="1"/>
  <c r="F1531" i="1"/>
  <c r="E1531" i="1" a="1"/>
  <c r="E1531" i="1" s="1"/>
  <c r="L1530" i="1" a="1"/>
  <c r="L1530" i="1"/>
  <c r="J1530" i="1" a="1"/>
  <c r="J1530" i="1" s="1"/>
  <c r="K1530" i="1" s="1" a="1"/>
  <c r="K1530" i="1" s="1"/>
  <c r="I1530" i="1" a="1"/>
  <c r="I1530" i="1" s="1"/>
  <c r="F1530" i="1" a="1"/>
  <c r="F1530" i="1"/>
  <c r="E1530" i="1" a="1"/>
  <c r="E1530" i="1" s="1"/>
  <c r="L1529" i="1" a="1"/>
  <c r="L1529" i="1"/>
  <c r="J1529" i="1" a="1"/>
  <c r="J1529" i="1" s="1"/>
  <c r="K1529" i="1" s="1" a="1"/>
  <c r="K1529" i="1" s="1"/>
  <c r="I1529" i="1" a="1"/>
  <c r="I1529" i="1" s="1"/>
  <c r="F1529" i="1" a="1"/>
  <c r="F1529" i="1"/>
  <c r="E1529" i="1" a="1"/>
  <c r="E1529" i="1" s="1"/>
  <c r="L1528" i="1" a="1"/>
  <c r="L1528" i="1"/>
  <c r="J1528" i="1" a="1"/>
  <c r="J1528" i="1" s="1"/>
  <c r="K1528" i="1" s="1" a="1"/>
  <c r="K1528" i="1" s="1"/>
  <c r="I1528" i="1" a="1"/>
  <c r="I1528" i="1" s="1"/>
  <c r="F1528" i="1" a="1"/>
  <c r="F1528" i="1" s="1"/>
  <c r="E1528" i="1" a="1"/>
  <c r="E1528" i="1" s="1"/>
  <c r="L1527" i="1" a="1"/>
  <c r="L1527" i="1" s="1"/>
  <c r="J1527" i="1" a="1"/>
  <c r="J1527" i="1" s="1"/>
  <c r="K1527" i="1" s="1" a="1"/>
  <c r="K1527" i="1" s="1"/>
  <c r="N1527" i="1" s="1" a="1"/>
  <c r="N1527" i="1" s="1"/>
  <c r="I1527" i="1" a="1"/>
  <c r="I1527" i="1" s="1"/>
  <c r="F1527" i="1" a="1"/>
  <c r="F1527" i="1" s="1"/>
  <c r="E1527" i="1" a="1"/>
  <c r="E1527" i="1"/>
  <c r="L1526" i="1" a="1"/>
  <c r="L1526" i="1" s="1"/>
  <c r="J1526" i="1" a="1"/>
  <c r="J1526" i="1" s="1"/>
  <c r="K1526" i="1" s="1" a="1"/>
  <c r="K1526" i="1" s="1"/>
  <c r="N1526" i="1" s="1" a="1"/>
  <c r="N1526" i="1" s="1"/>
  <c r="I1526" i="1" a="1"/>
  <c r="I1526" i="1" s="1"/>
  <c r="F1526" i="1" a="1"/>
  <c r="F1526" i="1" s="1"/>
  <c r="E1526" i="1" a="1"/>
  <c r="E1526" i="1"/>
  <c r="L1525" i="1" a="1"/>
  <c r="L1525" i="1" s="1"/>
  <c r="J1525" i="1" a="1"/>
  <c r="J1525" i="1" s="1"/>
  <c r="K1525" i="1" s="1" a="1"/>
  <c r="K1525" i="1" s="1"/>
  <c r="I1525" i="1" a="1"/>
  <c r="I1525" i="1" s="1"/>
  <c r="F1525" i="1" a="1"/>
  <c r="F1525" i="1" s="1"/>
  <c r="E1525" i="1" a="1"/>
  <c r="E1525" i="1"/>
  <c r="L1524" i="1" a="1"/>
  <c r="L1524" i="1" s="1"/>
  <c r="J1524" i="1" a="1"/>
  <c r="J1524" i="1" s="1"/>
  <c r="K1524" i="1" s="1" a="1"/>
  <c r="K1524" i="1" s="1"/>
  <c r="N1524" i="1" s="1" a="1"/>
  <c r="N1524" i="1" s="1"/>
  <c r="I1524" i="1" a="1"/>
  <c r="I1524" i="1" s="1"/>
  <c r="F1524" i="1" a="1"/>
  <c r="F1524" i="1" s="1"/>
  <c r="E1524" i="1" a="1"/>
  <c r="E1524" i="1" s="1"/>
  <c r="L1523" i="1" a="1"/>
  <c r="L1523" i="1" s="1"/>
  <c r="O1523" i="1" s="1" a="1"/>
  <c r="O1523" i="1" s="1"/>
  <c r="J1523" i="1" a="1"/>
  <c r="J1523" i="1"/>
  <c r="K1523" i="1" s="1" a="1"/>
  <c r="K1523" i="1" s="1"/>
  <c r="N1523" i="1" s="1" a="1"/>
  <c r="N1523" i="1" s="1"/>
  <c r="I1523" i="1" a="1"/>
  <c r="I1523" i="1" s="1"/>
  <c r="F1523" i="1" a="1"/>
  <c r="F1523" i="1" s="1"/>
  <c r="E1523" i="1" a="1"/>
  <c r="E1523" i="1" s="1"/>
  <c r="L1522" i="1" a="1"/>
  <c r="L1522" i="1" s="1"/>
  <c r="J1522" i="1" a="1"/>
  <c r="J1522" i="1"/>
  <c r="K1522" i="1" s="1" a="1"/>
  <c r="K1522" i="1" s="1"/>
  <c r="I1522" i="1" a="1"/>
  <c r="I1522" i="1" s="1"/>
  <c r="F1522" i="1" a="1"/>
  <c r="F1522" i="1" s="1"/>
  <c r="E1522" i="1" a="1"/>
  <c r="E1522" i="1" s="1"/>
  <c r="L1521" i="1" a="1"/>
  <c r="L1521" i="1" s="1"/>
  <c r="K1521" i="1" a="1"/>
  <c r="K1521" i="1" s="1"/>
  <c r="J1521" i="1" a="1"/>
  <c r="J1521" i="1"/>
  <c r="I1521" i="1" a="1"/>
  <c r="I1521" i="1" s="1"/>
  <c r="F1521" i="1" a="1"/>
  <c r="F1521" i="1" s="1"/>
  <c r="E1521" i="1" a="1"/>
  <c r="E1521" i="1" s="1"/>
  <c r="O1520" i="1" a="1"/>
  <c r="O1520" i="1" s="1"/>
  <c r="L1520" i="1" a="1"/>
  <c r="L1520" i="1" s="1"/>
  <c r="J1520" i="1" a="1"/>
  <c r="J1520" i="1" s="1"/>
  <c r="K1520" i="1" s="1" a="1"/>
  <c r="K1520" i="1" s="1"/>
  <c r="N1520" i="1" s="1" a="1"/>
  <c r="N1520" i="1" s="1"/>
  <c r="I1520" i="1" a="1"/>
  <c r="I1520" i="1" s="1"/>
  <c r="F1520" i="1" a="1"/>
  <c r="F1520" i="1" s="1"/>
  <c r="E1520" i="1" a="1"/>
  <c r="E1520" i="1" s="1"/>
  <c r="L1519" i="1" a="1"/>
  <c r="L1519" i="1" s="1"/>
  <c r="O1519" i="1" s="1" a="1"/>
  <c r="O1519" i="1" s="1"/>
  <c r="J1519" i="1" a="1"/>
  <c r="J1519" i="1" s="1"/>
  <c r="K1519" i="1" s="1" a="1"/>
  <c r="K1519" i="1" s="1"/>
  <c r="N1519" i="1" s="1" a="1"/>
  <c r="N1519" i="1" s="1"/>
  <c r="I1519" i="1" a="1"/>
  <c r="I1519" i="1" s="1"/>
  <c r="F1519" i="1" a="1"/>
  <c r="F1519" i="1" s="1"/>
  <c r="E1519" i="1" a="1"/>
  <c r="E1519" i="1"/>
  <c r="L1518" i="1" a="1"/>
  <c r="L1518" i="1" s="1"/>
  <c r="J1518" i="1" a="1"/>
  <c r="J1518" i="1" s="1"/>
  <c r="K1518" i="1" s="1" a="1"/>
  <c r="K1518" i="1" s="1"/>
  <c r="N1518" i="1" s="1" a="1"/>
  <c r="N1518" i="1" s="1"/>
  <c r="I1518" i="1" a="1"/>
  <c r="I1518" i="1" s="1"/>
  <c r="F1518" i="1" a="1"/>
  <c r="F1518" i="1" s="1"/>
  <c r="E1518" i="1" a="1"/>
  <c r="E1518" i="1"/>
  <c r="L1517" i="1" a="1"/>
  <c r="L1517" i="1" s="1"/>
  <c r="J1517" i="1" a="1"/>
  <c r="J1517" i="1" s="1"/>
  <c r="I1517" i="1" a="1"/>
  <c r="I1517" i="1" s="1"/>
  <c r="F1517" i="1" a="1"/>
  <c r="F1517" i="1" s="1"/>
  <c r="E1517" i="1" a="1"/>
  <c r="E1517" i="1"/>
  <c r="L1516" i="1" a="1"/>
  <c r="L1516" i="1" s="1"/>
  <c r="O1516" i="1" s="1" a="1"/>
  <c r="O1516" i="1" s="1"/>
  <c r="K1516" i="1"/>
  <c r="N1516" i="1" s="1" a="1"/>
  <c r="N1516" i="1" s="1"/>
  <c r="J1516" i="1" a="1"/>
  <c r="J1516" i="1" s="1"/>
  <c r="K1516" i="1" s="1" a="1"/>
  <c r="I1516" i="1" a="1"/>
  <c r="I1516" i="1" s="1"/>
  <c r="F1516" i="1" a="1"/>
  <c r="F1516" i="1" s="1"/>
  <c r="E1516" i="1" a="1"/>
  <c r="E1516" i="1" s="1"/>
  <c r="L1515" i="1" a="1"/>
  <c r="L1515" i="1" s="1"/>
  <c r="J1515" i="1" a="1"/>
  <c r="J1515" i="1"/>
  <c r="K1515" i="1" s="1" a="1"/>
  <c r="K1515" i="1" s="1"/>
  <c r="N1515" i="1" s="1" a="1"/>
  <c r="N1515" i="1" s="1"/>
  <c r="I1515" i="1" a="1"/>
  <c r="I1515" i="1" s="1"/>
  <c r="F1515" i="1" a="1"/>
  <c r="F1515" i="1" s="1"/>
  <c r="E1515" i="1" a="1"/>
  <c r="E1515" i="1" s="1"/>
  <c r="L1514" i="1" a="1"/>
  <c r="L1514" i="1" s="1"/>
  <c r="J1514" i="1" a="1"/>
  <c r="J1514" i="1"/>
  <c r="K1514" i="1" s="1" a="1"/>
  <c r="K1514" i="1" s="1"/>
  <c r="I1514" i="1" a="1"/>
  <c r="I1514" i="1" s="1"/>
  <c r="F1514" i="1" a="1"/>
  <c r="F1514" i="1" s="1"/>
  <c r="E1514" i="1" a="1"/>
  <c r="E1514" i="1" s="1"/>
  <c r="L1513" i="1" a="1"/>
  <c r="L1513" i="1" s="1"/>
  <c r="J1513" i="1" a="1"/>
  <c r="J1513" i="1" s="1"/>
  <c r="K1513" i="1" s="1" a="1"/>
  <c r="K1513" i="1" s="1"/>
  <c r="N1513" i="1" s="1" a="1"/>
  <c r="N1513" i="1" s="1"/>
  <c r="I1513" i="1" a="1"/>
  <c r="I1513" i="1" s="1"/>
  <c r="F1513" i="1" a="1"/>
  <c r="F1513" i="1" s="1"/>
  <c r="E1513" i="1" a="1"/>
  <c r="E1513" i="1"/>
  <c r="L1512" i="1" a="1"/>
  <c r="L1512" i="1" s="1"/>
  <c r="J1512" i="1" a="1"/>
  <c r="J1512" i="1"/>
  <c r="K1512" i="1" s="1" a="1"/>
  <c r="K1512" i="1" s="1"/>
  <c r="I1512" i="1" a="1"/>
  <c r="I1512" i="1" s="1"/>
  <c r="F1512" i="1" a="1"/>
  <c r="F1512" i="1" s="1"/>
  <c r="E1512" i="1" a="1"/>
  <c r="E1512" i="1" s="1"/>
  <c r="L1511" i="1" a="1"/>
  <c r="L1511" i="1" s="1"/>
  <c r="J1511" i="1" a="1"/>
  <c r="J1511" i="1" s="1"/>
  <c r="K1511" i="1" s="1" a="1"/>
  <c r="K1511" i="1" s="1"/>
  <c r="N1511" i="1" s="1" a="1"/>
  <c r="N1511" i="1" s="1"/>
  <c r="I1511" i="1" a="1"/>
  <c r="I1511" i="1" s="1"/>
  <c r="F1511" i="1" a="1"/>
  <c r="F1511" i="1" s="1"/>
  <c r="E1511" i="1" a="1"/>
  <c r="E1511" i="1"/>
  <c r="L1510" i="1" a="1"/>
  <c r="L1510" i="1" s="1"/>
  <c r="J1510" i="1" a="1"/>
  <c r="J1510" i="1"/>
  <c r="K1510" i="1" s="1" a="1"/>
  <c r="K1510" i="1" s="1"/>
  <c r="I1510" i="1" a="1"/>
  <c r="I1510" i="1" s="1"/>
  <c r="F1510" i="1" a="1"/>
  <c r="F1510" i="1" s="1"/>
  <c r="E1510" i="1" a="1"/>
  <c r="E1510" i="1" s="1"/>
  <c r="L1509" i="1" a="1"/>
  <c r="L1509" i="1" s="1"/>
  <c r="J1509" i="1" a="1"/>
  <c r="J1509" i="1" s="1"/>
  <c r="K1509" i="1" s="1" a="1"/>
  <c r="K1509" i="1" s="1"/>
  <c r="N1509" i="1" s="1" a="1"/>
  <c r="N1509" i="1" s="1"/>
  <c r="I1509" i="1" a="1"/>
  <c r="I1509" i="1" s="1"/>
  <c r="F1509" i="1" a="1"/>
  <c r="F1509" i="1" s="1"/>
  <c r="E1509" i="1" a="1"/>
  <c r="E1509" i="1"/>
  <c r="L1508" i="1" a="1"/>
  <c r="L1508" i="1" s="1"/>
  <c r="J1508" i="1" a="1"/>
  <c r="J1508" i="1"/>
  <c r="K1508" i="1" s="1" a="1"/>
  <c r="K1508" i="1" s="1"/>
  <c r="I1508" i="1" a="1"/>
  <c r="I1508" i="1" s="1"/>
  <c r="F1508" i="1" a="1"/>
  <c r="F1508" i="1" s="1"/>
  <c r="E1508" i="1" a="1"/>
  <c r="E1508" i="1" s="1"/>
  <c r="L1507" i="1" a="1"/>
  <c r="L1507" i="1" s="1"/>
  <c r="J1507" i="1" a="1"/>
  <c r="J1507" i="1" s="1"/>
  <c r="K1507" i="1" s="1" a="1"/>
  <c r="K1507" i="1" s="1"/>
  <c r="N1507" i="1" s="1" a="1"/>
  <c r="N1507" i="1" s="1"/>
  <c r="I1507" i="1" a="1"/>
  <c r="I1507" i="1" s="1"/>
  <c r="F1507" i="1" a="1"/>
  <c r="F1507" i="1" s="1"/>
  <c r="E1507" i="1" a="1"/>
  <c r="E1507" i="1"/>
  <c r="L1506" i="1" a="1"/>
  <c r="L1506" i="1" s="1"/>
  <c r="J1506" i="1" a="1"/>
  <c r="J1506" i="1"/>
  <c r="K1506" i="1" s="1" a="1"/>
  <c r="K1506" i="1" s="1"/>
  <c r="I1506" i="1" a="1"/>
  <c r="I1506" i="1" s="1"/>
  <c r="F1506" i="1" a="1"/>
  <c r="F1506" i="1" s="1"/>
  <c r="E1506" i="1" a="1"/>
  <c r="E1506" i="1" s="1"/>
  <c r="L1505" i="1" a="1"/>
  <c r="L1505" i="1" s="1"/>
  <c r="J1505" i="1" a="1"/>
  <c r="J1505" i="1"/>
  <c r="K1505" i="1" s="1" a="1"/>
  <c r="K1505" i="1" s="1"/>
  <c r="N1505" i="1" s="1" a="1"/>
  <c r="N1505" i="1" s="1"/>
  <c r="I1505" i="1" a="1"/>
  <c r="I1505" i="1" s="1"/>
  <c r="F1505" i="1" a="1"/>
  <c r="F1505" i="1"/>
  <c r="E1505" i="1" a="1"/>
  <c r="E1505" i="1" s="1"/>
  <c r="L1504" i="1" a="1"/>
  <c r="L1504" i="1" s="1"/>
  <c r="K1504" i="1" a="1"/>
  <c r="K1504" i="1" s="1"/>
  <c r="N1504" i="1" s="1" a="1"/>
  <c r="N1504" i="1" s="1"/>
  <c r="J1504" i="1" a="1"/>
  <c r="J1504" i="1"/>
  <c r="I1504" i="1" a="1"/>
  <c r="I1504" i="1" s="1"/>
  <c r="F1504" i="1" a="1"/>
  <c r="F1504" i="1" s="1"/>
  <c r="E1504" i="1" a="1"/>
  <c r="E1504" i="1"/>
  <c r="L1503" i="1" a="1"/>
  <c r="L1503" i="1"/>
  <c r="J1503" i="1" a="1"/>
  <c r="J1503" i="1" s="1"/>
  <c r="K1503" i="1" s="1" a="1"/>
  <c r="K1503" i="1" s="1"/>
  <c r="N1503" i="1" s="1" a="1"/>
  <c r="N1503" i="1" s="1"/>
  <c r="I1503" i="1" a="1"/>
  <c r="I1503" i="1" s="1"/>
  <c r="F1503" i="1" a="1"/>
  <c r="F1503" i="1" s="1"/>
  <c r="E1503" i="1" a="1"/>
  <c r="E1503" i="1" s="1"/>
  <c r="L1502" i="1" a="1"/>
  <c r="L1502" i="1"/>
  <c r="J1502" i="1" a="1"/>
  <c r="J1502" i="1" s="1"/>
  <c r="I1502" i="1" a="1"/>
  <c r="I1502" i="1" s="1"/>
  <c r="F1502" i="1" a="1"/>
  <c r="F1502" i="1" s="1"/>
  <c r="E1502" i="1" a="1"/>
  <c r="E1502" i="1" s="1"/>
  <c r="L1501" i="1" a="1"/>
  <c r="L1501" i="1" s="1"/>
  <c r="J1501" i="1" a="1"/>
  <c r="J1501" i="1"/>
  <c r="K1501" i="1" s="1" a="1"/>
  <c r="K1501" i="1" s="1"/>
  <c r="N1501" i="1" s="1" a="1"/>
  <c r="N1501" i="1" s="1"/>
  <c r="I1501" i="1" a="1"/>
  <c r="I1501" i="1" s="1"/>
  <c r="F1501" i="1" a="1"/>
  <c r="F1501" i="1"/>
  <c r="E1501" i="1" a="1"/>
  <c r="E1501" i="1" s="1"/>
  <c r="L1500" i="1" a="1"/>
  <c r="L1500" i="1" s="1"/>
  <c r="O1500" i="1" s="1" a="1"/>
  <c r="O1500" i="1" s="1"/>
  <c r="K1500" i="1" a="1"/>
  <c r="K1500" i="1" s="1"/>
  <c r="N1500" i="1" s="1" a="1"/>
  <c r="N1500" i="1" s="1"/>
  <c r="J1500" i="1" a="1"/>
  <c r="J1500" i="1"/>
  <c r="I1500" i="1" a="1"/>
  <c r="I1500" i="1" s="1"/>
  <c r="F1500" i="1" a="1"/>
  <c r="F1500" i="1" s="1"/>
  <c r="E1500" i="1" a="1"/>
  <c r="E1500" i="1"/>
  <c r="L1499" i="1" a="1"/>
  <c r="L1499" i="1"/>
  <c r="J1499" i="1" a="1"/>
  <c r="J1499" i="1" s="1"/>
  <c r="K1499" i="1" s="1" a="1"/>
  <c r="K1499" i="1" s="1"/>
  <c r="N1499" i="1" s="1" a="1"/>
  <c r="N1499" i="1" s="1"/>
  <c r="I1499" i="1" a="1"/>
  <c r="I1499" i="1" s="1"/>
  <c r="F1499" i="1" a="1"/>
  <c r="F1499" i="1" s="1"/>
  <c r="E1499" i="1" a="1"/>
  <c r="E1499" i="1" s="1"/>
  <c r="L1498" i="1" a="1"/>
  <c r="L1498" i="1"/>
  <c r="J1498" i="1" a="1"/>
  <c r="J1498" i="1" s="1"/>
  <c r="I1498" i="1" a="1"/>
  <c r="I1498" i="1" s="1"/>
  <c r="F1498" i="1" a="1"/>
  <c r="F1498" i="1" s="1"/>
  <c r="E1498" i="1" a="1"/>
  <c r="E1498" i="1" s="1"/>
  <c r="L1497" i="1" a="1"/>
  <c r="L1497" i="1" s="1"/>
  <c r="J1497" i="1" a="1"/>
  <c r="J1497" i="1"/>
  <c r="K1497" i="1" s="1" a="1"/>
  <c r="K1497" i="1" s="1"/>
  <c r="N1497" i="1" s="1" a="1"/>
  <c r="N1497" i="1" s="1"/>
  <c r="I1497" i="1" a="1"/>
  <c r="I1497" i="1" s="1"/>
  <c r="F1497" i="1" a="1"/>
  <c r="F1497" i="1"/>
  <c r="E1497" i="1" a="1"/>
  <c r="E1497" i="1" s="1"/>
  <c r="L1496" i="1" a="1"/>
  <c r="L1496" i="1" s="1"/>
  <c r="J1496" i="1" a="1"/>
  <c r="J1496" i="1" s="1"/>
  <c r="K1496" i="1" s="1" a="1"/>
  <c r="K1496" i="1" s="1"/>
  <c r="N1496" i="1" s="1" a="1"/>
  <c r="N1496" i="1" s="1"/>
  <c r="I1496" i="1" a="1"/>
  <c r="I1496" i="1" s="1"/>
  <c r="F1496" i="1" a="1"/>
  <c r="F1496" i="1" s="1"/>
  <c r="E1496" i="1" a="1"/>
  <c r="E1496" i="1"/>
  <c r="L1495" i="1" a="1"/>
  <c r="L1495" i="1"/>
  <c r="J1495" i="1" a="1"/>
  <c r="J1495" i="1" s="1"/>
  <c r="K1495" i="1" s="1" a="1"/>
  <c r="K1495" i="1" s="1"/>
  <c r="N1495" i="1" s="1" a="1"/>
  <c r="N1495" i="1" s="1"/>
  <c r="I1495" i="1" a="1"/>
  <c r="I1495" i="1" s="1"/>
  <c r="F1495" i="1" a="1"/>
  <c r="F1495" i="1" s="1"/>
  <c r="E1495" i="1" a="1"/>
  <c r="E1495" i="1" s="1"/>
  <c r="L1494" i="1" a="1"/>
  <c r="L1494" i="1" s="1"/>
  <c r="O1494" i="1" s="1" a="1"/>
  <c r="O1494" i="1" s="1"/>
  <c r="J1494" i="1" a="1"/>
  <c r="J1494" i="1" s="1"/>
  <c r="K1494" i="1" s="1" a="1"/>
  <c r="K1494" i="1" s="1"/>
  <c r="N1494" i="1" s="1" a="1"/>
  <c r="N1494" i="1" s="1"/>
  <c r="I1494" i="1" a="1"/>
  <c r="I1494" i="1" s="1"/>
  <c r="F1494" i="1" a="1"/>
  <c r="F1494" i="1" s="1"/>
  <c r="E1494" i="1" a="1"/>
  <c r="E1494" i="1" s="1"/>
  <c r="L1493" i="1" a="1"/>
  <c r="L1493" i="1" s="1"/>
  <c r="O1493" i="1" s="1" a="1"/>
  <c r="O1493" i="1" s="1"/>
  <c r="J1493" i="1" a="1"/>
  <c r="J1493" i="1"/>
  <c r="K1493" i="1" s="1" a="1"/>
  <c r="K1493" i="1" s="1"/>
  <c r="N1493" i="1" s="1" a="1"/>
  <c r="N1493" i="1" s="1"/>
  <c r="I1493" i="1" a="1"/>
  <c r="I1493" i="1" s="1"/>
  <c r="F1493" i="1" a="1"/>
  <c r="F1493" i="1"/>
  <c r="E1493" i="1" a="1"/>
  <c r="E1493" i="1" s="1"/>
  <c r="L1492" i="1" a="1"/>
  <c r="L1492" i="1" s="1"/>
  <c r="K1492" i="1" a="1"/>
  <c r="K1492" i="1" s="1"/>
  <c r="N1492" i="1" s="1" a="1"/>
  <c r="N1492" i="1" s="1"/>
  <c r="J1492" i="1" a="1"/>
  <c r="J1492" i="1" s="1"/>
  <c r="I1492" i="1" a="1"/>
  <c r="I1492" i="1" s="1"/>
  <c r="F1492" i="1" a="1"/>
  <c r="F1492" i="1" s="1"/>
  <c r="E1492" i="1" a="1"/>
  <c r="E1492" i="1"/>
  <c r="L1491" i="1" a="1"/>
  <c r="L1491" i="1"/>
  <c r="J1491" i="1" a="1"/>
  <c r="J1491" i="1" s="1"/>
  <c r="K1491" i="1" s="1" a="1"/>
  <c r="K1491" i="1" s="1"/>
  <c r="N1491" i="1" s="1" a="1"/>
  <c r="N1491" i="1" s="1"/>
  <c r="I1491" i="1" a="1"/>
  <c r="I1491" i="1" s="1"/>
  <c r="F1491" i="1" a="1"/>
  <c r="F1491" i="1" s="1"/>
  <c r="E1491" i="1" a="1"/>
  <c r="E1491" i="1" s="1"/>
  <c r="O1490" i="1" a="1"/>
  <c r="O1490" i="1"/>
  <c r="L1490" i="1" a="1"/>
  <c r="L1490" i="1" s="1"/>
  <c r="K1490" i="1" a="1"/>
  <c r="K1490" i="1"/>
  <c r="N1490" i="1" s="1" a="1"/>
  <c r="N1490" i="1" s="1"/>
  <c r="J1490" i="1" a="1"/>
  <c r="J1490" i="1" s="1"/>
  <c r="I1490" i="1" a="1"/>
  <c r="I1490" i="1" s="1"/>
  <c r="F1490" i="1" a="1"/>
  <c r="F1490" i="1" s="1"/>
  <c r="E1490" i="1" a="1"/>
  <c r="E1490" i="1" s="1"/>
  <c r="L1489" i="1" a="1"/>
  <c r="L1489" i="1"/>
  <c r="J1489" i="1" a="1"/>
  <c r="J1489" i="1" s="1"/>
  <c r="K1489" i="1" s="1" a="1"/>
  <c r="K1489" i="1" s="1"/>
  <c r="N1489" i="1" s="1" a="1"/>
  <c r="N1489" i="1" s="1"/>
  <c r="I1489" i="1" a="1"/>
  <c r="I1489" i="1" s="1"/>
  <c r="F1489" i="1" a="1"/>
  <c r="F1489" i="1" s="1"/>
  <c r="E1489" i="1" a="1"/>
  <c r="E1489" i="1"/>
  <c r="L1488" i="1" a="1"/>
  <c r="L1488" i="1" s="1"/>
  <c r="J1488" i="1" a="1"/>
  <c r="J1488" i="1" s="1"/>
  <c r="I1488" i="1" a="1"/>
  <c r="I1488" i="1" s="1"/>
  <c r="F1488" i="1" a="1"/>
  <c r="F1488" i="1" s="1"/>
  <c r="E1488" i="1" a="1"/>
  <c r="E1488" i="1"/>
  <c r="L1487" i="1" a="1"/>
  <c r="L1487" i="1" s="1"/>
  <c r="J1487" i="1" a="1"/>
  <c r="J1487" i="1" s="1"/>
  <c r="I1487" i="1" a="1"/>
  <c r="I1487" i="1" s="1"/>
  <c r="F1487" i="1" a="1"/>
  <c r="F1487" i="1" s="1"/>
  <c r="E1487" i="1" a="1"/>
  <c r="E1487" i="1"/>
  <c r="L1486" i="1" a="1"/>
  <c r="L1486" i="1" s="1"/>
  <c r="J1486" i="1" a="1"/>
  <c r="J1486" i="1" s="1"/>
  <c r="I1486" i="1" a="1"/>
  <c r="I1486" i="1" s="1"/>
  <c r="F1486" i="1" a="1"/>
  <c r="F1486" i="1" s="1"/>
  <c r="E1486" i="1" a="1"/>
  <c r="E1486" i="1"/>
  <c r="L1485" i="1" a="1"/>
  <c r="L1485" i="1" s="1"/>
  <c r="O1485" i="1" s="1" a="1"/>
  <c r="O1485" i="1" s="1"/>
  <c r="J1485" i="1" a="1"/>
  <c r="J1485" i="1" s="1"/>
  <c r="K1485" i="1" s="1" a="1"/>
  <c r="K1485" i="1" s="1"/>
  <c r="N1485" i="1" s="1" a="1"/>
  <c r="N1485" i="1" s="1"/>
  <c r="I1485" i="1" a="1"/>
  <c r="I1485" i="1" s="1"/>
  <c r="F1485" i="1" a="1"/>
  <c r="F1485" i="1" s="1"/>
  <c r="E1485" i="1" a="1"/>
  <c r="E1485" i="1"/>
  <c r="L1484" i="1" a="1"/>
  <c r="L1484" i="1" s="1"/>
  <c r="J1484" i="1" a="1"/>
  <c r="J1484" i="1" s="1"/>
  <c r="K1484" i="1" s="1" a="1"/>
  <c r="K1484" i="1" s="1"/>
  <c r="N1484" i="1" s="1" a="1"/>
  <c r="N1484" i="1" s="1"/>
  <c r="I1484" i="1" a="1"/>
  <c r="I1484" i="1" s="1"/>
  <c r="F1484" i="1" a="1"/>
  <c r="F1484" i="1" s="1"/>
  <c r="E1484" i="1" a="1"/>
  <c r="E1484" i="1"/>
  <c r="L1483" i="1" a="1"/>
  <c r="L1483" i="1" s="1"/>
  <c r="J1483" i="1" a="1"/>
  <c r="J1483" i="1" s="1"/>
  <c r="I1483" i="1" a="1"/>
  <c r="I1483" i="1" s="1"/>
  <c r="F1483" i="1" a="1"/>
  <c r="F1483" i="1" s="1"/>
  <c r="E1483" i="1" a="1"/>
  <c r="E1483" i="1"/>
  <c r="L1482" i="1" a="1"/>
  <c r="L1482" i="1" s="1"/>
  <c r="O1482" i="1" s="1" a="1"/>
  <c r="O1482" i="1" s="1"/>
  <c r="J1482" i="1" a="1"/>
  <c r="J1482" i="1" s="1"/>
  <c r="K1482" i="1" s="1" a="1"/>
  <c r="K1482" i="1" s="1"/>
  <c r="N1482" i="1" s="1" a="1"/>
  <c r="N1482" i="1" s="1"/>
  <c r="I1482" i="1" a="1"/>
  <c r="I1482" i="1" s="1"/>
  <c r="F1482" i="1" a="1"/>
  <c r="F1482" i="1" s="1"/>
  <c r="E1482" i="1" a="1"/>
  <c r="E1482" i="1"/>
  <c r="L1481" i="1" a="1"/>
  <c r="L1481" i="1" s="1"/>
  <c r="J1481" i="1" a="1"/>
  <c r="J1481" i="1" s="1"/>
  <c r="K1481" i="1" s="1" a="1"/>
  <c r="K1481" i="1" s="1"/>
  <c r="N1481" i="1" s="1" a="1"/>
  <c r="N1481" i="1" s="1"/>
  <c r="I1481" i="1" a="1"/>
  <c r="I1481" i="1" s="1"/>
  <c r="F1481" i="1" a="1"/>
  <c r="F1481" i="1" s="1"/>
  <c r="E1481" i="1" a="1"/>
  <c r="E1481" i="1"/>
  <c r="L1480" i="1" a="1"/>
  <c r="L1480" i="1" s="1"/>
  <c r="J1480" i="1" a="1"/>
  <c r="J1480" i="1" s="1"/>
  <c r="I1480" i="1" a="1"/>
  <c r="I1480" i="1" s="1"/>
  <c r="F1480" i="1" a="1"/>
  <c r="F1480" i="1" s="1"/>
  <c r="E1480" i="1" a="1"/>
  <c r="E1480" i="1"/>
  <c r="L1479" i="1" a="1"/>
  <c r="L1479" i="1" s="1"/>
  <c r="J1479" i="1" a="1"/>
  <c r="J1479" i="1" s="1"/>
  <c r="I1479" i="1" a="1"/>
  <c r="I1479" i="1" s="1"/>
  <c r="F1479" i="1" a="1"/>
  <c r="F1479" i="1" s="1"/>
  <c r="E1479" i="1" a="1"/>
  <c r="E1479" i="1"/>
  <c r="L1478" i="1" a="1"/>
  <c r="L1478" i="1" s="1"/>
  <c r="J1478" i="1" a="1"/>
  <c r="J1478" i="1" s="1"/>
  <c r="I1478" i="1" a="1"/>
  <c r="I1478" i="1" s="1"/>
  <c r="F1478" i="1" a="1"/>
  <c r="F1478" i="1" s="1"/>
  <c r="E1478" i="1" a="1"/>
  <c r="E1478" i="1"/>
  <c r="L1477" i="1" a="1"/>
  <c r="L1477" i="1" s="1"/>
  <c r="O1477" i="1" s="1" a="1"/>
  <c r="O1477" i="1" s="1"/>
  <c r="J1477" i="1" a="1"/>
  <c r="J1477" i="1" s="1"/>
  <c r="K1477" i="1" s="1" a="1"/>
  <c r="K1477" i="1" s="1"/>
  <c r="N1477" i="1" s="1" a="1"/>
  <c r="N1477" i="1" s="1"/>
  <c r="I1477" i="1" a="1"/>
  <c r="I1477" i="1" s="1"/>
  <c r="F1477" i="1" a="1"/>
  <c r="F1477" i="1" s="1"/>
  <c r="E1477" i="1" a="1"/>
  <c r="E1477" i="1"/>
  <c r="L1476" i="1" a="1"/>
  <c r="L1476" i="1" s="1"/>
  <c r="J1476" i="1" a="1"/>
  <c r="J1476" i="1" s="1"/>
  <c r="K1476" i="1" s="1" a="1"/>
  <c r="K1476" i="1" s="1"/>
  <c r="N1476" i="1" s="1" a="1"/>
  <c r="N1476" i="1" s="1"/>
  <c r="I1476" i="1" a="1"/>
  <c r="I1476" i="1" s="1"/>
  <c r="F1476" i="1" a="1"/>
  <c r="F1476" i="1" s="1"/>
  <c r="E1476" i="1" a="1"/>
  <c r="E1476" i="1"/>
  <c r="L1475" i="1" a="1"/>
  <c r="L1475" i="1" s="1"/>
  <c r="J1475" i="1" a="1"/>
  <c r="J1475" i="1" s="1"/>
  <c r="I1475" i="1" a="1"/>
  <c r="I1475" i="1" s="1"/>
  <c r="F1475" i="1" a="1"/>
  <c r="F1475" i="1" s="1"/>
  <c r="E1475" i="1" a="1"/>
  <c r="E1475" i="1"/>
  <c r="L1474" i="1" a="1"/>
  <c r="L1474" i="1" s="1"/>
  <c r="O1474" i="1" s="1" a="1"/>
  <c r="O1474" i="1" s="1"/>
  <c r="J1474" i="1" a="1"/>
  <c r="J1474" i="1" s="1"/>
  <c r="K1474" i="1" s="1" a="1"/>
  <c r="K1474" i="1" s="1"/>
  <c r="N1474" i="1" s="1" a="1"/>
  <c r="N1474" i="1" s="1"/>
  <c r="I1474" i="1" a="1"/>
  <c r="I1474" i="1" s="1"/>
  <c r="F1474" i="1" a="1"/>
  <c r="F1474" i="1" s="1"/>
  <c r="E1474" i="1" a="1"/>
  <c r="E1474" i="1"/>
  <c r="L1473" i="1" a="1"/>
  <c r="L1473" i="1" s="1"/>
  <c r="J1473" i="1" a="1"/>
  <c r="J1473" i="1" s="1"/>
  <c r="K1473" i="1" s="1" a="1"/>
  <c r="K1473" i="1" s="1"/>
  <c r="N1473" i="1" s="1" a="1"/>
  <c r="N1473" i="1" s="1"/>
  <c r="I1473" i="1" a="1"/>
  <c r="I1473" i="1" s="1"/>
  <c r="F1473" i="1" a="1"/>
  <c r="F1473" i="1" s="1"/>
  <c r="E1473" i="1" a="1"/>
  <c r="E1473" i="1"/>
  <c r="L1472" i="1" a="1"/>
  <c r="L1472" i="1" s="1"/>
  <c r="J1472" i="1" a="1"/>
  <c r="J1472" i="1" s="1"/>
  <c r="I1472" i="1" a="1"/>
  <c r="I1472" i="1" s="1"/>
  <c r="F1472" i="1" a="1"/>
  <c r="F1472" i="1" s="1"/>
  <c r="E1472" i="1" a="1"/>
  <c r="E1472" i="1"/>
  <c r="L1471" i="1" a="1"/>
  <c r="L1471" i="1" s="1"/>
  <c r="J1471" i="1" a="1"/>
  <c r="J1471" i="1" s="1"/>
  <c r="I1471" i="1" a="1"/>
  <c r="I1471" i="1" s="1"/>
  <c r="F1471" i="1" a="1"/>
  <c r="F1471" i="1" s="1"/>
  <c r="E1471" i="1" a="1"/>
  <c r="E1471" i="1"/>
  <c r="L1470" i="1" a="1"/>
  <c r="L1470" i="1" s="1"/>
  <c r="J1470" i="1" a="1"/>
  <c r="J1470" i="1" s="1"/>
  <c r="I1470" i="1" a="1"/>
  <c r="I1470" i="1" s="1"/>
  <c r="F1470" i="1" a="1"/>
  <c r="F1470" i="1" s="1"/>
  <c r="E1470" i="1" a="1"/>
  <c r="E1470" i="1"/>
  <c r="L1469" i="1" a="1"/>
  <c r="L1469" i="1" s="1"/>
  <c r="J1469" i="1" a="1"/>
  <c r="J1469" i="1" s="1"/>
  <c r="I1469" i="1" a="1"/>
  <c r="I1469" i="1" s="1"/>
  <c r="F1469" i="1" a="1"/>
  <c r="F1469" i="1" s="1"/>
  <c r="E1469" i="1" a="1"/>
  <c r="E1469" i="1"/>
  <c r="L1468" i="1" a="1"/>
  <c r="L1468" i="1" s="1"/>
  <c r="J1468" i="1" a="1"/>
  <c r="J1468" i="1" s="1"/>
  <c r="I1468" i="1" a="1"/>
  <c r="I1468" i="1" s="1"/>
  <c r="F1468" i="1" a="1"/>
  <c r="F1468" i="1" s="1"/>
  <c r="E1468" i="1" a="1"/>
  <c r="E1468" i="1"/>
  <c r="L1467" i="1" a="1"/>
  <c r="L1467" i="1" s="1"/>
  <c r="J1467" i="1" a="1"/>
  <c r="J1467" i="1" s="1"/>
  <c r="I1467" i="1" a="1"/>
  <c r="I1467" i="1" s="1"/>
  <c r="F1467" i="1" a="1"/>
  <c r="F1467" i="1" s="1"/>
  <c r="E1467" i="1" a="1"/>
  <c r="E1467" i="1"/>
  <c r="L1466" i="1" a="1"/>
  <c r="L1466" i="1" s="1"/>
  <c r="J1466" i="1" a="1"/>
  <c r="J1466" i="1" s="1"/>
  <c r="I1466" i="1" a="1"/>
  <c r="I1466" i="1" s="1"/>
  <c r="F1466" i="1" a="1"/>
  <c r="F1466" i="1" s="1"/>
  <c r="E1466" i="1" a="1"/>
  <c r="E1466" i="1"/>
  <c r="L1465" i="1" a="1"/>
  <c r="L1465" i="1" s="1"/>
  <c r="J1465" i="1" a="1"/>
  <c r="J1465" i="1" s="1"/>
  <c r="I1465" i="1" a="1"/>
  <c r="I1465" i="1" s="1"/>
  <c r="F1465" i="1" a="1"/>
  <c r="F1465" i="1" s="1"/>
  <c r="E1465" i="1" a="1"/>
  <c r="E1465" i="1"/>
  <c r="O1464" i="1" a="1"/>
  <c r="O1464" i="1" s="1"/>
  <c r="N1464" i="1" a="1"/>
  <c r="N1464" i="1" s="1"/>
  <c r="L1464" i="1" a="1"/>
  <c r="L1464" i="1" s="1"/>
  <c r="J1464" i="1" a="1"/>
  <c r="J1464" i="1" s="1"/>
  <c r="K1464" i="1" s="1" a="1"/>
  <c r="K1464" i="1" s="1"/>
  <c r="I1464" i="1" a="1"/>
  <c r="I1464" i="1" s="1"/>
  <c r="F1464" i="1" a="1"/>
  <c r="F1464" i="1" s="1"/>
  <c r="E1464" i="1" a="1"/>
  <c r="E1464" i="1"/>
  <c r="O1463" i="1" a="1"/>
  <c r="O1463" i="1" s="1"/>
  <c r="N1463" i="1" a="1"/>
  <c r="N1463" i="1" s="1"/>
  <c r="L1463" i="1" a="1"/>
  <c r="L1463" i="1" s="1"/>
  <c r="J1463" i="1" a="1"/>
  <c r="J1463" i="1" s="1"/>
  <c r="K1463" i="1" s="1" a="1"/>
  <c r="K1463" i="1" s="1"/>
  <c r="I1463" i="1" a="1"/>
  <c r="I1463" i="1" s="1"/>
  <c r="F1463" i="1" a="1"/>
  <c r="F1463" i="1" s="1"/>
  <c r="E1463" i="1" a="1"/>
  <c r="E1463" i="1"/>
  <c r="O1462" i="1" a="1"/>
  <c r="O1462" i="1" s="1"/>
  <c r="N1462" i="1" a="1"/>
  <c r="N1462" i="1" s="1"/>
  <c r="L1462" i="1" a="1"/>
  <c r="L1462" i="1" s="1"/>
  <c r="J1462" i="1" a="1"/>
  <c r="J1462" i="1" s="1"/>
  <c r="K1462" i="1" s="1" a="1"/>
  <c r="K1462" i="1" s="1"/>
  <c r="I1462" i="1" a="1"/>
  <c r="I1462" i="1" s="1"/>
  <c r="F1462" i="1" a="1"/>
  <c r="F1462" i="1" s="1"/>
  <c r="E1462" i="1" a="1"/>
  <c r="E1462" i="1"/>
  <c r="O1461" i="1" a="1"/>
  <c r="O1461" i="1" s="1"/>
  <c r="N1461" i="1" a="1"/>
  <c r="N1461" i="1" s="1"/>
  <c r="L1461" i="1" a="1"/>
  <c r="L1461" i="1" s="1"/>
  <c r="J1461" i="1" a="1"/>
  <c r="J1461" i="1" s="1"/>
  <c r="K1461" i="1" s="1" a="1"/>
  <c r="K1461" i="1" s="1"/>
  <c r="I1461" i="1" a="1"/>
  <c r="I1461" i="1" s="1"/>
  <c r="F1461" i="1" a="1"/>
  <c r="F1461" i="1" s="1"/>
  <c r="E1461" i="1" a="1"/>
  <c r="E1461" i="1"/>
  <c r="O1460" i="1" a="1"/>
  <c r="O1460" i="1" s="1"/>
  <c r="N1460" i="1" a="1"/>
  <c r="N1460" i="1" s="1"/>
  <c r="L1460" i="1" a="1"/>
  <c r="L1460" i="1" s="1"/>
  <c r="J1460" i="1" a="1"/>
  <c r="J1460" i="1" s="1"/>
  <c r="K1460" i="1" s="1" a="1"/>
  <c r="K1460" i="1" s="1"/>
  <c r="I1460" i="1" a="1"/>
  <c r="I1460" i="1" s="1"/>
  <c r="F1460" i="1" a="1"/>
  <c r="F1460" i="1" s="1"/>
  <c r="E1460" i="1" a="1"/>
  <c r="E1460" i="1"/>
  <c r="O1459" i="1" a="1"/>
  <c r="O1459" i="1" s="1"/>
  <c r="N1459" i="1" a="1"/>
  <c r="N1459" i="1" s="1"/>
  <c r="L1459" i="1" a="1"/>
  <c r="L1459" i="1" s="1"/>
  <c r="J1459" i="1" a="1"/>
  <c r="J1459" i="1" s="1"/>
  <c r="K1459" i="1" s="1" a="1"/>
  <c r="K1459" i="1" s="1"/>
  <c r="I1459" i="1" a="1"/>
  <c r="I1459" i="1" s="1"/>
  <c r="F1459" i="1" a="1"/>
  <c r="F1459" i="1" s="1"/>
  <c r="E1459" i="1" a="1"/>
  <c r="E1459" i="1"/>
  <c r="O1458" i="1" a="1"/>
  <c r="O1458" i="1" s="1"/>
  <c r="N1458" i="1" a="1"/>
  <c r="N1458" i="1" s="1"/>
  <c r="L1458" i="1" a="1"/>
  <c r="L1458" i="1" s="1"/>
  <c r="J1458" i="1" a="1"/>
  <c r="J1458" i="1" s="1"/>
  <c r="K1458" i="1" s="1" a="1"/>
  <c r="K1458" i="1" s="1"/>
  <c r="I1458" i="1" a="1"/>
  <c r="I1458" i="1" s="1"/>
  <c r="F1458" i="1" a="1"/>
  <c r="F1458" i="1" s="1"/>
  <c r="E1458" i="1" a="1"/>
  <c r="E1458" i="1"/>
  <c r="O1457" i="1" a="1"/>
  <c r="O1457" i="1" s="1"/>
  <c r="N1457" i="1" a="1"/>
  <c r="N1457" i="1" s="1"/>
  <c r="L1457" i="1" a="1"/>
  <c r="L1457" i="1" s="1"/>
  <c r="J1457" i="1" a="1"/>
  <c r="J1457" i="1" s="1"/>
  <c r="K1457" i="1" s="1" a="1"/>
  <c r="K1457" i="1" s="1"/>
  <c r="I1457" i="1" a="1"/>
  <c r="I1457" i="1" s="1"/>
  <c r="F1457" i="1" a="1"/>
  <c r="F1457" i="1" s="1"/>
  <c r="E1457" i="1" a="1"/>
  <c r="E1457" i="1"/>
  <c r="O1456" i="1" a="1"/>
  <c r="O1456" i="1" s="1"/>
  <c r="N1456" i="1" a="1"/>
  <c r="N1456" i="1" s="1"/>
  <c r="L1456" i="1" a="1"/>
  <c r="L1456" i="1" s="1"/>
  <c r="J1456" i="1" a="1"/>
  <c r="J1456" i="1" s="1"/>
  <c r="K1456" i="1" s="1" a="1"/>
  <c r="K1456" i="1" s="1"/>
  <c r="I1456" i="1" a="1"/>
  <c r="I1456" i="1" s="1"/>
  <c r="F1456" i="1" a="1"/>
  <c r="F1456" i="1" s="1"/>
  <c r="E1456" i="1" a="1"/>
  <c r="E1456" i="1"/>
  <c r="O1455" i="1" a="1"/>
  <c r="O1455" i="1" s="1"/>
  <c r="N1455" i="1" a="1"/>
  <c r="N1455" i="1" s="1"/>
  <c r="L1455" i="1" a="1"/>
  <c r="L1455" i="1" s="1"/>
  <c r="J1455" i="1" a="1"/>
  <c r="J1455" i="1" s="1"/>
  <c r="K1455" i="1" s="1" a="1"/>
  <c r="K1455" i="1" s="1"/>
  <c r="I1455" i="1" a="1"/>
  <c r="I1455" i="1" s="1"/>
  <c r="F1455" i="1" a="1"/>
  <c r="F1455" i="1" s="1"/>
  <c r="E1455" i="1" a="1"/>
  <c r="E1455" i="1"/>
  <c r="O1454" i="1" a="1"/>
  <c r="O1454" i="1" s="1"/>
  <c r="N1454" i="1" a="1"/>
  <c r="N1454" i="1" s="1"/>
  <c r="L1454" i="1" a="1"/>
  <c r="L1454" i="1" s="1"/>
  <c r="J1454" i="1" a="1"/>
  <c r="J1454" i="1" s="1"/>
  <c r="K1454" i="1" s="1" a="1"/>
  <c r="K1454" i="1" s="1"/>
  <c r="I1454" i="1" a="1"/>
  <c r="I1454" i="1" s="1"/>
  <c r="F1454" i="1" a="1"/>
  <c r="F1454" i="1" s="1"/>
  <c r="E1454" i="1" a="1"/>
  <c r="E1454" i="1"/>
  <c r="O1453" i="1" a="1"/>
  <c r="O1453" i="1" s="1"/>
  <c r="L1453" i="1" a="1"/>
  <c r="L1453" i="1" s="1"/>
  <c r="J1453" i="1" a="1"/>
  <c r="J1453" i="1" s="1"/>
  <c r="K1453" i="1" s="1" a="1"/>
  <c r="K1453" i="1" s="1"/>
  <c r="N1453" i="1" s="1" a="1"/>
  <c r="N1453" i="1" s="1"/>
  <c r="I1453" i="1" a="1"/>
  <c r="I1453" i="1" s="1"/>
  <c r="F1453" i="1" a="1"/>
  <c r="F1453" i="1" s="1"/>
  <c r="E1453" i="1" a="1"/>
  <c r="E1453" i="1"/>
  <c r="O1452" i="1" a="1"/>
  <c r="O1452" i="1" s="1"/>
  <c r="L1452" i="1" a="1"/>
  <c r="L1452" i="1" s="1"/>
  <c r="J1452" i="1" a="1"/>
  <c r="J1452" i="1" s="1"/>
  <c r="K1452" i="1" s="1" a="1"/>
  <c r="K1452" i="1" s="1"/>
  <c r="N1452" i="1" s="1" a="1"/>
  <c r="N1452" i="1" s="1"/>
  <c r="I1452" i="1" a="1"/>
  <c r="I1452" i="1" s="1"/>
  <c r="F1452" i="1" a="1"/>
  <c r="F1452" i="1" s="1"/>
  <c r="E1452" i="1" a="1"/>
  <c r="E1452" i="1"/>
  <c r="L1451" i="1" a="1"/>
  <c r="L1451" i="1" s="1"/>
  <c r="J1451" i="1" a="1"/>
  <c r="J1451" i="1" s="1"/>
  <c r="I1451" i="1" a="1"/>
  <c r="I1451" i="1"/>
  <c r="F1451" i="1" a="1"/>
  <c r="F1451" i="1" s="1"/>
  <c r="E1451" i="1" a="1"/>
  <c r="E1451" i="1"/>
  <c r="L1450" i="1" a="1"/>
  <c r="L1450" i="1" s="1"/>
  <c r="J1450" i="1" a="1"/>
  <c r="J1450" i="1" s="1"/>
  <c r="I1450" i="1" a="1"/>
  <c r="I1450" i="1" s="1"/>
  <c r="F1450" i="1" a="1"/>
  <c r="F1450" i="1" s="1"/>
  <c r="E1450" i="1" a="1"/>
  <c r="E1450" i="1" s="1"/>
  <c r="L1449" i="1" a="1"/>
  <c r="L1449" i="1" s="1"/>
  <c r="J1449" i="1" a="1"/>
  <c r="J1449" i="1" s="1"/>
  <c r="I1449" i="1" a="1"/>
  <c r="I1449" i="1"/>
  <c r="F1449" i="1" a="1"/>
  <c r="F1449" i="1" s="1"/>
  <c r="E1449" i="1" a="1"/>
  <c r="E1449" i="1" s="1"/>
  <c r="L1448" i="1" a="1"/>
  <c r="L1448" i="1" s="1"/>
  <c r="J1448" i="1" a="1"/>
  <c r="J1448" i="1" s="1"/>
  <c r="I1448" i="1" a="1"/>
  <c r="I1448" i="1" s="1"/>
  <c r="F1448" i="1" a="1"/>
  <c r="F1448" i="1" s="1"/>
  <c r="E1448" i="1" a="1"/>
  <c r="E1448" i="1" s="1"/>
  <c r="L1447" i="1" a="1"/>
  <c r="L1447" i="1" s="1"/>
  <c r="J1447" i="1" a="1"/>
  <c r="J1447" i="1" s="1"/>
  <c r="I1447" i="1" a="1"/>
  <c r="I1447" i="1" s="1"/>
  <c r="F1447" i="1" a="1"/>
  <c r="F1447" i="1" s="1"/>
  <c r="E1447" i="1" a="1"/>
  <c r="E1447" i="1" s="1"/>
  <c r="L1446" i="1" a="1"/>
  <c r="L1446" i="1" s="1"/>
  <c r="O1446" i="1" s="1" a="1"/>
  <c r="O1446" i="1" s="1"/>
  <c r="J1446" i="1" a="1"/>
  <c r="J1446" i="1" s="1"/>
  <c r="I1446" i="1" a="1"/>
  <c r="I1446" i="1" s="1"/>
  <c r="K1446" i="1" s="1" a="1"/>
  <c r="K1446" i="1" s="1"/>
  <c r="N1446" i="1" s="1" a="1"/>
  <c r="N1446" i="1" s="1"/>
  <c r="F1446" i="1" a="1"/>
  <c r="F1446" i="1" s="1"/>
  <c r="E1446" i="1" a="1"/>
  <c r="E1446" i="1" s="1"/>
  <c r="L1445" i="1" a="1"/>
  <c r="L1445" i="1" s="1"/>
  <c r="J1445" i="1" a="1"/>
  <c r="J1445" i="1" s="1"/>
  <c r="I1445" i="1" a="1"/>
  <c r="I1445" i="1" s="1"/>
  <c r="K1445" i="1" s="1" a="1"/>
  <c r="K1445" i="1" s="1"/>
  <c r="N1445" i="1" s="1" a="1"/>
  <c r="N1445" i="1" s="1"/>
  <c r="F1445" i="1" a="1"/>
  <c r="F1445" i="1" s="1"/>
  <c r="E1445" i="1" a="1"/>
  <c r="E1445" i="1" s="1"/>
  <c r="L1444" i="1" a="1"/>
  <c r="L1444" i="1" s="1"/>
  <c r="J1444" i="1" a="1"/>
  <c r="J1444" i="1" s="1"/>
  <c r="I1444" i="1" a="1"/>
  <c r="I1444" i="1"/>
  <c r="K1444" i="1" s="1" a="1"/>
  <c r="K1444" i="1" s="1"/>
  <c r="F1444" i="1" a="1"/>
  <c r="F1444" i="1" s="1"/>
  <c r="E1444" i="1" a="1"/>
  <c r="E1444" i="1" s="1"/>
  <c r="L1443" i="1" a="1"/>
  <c r="L1443" i="1" s="1"/>
  <c r="J1443" i="1" a="1"/>
  <c r="J1443" i="1" s="1"/>
  <c r="K1443" i="1" s="1" a="1"/>
  <c r="K1443" i="1" s="1"/>
  <c r="I1443" i="1" a="1"/>
  <c r="I1443" i="1" s="1"/>
  <c r="F1443" i="1" a="1"/>
  <c r="F1443" i="1" s="1"/>
  <c r="E1443" i="1" a="1"/>
  <c r="E1443" i="1" s="1"/>
  <c r="L1442" i="1" a="1"/>
  <c r="L1442" i="1" s="1"/>
  <c r="J1442" i="1" a="1"/>
  <c r="J1442" i="1" s="1"/>
  <c r="I1442" i="1" a="1"/>
  <c r="I1442" i="1" s="1"/>
  <c r="K1442" i="1" s="1" a="1"/>
  <c r="K1442" i="1" s="1"/>
  <c r="N1442" i="1" s="1" a="1"/>
  <c r="N1442" i="1" s="1"/>
  <c r="F1442" i="1" a="1"/>
  <c r="F1442" i="1" s="1"/>
  <c r="E1442" i="1" a="1"/>
  <c r="E1442" i="1" s="1"/>
  <c r="L1441" i="1" a="1"/>
  <c r="L1441" i="1" s="1"/>
  <c r="O1441" i="1" s="1" a="1"/>
  <c r="O1441" i="1" s="1"/>
  <c r="J1441" i="1" a="1"/>
  <c r="J1441" i="1" s="1"/>
  <c r="I1441" i="1" a="1"/>
  <c r="I1441" i="1" s="1"/>
  <c r="K1441" i="1" s="1" a="1"/>
  <c r="K1441" i="1" s="1"/>
  <c r="N1441" i="1" s="1" a="1"/>
  <c r="N1441" i="1" s="1"/>
  <c r="F1441" i="1" a="1"/>
  <c r="F1441" i="1" s="1"/>
  <c r="E1441" i="1" a="1"/>
  <c r="E1441" i="1" s="1"/>
  <c r="L1440" i="1" a="1"/>
  <c r="L1440" i="1" s="1"/>
  <c r="J1440" i="1" a="1"/>
  <c r="J1440" i="1" s="1"/>
  <c r="I1440" i="1" a="1"/>
  <c r="I1440" i="1"/>
  <c r="K1440" i="1" s="1" a="1"/>
  <c r="K1440" i="1" s="1"/>
  <c r="F1440" i="1" a="1"/>
  <c r="F1440" i="1" s="1"/>
  <c r="E1440" i="1" a="1"/>
  <c r="E1440" i="1" s="1"/>
  <c r="L1439" i="1" a="1"/>
  <c r="L1439" i="1" s="1"/>
  <c r="K1439" i="1"/>
  <c r="J1439" i="1" a="1"/>
  <c r="J1439" i="1" s="1"/>
  <c r="K1439" i="1" s="1" a="1"/>
  <c r="I1439" i="1" a="1"/>
  <c r="I1439" i="1"/>
  <c r="F1439" i="1" a="1"/>
  <c r="F1439" i="1" s="1"/>
  <c r="E1439" i="1" a="1"/>
  <c r="E1439" i="1" s="1"/>
  <c r="L1438" i="1" a="1"/>
  <c r="L1438" i="1" s="1"/>
  <c r="J1438" i="1" a="1"/>
  <c r="J1438" i="1" s="1"/>
  <c r="K1438" i="1" s="1" a="1"/>
  <c r="K1438" i="1" s="1"/>
  <c r="N1438" i="1" s="1" a="1"/>
  <c r="N1438" i="1" s="1"/>
  <c r="I1438" i="1" a="1"/>
  <c r="I1438" i="1" s="1"/>
  <c r="F1438" i="1" a="1"/>
  <c r="F1438" i="1" s="1"/>
  <c r="E1438" i="1" a="1"/>
  <c r="E1438" i="1" s="1"/>
  <c r="L1437" i="1" a="1"/>
  <c r="L1437" i="1" s="1"/>
  <c r="J1437" i="1" a="1"/>
  <c r="J1437" i="1" s="1"/>
  <c r="K1437" i="1" s="1" a="1"/>
  <c r="K1437" i="1" s="1"/>
  <c r="I1437" i="1" a="1"/>
  <c r="I1437" i="1"/>
  <c r="F1437" i="1" a="1"/>
  <c r="F1437" i="1" s="1"/>
  <c r="E1437" i="1" a="1"/>
  <c r="E1437" i="1" s="1"/>
  <c r="L1436" i="1" a="1"/>
  <c r="L1436" i="1" s="1"/>
  <c r="J1436" i="1" a="1"/>
  <c r="J1436" i="1" s="1"/>
  <c r="I1436" i="1" a="1"/>
  <c r="I1436" i="1" s="1"/>
  <c r="F1436" i="1" a="1"/>
  <c r="F1436" i="1" s="1"/>
  <c r="E1436" i="1" a="1"/>
  <c r="E1436" i="1" s="1"/>
  <c r="L1435" i="1" a="1"/>
  <c r="L1435" i="1" s="1"/>
  <c r="K1435" i="1"/>
  <c r="J1435" i="1" a="1"/>
  <c r="J1435" i="1" s="1"/>
  <c r="K1435" i="1" s="1" a="1"/>
  <c r="I1435" i="1" a="1"/>
  <c r="I1435" i="1"/>
  <c r="F1435" i="1" a="1"/>
  <c r="F1435" i="1" s="1"/>
  <c r="E1435" i="1" a="1"/>
  <c r="E1435" i="1" s="1"/>
  <c r="N1434" i="1" a="1"/>
  <c r="N1434" i="1" s="1"/>
  <c r="L1434" i="1" a="1"/>
  <c r="L1434" i="1" s="1"/>
  <c r="J1434" i="1" a="1"/>
  <c r="J1434" i="1" s="1"/>
  <c r="K1434" i="1" s="1" a="1"/>
  <c r="K1434" i="1" s="1"/>
  <c r="I1434" i="1" a="1"/>
  <c r="I1434" i="1" s="1"/>
  <c r="F1434" i="1" a="1"/>
  <c r="F1434" i="1" s="1"/>
  <c r="E1434" i="1" a="1"/>
  <c r="E1434" i="1" s="1"/>
  <c r="L1433" i="1" a="1"/>
  <c r="L1433" i="1" s="1"/>
  <c r="J1433" i="1" a="1"/>
  <c r="J1433" i="1" s="1"/>
  <c r="K1433" i="1" s="1" a="1"/>
  <c r="K1433" i="1" s="1"/>
  <c r="I1433" i="1" a="1"/>
  <c r="I1433" i="1"/>
  <c r="F1433" i="1" a="1"/>
  <c r="F1433" i="1" s="1"/>
  <c r="E1433" i="1" a="1"/>
  <c r="E1433" i="1" s="1"/>
  <c r="L1432" i="1" a="1"/>
  <c r="L1432" i="1" s="1"/>
  <c r="J1432" i="1" a="1"/>
  <c r="J1432" i="1" s="1"/>
  <c r="I1432" i="1" a="1"/>
  <c r="I1432" i="1" s="1"/>
  <c r="F1432" i="1" a="1"/>
  <c r="F1432" i="1" s="1"/>
  <c r="E1432" i="1" a="1"/>
  <c r="E1432" i="1" s="1"/>
  <c r="L1431" i="1" a="1"/>
  <c r="L1431" i="1" s="1"/>
  <c r="K1431" i="1"/>
  <c r="J1431" i="1" a="1"/>
  <c r="J1431" i="1" s="1"/>
  <c r="K1431" i="1" s="1" a="1"/>
  <c r="I1431" i="1" a="1"/>
  <c r="I1431" i="1"/>
  <c r="F1431" i="1" a="1"/>
  <c r="F1431" i="1" s="1"/>
  <c r="E1431" i="1" a="1"/>
  <c r="E1431" i="1" s="1"/>
  <c r="L1430" i="1" a="1"/>
  <c r="L1430" i="1" s="1"/>
  <c r="J1430" i="1" a="1"/>
  <c r="J1430" i="1" s="1"/>
  <c r="K1430" i="1" s="1" a="1"/>
  <c r="K1430" i="1" s="1"/>
  <c r="N1430" i="1" s="1" a="1"/>
  <c r="N1430" i="1" s="1"/>
  <c r="I1430" i="1" a="1"/>
  <c r="I1430" i="1" s="1"/>
  <c r="F1430" i="1" a="1"/>
  <c r="F1430" i="1" s="1"/>
  <c r="E1430" i="1" a="1"/>
  <c r="E1430" i="1" s="1"/>
  <c r="L1429" i="1" a="1"/>
  <c r="L1429" i="1" s="1"/>
  <c r="J1429" i="1" a="1"/>
  <c r="J1429" i="1" s="1"/>
  <c r="K1429" i="1" s="1" a="1"/>
  <c r="K1429" i="1" s="1"/>
  <c r="I1429" i="1" a="1"/>
  <c r="I1429" i="1"/>
  <c r="F1429" i="1" a="1"/>
  <c r="F1429" i="1" s="1"/>
  <c r="E1429" i="1" a="1"/>
  <c r="E1429" i="1" s="1"/>
  <c r="L1428" i="1" a="1"/>
  <c r="L1428" i="1" s="1"/>
  <c r="J1428" i="1" a="1"/>
  <c r="J1428" i="1" s="1"/>
  <c r="I1428" i="1" a="1"/>
  <c r="I1428" i="1" s="1"/>
  <c r="F1428" i="1" a="1"/>
  <c r="F1428" i="1" s="1"/>
  <c r="E1428" i="1" a="1"/>
  <c r="E1428" i="1" s="1"/>
  <c r="L1427" i="1" a="1"/>
  <c r="L1427" i="1" s="1"/>
  <c r="J1427" i="1" a="1"/>
  <c r="J1427" i="1" s="1"/>
  <c r="K1427" i="1" s="1" a="1"/>
  <c r="K1427" i="1" s="1"/>
  <c r="I1427" i="1" a="1"/>
  <c r="I1427" i="1"/>
  <c r="F1427" i="1" a="1"/>
  <c r="F1427" i="1" s="1"/>
  <c r="E1427" i="1" a="1"/>
  <c r="E1427" i="1" s="1"/>
  <c r="O1426" i="1" a="1"/>
  <c r="O1426" i="1" s="1"/>
  <c r="L1426" i="1" a="1"/>
  <c r="L1426" i="1" s="1"/>
  <c r="K1426" i="1" a="1"/>
  <c r="K1426" i="1" s="1"/>
  <c r="N1426" i="1" s="1" a="1"/>
  <c r="N1426" i="1" s="1"/>
  <c r="J1426" i="1" a="1"/>
  <c r="J1426" i="1" s="1"/>
  <c r="I1426" i="1" a="1"/>
  <c r="I1426" i="1" s="1"/>
  <c r="F1426" i="1" a="1"/>
  <c r="F1426" i="1" s="1"/>
  <c r="E1426" i="1" a="1"/>
  <c r="E1426" i="1" s="1"/>
  <c r="L1425" i="1" a="1"/>
  <c r="L1425" i="1" s="1"/>
  <c r="J1425" i="1" a="1"/>
  <c r="J1425" i="1" s="1"/>
  <c r="I1425" i="1" a="1"/>
  <c r="I1425" i="1" s="1"/>
  <c r="F1425" i="1" a="1"/>
  <c r="F1425" i="1" s="1"/>
  <c r="E1425" i="1" a="1"/>
  <c r="E1425" i="1" s="1"/>
  <c r="L1424" i="1" a="1"/>
  <c r="L1424" i="1" s="1"/>
  <c r="O1424" i="1" s="1" a="1"/>
  <c r="O1424" i="1" s="1"/>
  <c r="J1424" i="1" a="1"/>
  <c r="J1424" i="1" s="1"/>
  <c r="K1424" i="1" s="1" a="1"/>
  <c r="K1424" i="1" s="1"/>
  <c r="N1424" i="1" s="1" a="1"/>
  <c r="N1424" i="1" s="1"/>
  <c r="I1424" i="1" a="1"/>
  <c r="I1424" i="1"/>
  <c r="F1424" i="1" a="1"/>
  <c r="F1424" i="1" s="1"/>
  <c r="E1424" i="1" a="1"/>
  <c r="E1424" i="1" s="1"/>
  <c r="L1423" i="1" a="1"/>
  <c r="L1423" i="1" s="1"/>
  <c r="J1423" i="1" a="1"/>
  <c r="J1423" i="1" s="1"/>
  <c r="K1423" i="1" s="1" a="1"/>
  <c r="K1423" i="1" s="1"/>
  <c r="N1423" i="1" s="1" a="1"/>
  <c r="N1423" i="1" s="1"/>
  <c r="I1423" i="1" a="1"/>
  <c r="I1423" i="1" s="1"/>
  <c r="F1423" i="1" a="1"/>
  <c r="F1423" i="1" s="1"/>
  <c r="E1423" i="1" a="1"/>
  <c r="E1423" i="1" s="1"/>
  <c r="L1422" i="1" a="1"/>
  <c r="L1422" i="1" s="1"/>
  <c r="J1422" i="1" a="1"/>
  <c r="J1422" i="1"/>
  <c r="I1422" i="1" a="1"/>
  <c r="I1422" i="1" s="1"/>
  <c r="F1422" i="1" a="1"/>
  <c r="F1422" i="1" s="1"/>
  <c r="E1422" i="1" a="1"/>
  <c r="E1422" i="1" s="1"/>
  <c r="L1421" i="1" a="1"/>
  <c r="L1421" i="1" s="1"/>
  <c r="K1421" i="1" a="1"/>
  <c r="K1421" i="1" s="1"/>
  <c r="J1421" i="1" a="1"/>
  <c r="J1421" i="1"/>
  <c r="I1421" i="1" a="1"/>
  <c r="I1421" i="1"/>
  <c r="F1421" i="1" a="1"/>
  <c r="F1421" i="1" s="1"/>
  <c r="E1421" i="1" a="1"/>
  <c r="E1421" i="1"/>
  <c r="L1420" i="1" a="1"/>
  <c r="L1420" i="1" s="1"/>
  <c r="J1420" i="1" a="1"/>
  <c r="J1420" i="1" s="1"/>
  <c r="K1420" i="1" s="1" a="1"/>
  <c r="K1420" i="1" s="1"/>
  <c r="N1420" i="1" s="1" a="1"/>
  <c r="N1420" i="1" s="1"/>
  <c r="I1420" i="1" a="1"/>
  <c r="I1420" i="1"/>
  <c r="F1420" i="1" a="1"/>
  <c r="F1420" i="1" s="1"/>
  <c r="E1420" i="1" a="1"/>
  <c r="E1420" i="1" s="1"/>
  <c r="L1419" i="1" a="1"/>
  <c r="L1419" i="1" s="1"/>
  <c r="J1419" i="1" a="1"/>
  <c r="J1419" i="1" s="1"/>
  <c r="I1419" i="1" a="1"/>
  <c r="I1419" i="1" s="1"/>
  <c r="F1419" i="1" a="1"/>
  <c r="F1419" i="1" s="1"/>
  <c r="E1419" i="1" a="1"/>
  <c r="E1419" i="1" s="1"/>
  <c r="L1418" i="1" a="1"/>
  <c r="L1418" i="1" s="1"/>
  <c r="J1418" i="1" a="1"/>
  <c r="J1418" i="1"/>
  <c r="I1418" i="1" a="1"/>
  <c r="I1418" i="1" s="1"/>
  <c r="F1418" i="1" a="1"/>
  <c r="F1418" i="1" s="1"/>
  <c r="E1418" i="1" a="1"/>
  <c r="E1418" i="1" s="1"/>
  <c r="L1417" i="1" a="1"/>
  <c r="L1417" i="1" s="1"/>
  <c r="K1417" i="1" a="1"/>
  <c r="K1417" i="1" s="1"/>
  <c r="J1417" i="1" a="1"/>
  <c r="J1417" i="1"/>
  <c r="I1417" i="1" a="1"/>
  <c r="I1417" i="1"/>
  <c r="F1417" i="1" a="1"/>
  <c r="F1417" i="1" s="1"/>
  <c r="E1417" i="1" a="1"/>
  <c r="E1417" i="1"/>
  <c r="L1416" i="1" a="1"/>
  <c r="L1416" i="1" s="1"/>
  <c r="O1416" i="1" s="1" a="1"/>
  <c r="O1416" i="1" s="1"/>
  <c r="J1416" i="1" a="1"/>
  <c r="J1416" i="1" s="1"/>
  <c r="K1416" i="1" s="1" a="1"/>
  <c r="K1416" i="1" s="1"/>
  <c r="N1416" i="1" s="1" a="1"/>
  <c r="N1416" i="1" s="1"/>
  <c r="I1416" i="1" a="1"/>
  <c r="I1416" i="1"/>
  <c r="F1416" i="1" a="1"/>
  <c r="F1416" i="1" s="1"/>
  <c r="E1416" i="1" a="1"/>
  <c r="E1416" i="1" s="1"/>
  <c r="L1415" i="1" a="1"/>
  <c r="L1415" i="1" s="1"/>
  <c r="J1415" i="1" a="1"/>
  <c r="J1415" i="1" s="1"/>
  <c r="K1415" i="1" s="1" a="1"/>
  <c r="K1415" i="1" s="1"/>
  <c r="N1415" i="1" s="1" a="1"/>
  <c r="N1415" i="1" s="1"/>
  <c r="I1415" i="1" a="1"/>
  <c r="I1415" i="1" s="1"/>
  <c r="F1415" i="1" a="1"/>
  <c r="F1415" i="1" s="1"/>
  <c r="E1415" i="1" a="1"/>
  <c r="E1415" i="1" s="1"/>
  <c r="L1414" i="1" a="1"/>
  <c r="L1414" i="1" s="1"/>
  <c r="J1414" i="1" a="1"/>
  <c r="J1414" i="1"/>
  <c r="I1414" i="1" a="1"/>
  <c r="I1414" i="1" s="1"/>
  <c r="F1414" i="1" a="1"/>
  <c r="F1414" i="1" s="1"/>
  <c r="E1414" i="1" a="1"/>
  <c r="E1414" i="1" s="1"/>
  <c r="L1413" i="1" a="1"/>
  <c r="L1413" i="1" s="1"/>
  <c r="K1413" i="1" a="1"/>
  <c r="K1413" i="1" s="1"/>
  <c r="J1413" i="1" a="1"/>
  <c r="J1413" i="1"/>
  <c r="I1413" i="1" a="1"/>
  <c r="I1413" i="1"/>
  <c r="F1413" i="1" a="1"/>
  <c r="F1413" i="1" s="1"/>
  <c r="E1413" i="1" a="1"/>
  <c r="E1413" i="1"/>
  <c r="L1412" i="1" a="1"/>
  <c r="L1412" i="1" s="1"/>
  <c r="J1412" i="1" a="1"/>
  <c r="J1412" i="1" s="1"/>
  <c r="K1412" i="1" s="1" a="1"/>
  <c r="K1412" i="1" s="1"/>
  <c r="N1412" i="1" s="1" a="1"/>
  <c r="N1412" i="1" s="1"/>
  <c r="I1412" i="1" a="1"/>
  <c r="I1412" i="1"/>
  <c r="F1412" i="1" a="1"/>
  <c r="F1412" i="1" s="1"/>
  <c r="E1412" i="1" a="1"/>
  <c r="E1412" i="1" s="1"/>
  <c r="L1411" i="1" a="1"/>
  <c r="L1411" i="1" s="1"/>
  <c r="J1411" i="1" a="1"/>
  <c r="J1411" i="1" s="1"/>
  <c r="I1411" i="1" a="1"/>
  <c r="I1411" i="1" s="1"/>
  <c r="F1411" i="1" a="1"/>
  <c r="F1411" i="1" s="1"/>
  <c r="E1411" i="1" a="1"/>
  <c r="E1411" i="1" s="1"/>
  <c r="L1410" i="1" a="1"/>
  <c r="L1410" i="1" s="1"/>
  <c r="J1410" i="1" a="1"/>
  <c r="J1410" i="1"/>
  <c r="I1410" i="1" a="1"/>
  <c r="I1410" i="1" s="1"/>
  <c r="F1410" i="1" a="1"/>
  <c r="F1410" i="1" s="1"/>
  <c r="E1410" i="1" a="1"/>
  <c r="E1410" i="1" s="1"/>
  <c r="L1409" i="1" a="1"/>
  <c r="L1409" i="1" s="1"/>
  <c r="K1409" i="1" a="1"/>
  <c r="K1409" i="1" s="1"/>
  <c r="O1409" i="1" s="1" a="1"/>
  <c r="O1409" i="1" s="1"/>
  <c r="J1409" i="1" a="1"/>
  <c r="J1409" i="1"/>
  <c r="I1409" i="1" a="1"/>
  <c r="I1409" i="1"/>
  <c r="F1409" i="1" a="1"/>
  <c r="F1409" i="1" s="1"/>
  <c r="E1409" i="1" a="1"/>
  <c r="E1409" i="1"/>
  <c r="L1408" i="1" a="1"/>
  <c r="L1408" i="1" s="1"/>
  <c r="O1408" i="1" s="1" a="1"/>
  <c r="O1408" i="1" s="1"/>
  <c r="J1408" i="1" a="1"/>
  <c r="J1408" i="1" s="1"/>
  <c r="K1408" i="1" s="1" a="1"/>
  <c r="K1408" i="1" s="1"/>
  <c r="N1408" i="1" s="1" a="1"/>
  <c r="N1408" i="1" s="1"/>
  <c r="I1408" i="1" a="1"/>
  <c r="I1408" i="1"/>
  <c r="F1408" i="1" a="1"/>
  <c r="F1408" i="1" s="1"/>
  <c r="E1408" i="1" a="1"/>
  <c r="E1408" i="1" s="1"/>
  <c r="L1407" i="1" a="1"/>
  <c r="L1407" i="1" s="1"/>
  <c r="J1407" i="1" a="1"/>
  <c r="J1407" i="1" s="1"/>
  <c r="I1407" i="1" a="1"/>
  <c r="I1407" i="1" s="1"/>
  <c r="F1407" i="1" a="1"/>
  <c r="F1407" i="1" s="1"/>
  <c r="E1407" i="1" a="1"/>
  <c r="E1407" i="1" s="1"/>
  <c r="L1406" i="1" a="1"/>
  <c r="L1406" i="1" s="1"/>
  <c r="J1406" i="1" a="1"/>
  <c r="J1406" i="1"/>
  <c r="I1406" i="1" a="1"/>
  <c r="I1406" i="1" s="1"/>
  <c r="F1406" i="1" a="1"/>
  <c r="F1406" i="1" s="1"/>
  <c r="E1406" i="1" a="1"/>
  <c r="E1406" i="1" s="1"/>
  <c r="L1405" i="1" a="1"/>
  <c r="L1405" i="1" s="1"/>
  <c r="J1405" i="1" a="1"/>
  <c r="J1405" i="1"/>
  <c r="I1405" i="1" a="1"/>
  <c r="I1405" i="1"/>
  <c r="K1405" i="1" s="1" a="1"/>
  <c r="K1405" i="1" s="1"/>
  <c r="F1405" i="1" a="1"/>
  <c r="F1405" i="1" s="1"/>
  <c r="E1405" i="1" a="1"/>
  <c r="E1405" i="1"/>
  <c r="L1404" i="1" a="1"/>
  <c r="L1404" i="1" s="1"/>
  <c r="J1404" i="1" a="1"/>
  <c r="J1404" i="1" s="1"/>
  <c r="K1404" i="1" s="1" a="1"/>
  <c r="K1404" i="1" s="1"/>
  <c r="N1404" i="1" s="1" a="1"/>
  <c r="N1404" i="1" s="1"/>
  <c r="I1404" i="1" a="1"/>
  <c r="I1404" i="1"/>
  <c r="F1404" i="1" a="1"/>
  <c r="F1404" i="1" s="1"/>
  <c r="E1404" i="1" a="1"/>
  <c r="E1404" i="1" s="1"/>
  <c r="L1403" i="1" a="1"/>
  <c r="L1403" i="1" s="1"/>
  <c r="J1403" i="1" a="1"/>
  <c r="J1403" i="1" s="1"/>
  <c r="K1403" i="1" s="1" a="1"/>
  <c r="K1403" i="1" s="1"/>
  <c r="N1403" i="1" s="1" a="1"/>
  <c r="N1403" i="1" s="1"/>
  <c r="I1403" i="1" a="1"/>
  <c r="I1403" i="1" s="1"/>
  <c r="F1403" i="1" a="1"/>
  <c r="F1403" i="1" s="1"/>
  <c r="E1403" i="1" a="1"/>
  <c r="E1403" i="1" s="1"/>
  <c r="L1402" i="1" a="1"/>
  <c r="L1402" i="1" s="1"/>
  <c r="J1402" i="1" a="1"/>
  <c r="J1402" i="1"/>
  <c r="K1402" i="1" s="1" a="1"/>
  <c r="K1402" i="1" s="1"/>
  <c r="N1402" i="1" s="1" a="1"/>
  <c r="N1402" i="1" s="1"/>
  <c r="I1402" i="1" a="1"/>
  <c r="I1402" i="1" s="1"/>
  <c r="F1402" i="1" a="1"/>
  <c r="F1402" i="1" s="1"/>
  <c r="E1402" i="1" a="1"/>
  <c r="E1402" i="1" s="1"/>
  <c r="L1401" i="1" a="1"/>
  <c r="L1401" i="1" s="1"/>
  <c r="J1401" i="1" a="1"/>
  <c r="J1401" i="1"/>
  <c r="I1401" i="1" a="1"/>
  <c r="I1401" i="1"/>
  <c r="K1401" i="1" s="1" a="1"/>
  <c r="K1401" i="1" s="1"/>
  <c r="F1401" i="1" a="1"/>
  <c r="F1401" i="1" s="1"/>
  <c r="E1401" i="1" a="1"/>
  <c r="E1401" i="1"/>
  <c r="L1400" i="1" a="1"/>
  <c r="L1400" i="1" s="1"/>
  <c r="J1400" i="1" a="1"/>
  <c r="J1400" i="1" s="1"/>
  <c r="K1400" i="1" s="1" a="1"/>
  <c r="K1400" i="1" s="1"/>
  <c r="N1400" i="1" s="1" a="1"/>
  <c r="N1400" i="1" s="1"/>
  <c r="I1400" i="1" a="1"/>
  <c r="I1400" i="1"/>
  <c r="F1400" i="1" a="1"/>
  <c r="F1400" i="1" s="1"/>
  <c r="E1400" i="1" a="1"/>
  <c r="E1400" i="1" s="1"/>
  <c r="L1399" i="1" a="1"/>
  <c r="L1399" i="1" s="1"/>
  <c r="J1399" i="1" a="1"/>
  <c r="J1399" i="1" s="1"/>
  <c r="I1399" i="1" a="1"/>
  <c r="I1399" i="1" s="1"/>
  <c r="F1399" i="1" a="1"/>
  <c r="F1399" i="1" s="1"/>
  <c r="E1399" i="1" a="1"/>
  <c r="E1399" i="1" s="1"/>
  <c r="O1398" i="1" a="1"/>
  <c r="O1398" i="1" s="1"/>
  <c r="L1398" i="1" a="1"/>
  <c r="L1398" i="1" s="1"/>
  <c r="J1398" i="1" a="1"/>
  <c r="J1398" i="1"/>
  <c r="K1398" i="1" s="1" a="1"/>
  <c r="K1398" i="1" s="1"/>
  <c r="N1398" i="1" s="1" a="1"/>
  <c r="N1398" i="1" s="1"/>
  <c r="I1398" i="1" a="1"/>
  <c r="I1398" i="1" s="1"/>
  <c r="F1398" i="1" a="1"/>
  <c r="F1398" i="1" s="1"/>
  <c r="E1398" i="1" a="1"/>
  <c r="E1398" i="1" s="1"/>
  <c r="N1397" i="1" a="1"/>
  <c r="N1397" i="1" s="1"/>
  <c r="L1397" i="1" a="1"/>
  <c r="L1397" i="1" s="1"/>
  <c r="K1397" i="1" a="1"/>
  <c r="K1397" i="1" s="1"/>
  <c r="O1397" i="1" s="1" a="1"/>
  <c r="O1397" i="1" s="1"/>
  <c r="J1397" i="1" a="1"/>
  <c r="J1397" i="1"/>
  <c r="I1397" i="1" a="1"/>
  <c r="I1397" i="1"/>
  <c r="F1397" i="1" a="1"/>
  <c r="F1397" i="1" s="1"/>
  <c r="E1397" i="1" a="1"/>
  <c r="E1397" i="1"/>
  <c r="L1396" i="1" a="1"/>
  <c r="L1396" i="1" s="1"/>
  <c r="O1396" i="1" s="1" a="1"/>
  <c r="O1396" i="1" s="1"/>
  <c r="J1396" i="1" a="1"/>
  <c r="J1396" i="1" s="1"/>
  <c r="K1396" i="1" s="1" a="1"/>
  <c r="K1396" i="1" s="1"/>
  <c r="N1396" i="1" s="1" a="1"/>
  <c r="N1396" i="1" s="1"/>
  <c r="I1396" i="1" a="1"/>
  <c r="I1396" i="1"/>
  <c r="F1396" i="1" a="1"/>
  <c r="F1396" i="1" s="1"/>
  <c r="E1396" i="1" a="1"/>
  <c r="E1396" i="1" s="1"/>
  <c r="L1395" i="1" a="1"/>
  <c r="L1395" i="1" s="1"/>
  <c r="J1395" i="1" a="1"/>
  <c r="J1395" i="1" s="1"/>
  <c r="I1395" i="1" a="1"/>
  <c r="I1395" i="1" s="1"/>
  <c r="F1395" i="1" a="1"/>
  <c r="F1395" i="1" s="1"/>
  <c r="E1395" i="1" a="1"/>
  <c r="E1395" i="1" s="1"/>
  <c r="L1394" i="1" a="1"/>
  <c r="L1394" i="1" s="1"/>
  <c r="J1394" i="1" a="1"/>
  <c r="J1394" i="1"/>
  <c r="I1394" i="1" a="1"/>
  <c r="I1394" i="1" s="1"/>
  <c r="F1394" i="1" a="1"/>
  <c r="F1394" i="1" s="1"/>
  <c r="E1394" i="1" a="1"/>
  <c r="E1394" i="1" s="1"/>
  <c r="L1393" i="1" a="1"/>
  <c r="L1393" i="1" s="1"/>
  <c r="J1393" i="1" a="1"/>
  <c r="J1393" i="1"/>
  <c r="I1393" i="1" a="1"/>
  <c r="I1393" i="1"/>
  <c r="K1393" i="1" s="1" a="1"/>
  <c r="K1393" i="1" s="1"/>
  <c r="F1393" i="1" a="1"/>
  <c r="F1393" i="1" s="1"/>
  <c r="E1393" i="1" a="1"/>
  <c r="E1393" i="1"/>
  <c r="L1392" i="1" a="1"/>
  <c r="L1392" i="1" s="1"/>
  <c r="J1392" i="1" a="1"/>
  <c r="J1392" i="1" s="1"/>
  <c r="K1392" i="1" s="1" a="1"/>
  <c r="K1392" i="1" s="1"/>
  <c r="N1392" i="1" s="1" a="1"/>
  <c r="N1392" i="1" s="1"/>
  <c r="I1392" i="1" a="1"/>
  <c r="I1392" i="1"/>
  <c r="F1392" i="1" a="1"/>
  <c r="F1392" i="1" s="1"/>
  <c r="E1392" i="1" a="1"/>
  <c r="E1392" i="1" s="1"/>
  <c r="L1391" i="1" a="1"/>
  <c r="L1391" i="1" s="1"/>
  <c r="J1391" i="1" a="1"/>
  <c r="J1391" i="1" s="1"/>
  <c r="K1391" i="1" s="1" a="1"/>
  <c r="K1391" i="1" s="1"/>
  <c r="N1391" i="1" s="1" a="1"/>
  <c r="N1391" i="1" s="1"/>
  <c r="I1391" i="1" a="1"/>
  <c r="I1391" i="1" s="1"/>
  <c r="F1391" i="1" a="1"/>
  <c r="F1391" i="1" s="1"/>
  <c r="E1391" i="1" a="1"/>
  <c r="E1391" i="1" s="1"/>
  <c r="N1390" i="1"/>
  <c r="L1390" i="1" a="1"/>
  <c r="L1390" i="1" s="1"/>
  <c r="O1390" i="1" s="1" a="1"/>
  <c r="O1390" i="1" s="1"/>
  <c r="J1390" i="1" a="1"/>
  <c r="J1390" i="1"/>
  <c r="K1390" i="1" s="1" a="1"/>
  <c r="K1390" i="1" s="1"/>
  <c r="N1390" i="1" s="1" a="1"/>
  <c r="I1390" i="1" a="1"/>
  <c r="I1390" i="1" s="1"/>
  <c r="F1390" i="1" a="1"/>
  <c r="F1390" i="1" s="1"/>
  <c r="E1390" i="1" a="1"/>
  <c r="E1390" i="1" s="1"/>
  <c r="L1389" i="1" a="1"/>
  <c r="L1389" i="1" s="1"/>
  <c r="K1389" i="1" a="1"/>
  <c r="K1389" i="1" s="1"/>
  <c r="J1389" i="1" a="1"/>
  <c r="J1389" i="1"/>
  <c r="I1389" i="1" a="1"/>
  <c r="I1389" i="1"/>
  <c r="F1389" i="1" a="1"/>
  <c r="F1389" i="1" s="1"/>
  <c r="E1389" i="1" a="1"/>
  <c r="E1389" i="1"/>
  <c r="L1388" i="1" a="1"/>
  <c r="L1388" i="1" s="1"/>
  <c r="O1388" i="1" s="1" a="1"/>
  <c r="O1388" i="1" s="1"/>
  <c r="J1388" i="1" a="1"/>
  <c r="J1388" i="1"/>
  <c r="K1388" i="1" s="1" a="1"/>
  <c r="K1388" i="1" s="1"/>
  <c r="N1388" i="1" s="1" a="1"/>
  <c r="N1388" i="1" s="1"/>
  <c r="I1388" i="1" a="1"/>
  <c r="I1388" i="1"/>
  <c r="F1388" i="1" a="1"/>
  <c r="F1388" i="1" s="1"/>
  <c r="E1388" i="1" a="1"/>
  <c r="E1388" i="1" s="1"/>
  <c r="L1387" i="1" a="1"/>
  <c r="L1387" i="1" s="1"/>
  <c r="J1387" i="1" a="1"/>
  <c r="J1387" i="1"/>
  <c r="I1387" i="1" a="1"/>
  <c r="I1387" i="1" s="1"/>
  <c r="K1387" i="1" s="1" a="1"/>
  <c r="K1387" i="1" s="1"/>
  <c r="N1387" i="1" s="1" a="1"/>
  <c r="N1387" i="1" s="1"/>
  <c r="F1387" i="1" a="1"/>
  <c r="F1387" i="1" s="1"/>
  <c r="E1387" i="1" a="1"/>
  <c r="E1387" i="1" s="1"/>
  <c r="L1386" i="1" a="1"/>
  <c r="L1386" i="1" s="1"/>
  <c r="J1386" i="1" a="1"/>
  <c r="J1386" i="1"/>
  <c r="I1386" i="1" a="1"/>
  <c r="I1386" i="1" s="1"/>
  <c r="F1386" i="1" a="1"/>
  <c r="F1386" i="1" s="1"/>
  <c r="E1386" i="1" a="1"/>
  <c r="E1386" i="1" s="1"/>
  <c r="L1385" i="1" a="1"/>
  <c r="L1385" i="1" s="1"/>
  <c r="J1385" i="1" a="1"/>
  <c r="J1385" i="1"/>
  <c r="K1385" i="1" s="1" a="1"/>
  <c r="K1385" i="1" s="1"/>
  <c r="N1385" i="1" s="1" a="1"/>
  <c r="N1385" i="1" s="1"/>
  <c r="I1385" i="1" a="1"/>
  <c r="I1385" i="1" s="1"/>
  <c r="F1385" i="1" a="1"/>
  <c r="F1385" i="1" s="1"/>
  <c r="E1385" i="1" a="1"/>
  <c r="E1385" i="1" s="1"/>
  <c r="L1384" i="1" a="1"/>
  <c r="L1384" i="1" s="1"/>
  <c r="K1384" i="1" a="1"/>
  <c r="K1384" i="1" s="1"/>
  <c r="N1384" i="1" s="1" a="1"/>
  <c r="N1384" i="1" s="1"/>
  <c r="J1384" i="1" a="1"/>
  <c r="J1384" i="1"/>
  <c r="I1384" i="1" a="1"/>
  <c r="I1384" i="1" s="1"/>
  <c r="F1384" i="1" a="1"/>
  <c r="F1384" i="1" s="1"/>
  <c r="E1384" i="1" a="1"/>
  <c r="E1384" i="1" s="1"/>
  <c r="L1383" i="1" a="1"/>
  <c r="L1383" i="1" s="1"/>
  <c r="K1383" i="1" a="1"/>
  <c r="K1383" i="1" s="1"/>
  <c r="N1383" i="1" s="1" a="1"/>
  <c r="N1383" i="1" s="1"/>
  <c r="J1383" i="1" a="1"/>
  <c r="J1383" i="1"/>
  <c r="I1383" i="1" a="1"/>
  <c r="I1383" i="1" s="1"/>
  <c r="F1383" i="1" a="1"/>
  <c r="F1383" i="1" s="1"/>
  <c r="E1383" i="1" a="1"/>
  <c r="E1383" i="1" s="1"/>
  <c r="L1382" i="1" a="1"/>
  <c r="L1382" i="1" s="1"/>
  <c r="J1382" i="1" a="1"/>
  <c r="J1382" i="1"/>
  <c r="K1382" i="1" s="1" a="1"/>
  <c r="K1382" i="1" s="1"/>
  <c r="N1382" i="1" s="1" a="1"/>
  <c r="N1382" i="1" s="1"/>
  <c r="I1382" i="1" a="1"/>
  <c r="I1382" i="1" s="1"/>
  <c r="F1382" i="1" a="1"/>
  <c r="F1382" i="1" s="1"/>
  <c r="E1382" i="1" a="1"/>
  <c r="E1382" i="1" s="1"/>
  <c r="N1381" i="1" a="1"/>
  <c r="N1381" i="1" s="1"/>
  <c r="L1381" i="1" a="1"/>
  <c r="L1381" i="1" s="1"/>
  <c r="J1381" i="1" a="1"/>
  <c r="J1381" i="1"/>
  <c r="K1381" i="1" s="1" a="1"/>
  <c r="K1381" i="1" s="1"/>
  <c r="I1381" i="1" a="1"/>
  <c r="I1381" i="1" s="1"/>
  <c r="F1381" i="1" a="1"/>
  <c r="F1381" i="1" s="1"/>
  <c r="E1381" i="1" a="1"/>
  <c r="E1381" i="1" s="1"/>
  <c r="L1380" i="1" a="1"/>
  <c r="L1380" i="1" s="1"/>
  <c r="J1380" i="1" a="1"/>
  <c r="J1380" i="1"/>
  <c r="K1380" i="1" s="1" a="1"/>
  <c r="K1380" i="1" s="1"/>
  <c r="N1380" i="1" s="1" a="1"/>
  <c r="N1380" i="1" s="1"/>
  <c r="I1380" i="1" a="1"/>
  <c r="I1380" i="1" s="1"/>
  <c r="F1380" i="1" a="1"/>
  <c r="F1380" i="1" s="1"/>
  <c r="E1380" i="1" a="1"/>
  <c r="E1380" i="1" s="1"/>
  <c r="L1379" i="1" a="1"/>
  <c r="L1379" i="1" s="1"/>
  <c r="J1379" i="1" a="1"/>
  <c r="J1379" i="1"/>
  <c r="I1379" i="1" a="1"/>
  <c r="I1379" i="1" s="1"/>
  <c r="K1379" i="1" s="1" a="1"/>
  <c r="K1379" i="1" s="1"/>
  <c r="N1379" i="1" s="1" a="1"/>
  <c r="N1379" i="1" s="1"/>
  <c r="F1379" i="1" a="1"/>
  <c r="F1379" i="1" s="1"/>
  <c r="E1379" i="1" a="1"/>
  <c r="E1379" i="1" s="1"/>
  <c r="L1378" i="1" a="1"/>
  <c r="L1378" i="1" s="1"/>
  <c r="J1378" i="1" a="1"/>
  <c r="J1378" i="1"/>
  <c r="I1378" i="1" a="1"/>
  <c r="I1378" i="1" s="1"/>
  <c r="F1378" i="1" a="1"/>
  <c r="F1378" i="1" s="1"/>
  <c r="E1378" i="1" a="1"/>
  <c r="E1378" i="1" s="1"/>
  <c r="L1377" i="1" a="1"/>
  <c r="L1377" i="1" s="1"/>
  <c r="J1377" i="1" a="1"/>
  <c r="J1377" i="1"/>
  <c r="K1377" i="1" s="1" a="1"/>
  <c r="K1377" i="1" s="1"/>
  <c r="N1377" i="1" s="1" a="1"/>
  <c r="N1377" i="1" s="1"/>
  <c r="I1377" i="1" a="1"/>
  <c r="I1377" i="1" s="1"/>
  <c r="F1377" i="1" a="1"/>
  <c r="F1377" i="1" s="1"/>
  <c r="E1377" i="1" a="1"/>
  <c r="E1377" i="1" s="1"/>
  <c r="L1376" i="1" a="1"/>
  <c r="L1376" i="1" s="1"/>
  <c r="K1376" i="1" a="1"/>
  <c r="K1376" i="1" s="1"/>
  <c r="N1376" i="1" s="1" a="1"/>
  <c r="N1376" i="1" s="1"/>
  <c r="J1376" i="1" a="1"/>
  <c r="J1376" i="1"/>
  <c r="I1376" i="1" a="1"/>
  <c r="I1376" i="1" s="1"/>
  <c r="F1376" i="1" a="1"/>
  <c r="F1376" i="1" s="1"/>
  <c r="E1376" i="1" a="1"/>
  <c r="E1376" i="1" s="1"/>
  <c r="L1375" i="1" a="1"/>
  <c r="L1375" i="1" s="1"/>
  <c r="K1375" i="1" a="1"/>
  <c r="K1375" i="1" s="1"/>
  <c r="N1375" i="1" s="1" a="1"/>
  <c r="N1375" i="1" s="1"/>
  <c r="J1375" i="1" a="1"/>
  <c r="J1375" i="1"/>
  <c r="I1375" i="1" a="1"/>
  <c r="I1375" i="1" s="1"/>
  <c r="F1375" i="1" a="1"/>
  <c r="F1375" i="1" s="1"/>
  <c r="E1375" i="1" a="1"/>
  <c r="E1375" i="1"/>
  <c r="L1374" i="1" a="1"/>
  <c r="L1374" i="1" s="1"/>
  <c r="J1374" i="1" a="1"/>
  <c r="J1374" i="1"/>
  <c r="K1374" i="1" s="1" a="1"/>
  <c r="K1374" i="1" s="1"/>
  <c r="N1374" i="1" s="1" a="1"/>
  <c r="N1374" i="1" s="1"/>
  <c r="I1374" i="1" a="1"/>
  <c r="I1374" i="1" s="1"/>
  <c r="F1374" i="1" a="1"/>
  <c r="F1374" i="1" s="1"/>
  <c r="E1374" i="1" a="1"/>
  <c r="E1374" i="1"/>
  <c r="L1373" i="1" a="1"/>
  <c r="L1373" i="1" s="1"/>
  <c r="J1373" i="1" a="1"/>
  <c r="J1373" i="1"/>
  <c r="I1373" i="1" a="1"/>
  <c r="I1373" i="1" s="1"/>
  <c r="K1373" i="1" s="1" a="1"/>
  <c r="K1373" i="1" s="1"/>
  <c r="N1373" i="1" s="1" a="1"/>
  <c r="N1373" i="1" s="1"/>
  <c r="F1373" i="1" a="1"/>
  <c r="F1373" i="1" s="1"/>
  <c r="E1373" i="1" a="1"/>
  <c r="E1373" i="1" s="1"/>
  <c r="L1372" i="1" a="1"/>
  <c r="L1372" i="1" s="1"/>
  <c r="J1372" i="1" a="1"/>
  <c r="J1372" i="1"/>
  <c r="K1372" i="1" s="1" a="1"/>
  <c r="K1372" i="1" s="1"/>
  <c r="N1372" i="1" s="1" a="1"/>
  <c r="N1372" i="1" s="1"/>
  <c r="I1372" i="1" a="1"/>
  <c r="I1372" i="1" s="1"/>
  <c r="F1372" i="1" a="1"/>
  <c r="F1372" i="1" s="1"/>
  <c r="E1372" i="1" a="1"/>
  <c r="E1372" i="1"/>
  <c r="L1371" i="1" a="1"/>
  <c r="L1371" i="1" s="1"/>
  <c r="J1371" i="1" a="1"/>
  <c r="J1371" i="1"/>
  <c r="I1371" i="1" a="1"/>
  <c r="I1371" i="1" s="1"/>
  <c r="F1371" i="1" a="1"/>
  <c r="F1371" i="1" s="1"/>
  <c r="E1371" i="1" a="1"/>
  <c r="E1371" i="1" s="1"/>
  <c r="L1370" i="1" a="1"/>
  <c r="L1370" i="1" s="1"/>
  <c r="K1370" i="1" a="1"/>
  <c r="K1370" i="1"/>
  <c r="N1370" i="1" s="1" a="1"/>
  <c r="N1370" i="1" s="1"/>
  <c r="J1370" i="1" a="1"/>
  <c r="J1370" i="1"/>
  <c r="I1370" i="1" a="1"/>
  <c r="I1370" i="1" s="1"/>
  <c r="F1370" i="1" a="1"/>
  <c r="F1370" i="1" s="1"/>
  <c r="E1370" i="1" a="1"/>
  <c r="E1370" i="1" s="1"/>
  <c r="N1369" i="1" a="1"/>
  <c r="N1369" i="1" s="1"/>
  <c r="L1369" i="1" a="1"/>
  <c r="L1369" i="1" s="1"/>
  <c r="K1369" i="1" a="1"/>
  <c r="K1369" i="1" s="1"/>
  <c r="J1369" i="1" a="1"/>
  <c r="J1369" i="1"/>
  <c r="I1369" i="1" a="1"/>
  <c r="I1369" i="1" s="1"/>
  <c r="F1369" i="1" a="1"/>
  <c r="F1369" i="1" s="1"/>
  <c r="E1369" i="1" a="1"/>
  <c r="E1369" i="1" s="1"/>
  <c r="L1368" i="1" a="1"/>
  <c r="L1368" i="1" s="1"/>
  <c r="J1368" i="1" a="1"/>
  <c r="J1368" i="1"/>
  <c r="K1368" i="1" s="1" a="1"/>
  <c r="K1368" i="1" s="1"/>
  <c r="N1368" i="1" s="1" a="1"/>
  <c r="N1368" i="1" s="1"/>
  <c r="I1368" i="1" a="1"/>
  <c r="I1368" i="1" s="1"/>
  <c r="F1368" i="1" a="1"/>
  <c r="F1368" i="1" s="1"/>
  <c r="E1368" i="1" a="1"/>
  <c r="E1368" i="1"/>
  <c r="L1367" i="1" a="1"/>
  <c r="L1367" i="1" s="1"/>
  <c r="K1367" i="1" a="1"/>
  <c r="K1367" i="1" s="1"/>
  <c r="N1367" i="1" s="1" a="1"/>
  <c r="N1367" i="1" s="1"/>
  <c r="J1367" i="1" a="1"/>
  <c r="J1367" i="1"/>
  <c r="I1367" i="1" a="1"/>
  <c r="I1367" i="1" s="1"/>
  <c r="F1367" i="1" a="1"/>
  <c r="F1367" i="1" s="1"/>
  <c r="E1367" i="1" a="1"/>
  <c r="E1367" i="1"/>
  <c r="L1366" i="1" a="1"/>
  <c r="L1366" i="1" s="1"/>
  <c r="J1366" i="1" a="1"/>
  <c r="J1366" i="1"/>
  <c r="K1366" i="1" s="1" a="1"/>
  <c r="K1366" i="1" s="1"/>
  <c r="N1366" i="1" s="1" a="1"/>
  <c r="N1366" i="1" s="1"/>
  <c r="I1366" i="1" a="1"/>
  <c r="I1366" i="1" s="1"/>
  <c r="F1366" i="1" a="1"/>
  <c r="F1366" i="1" s="1"/>
  <c r="E1366" i="1" a="1"/>
  <c r="E1366" i="1"/>
  <c r="L1365" i="1" a="1"/>
  <c r="L1365" i="1" s="1"/>
  <c r="J1365" i="1" a="1"/>
  <c r="J1365" i="1"/>
  <c r="I1365" i="1" a="1"/>
  <c r="I1365" i="1" s="1"/>
  <c r="K1365" i="1" s="1" a="1"/>
  <c r="K1365" i="1" s="1"/>
  <c r="N1365" i="1" s="1" a="1"/>
  <c r="N1365" i="1" s="1"/>
  <c r="F1365" i="1" a="1"/>
  <c r="F1365" i="1" s="1"/>
  <c r="E1365" i="1" a="1"/>
  <c r="E1365" i="1" s="1"/>
  <c r="L1364" i="1" a="1"/>
  <c r="L1364" i="1" s="1"/>
  <c r="O1364" i="1" s="1" a="1"/>
  <c r="O1364" i="1" s="1"/>
  <c r="J1364" i="1" a="1"/>
  <c r="J1364" i="1"/>
  <c r="K1364" i="1" s="1" a="1"/>
  <c r="K1364" i="1" s="1"/>
  <c r="N1364" i="1" s="1" a="1"/>
  <c r="N1364" i="1" s="1"/>
  <c r="I1364" i="1" a="1"/>
  <c r="I1364" i="1" s="1"/>
  <c r="F1364" i="1" a="1"/>
  <c r="F1364" i="1" s="1"/>
  <c r="E1364" i="1" a="1"/>
  <c r="E1364" i="1"/>
  <c r="L1363" i="1" a="1"/>
  <c r="L1363" i="1" s="1"/>
  <c r="J1363" i="1" a="1"/>
  <c r="J1363" i="1"/>
  <c r="K1363" i="1" s="1" a="1"/>
  <c r="K1363" i="1" s="1"/>
  <c r="N1363" i="1" s="1" a="1"/>
  <c r="N1363" i="1" s="1"/>
  <c r="I1363" i="1" a="1"/>
  <c r="I1363" i="1" s="1"/>
  <c r="F1363" i="1" a="1"/>
  <c r="F1363" i="1" s="1"/>
  <c r="E1363" i="1" a="1"/>
  <c r="E1363" i="1" s="1"/>
  <c r="L1362" i="1" a="1"/>
  <c r="L1362" i="1" s="1"/>
  <c r="K1362" i="1" a="1"/>
  <c r="K1362" i="1"/>
  <c r="N1362" i="1" s="1" a="1"/>
  <c r="N1362" i="1" s="1"/>
  <c r="J1362" i="1" a="1"/>
  <c r="J1362" i="1"/>
  <c r="I1362" i="1" a="1"/>
  <c r="I1362" i="1" s="1"/>
  <c r="F1362" i="1" a="1"/>
  <c r="F1362" i="1" s="1"/>
  <c r="E1362" i="1" a="1"/>
  <c r="E1362" i="1" s="1"/>
  <c r="L1361" i="1" a="1"/>
  <c r="L1361" i="1" s="1"/>
  <c r="J1361" i="1" a="1"/>
  <c r="J1361" i="1" s="1"/>
  <c r="K1361" i="1" s="1" a="1"/>
  <c r="K1361" i="1" s="1"/>
  <c r="I1361" i="1" a="1"/>
  <c r="I1361" i="1" s="1"/>
  <c r="F1361" i="1" a="1"/>
  <c r="F1361" i="1" s="1"/>
  <c r="E1361" i="1" a="1"/>
  <c r="E1361" i="1"/>
  <c r="L1360" i="1" a="1"/>
  <c r="L1360" i="1"/>
  <c r="J1360" i="1" a="1"/>
  <c r="J1360" i="1"/>
  <c r="I1360" i="1" a="1"/>
  <c r="I1360" i="1" s="1"/>
  <c r="F1360" i="1" a="1"/>
  <c r="F1360" i="1"/>
  <c r="E1360" i="1" a="1"/>
  <c r="E1360" i="1"/>
  <c r="L1359" i="1" a="1"/>
  <c r="L1359" i="1"/>
  <c r="J1359" i="1" a="1"/>
  <c r="J1359" i="1"/>
  <c r="K1359" i="1" s="1" a="1"/>
  <c r="K1359" i="1" s="1"/>
  <c r="N1359" i="1" s="1" a="1"/>
  <c r="N1359" i="1" s="1"/>
  <c r="I1359" i="1" a="1"/>
  <c r="I1359" i="1" s="1"/>
  <c r="F1359" i="1" a="1"/>
  <c r="F1359" i="1"/>
  <c r="E1359" i="1" a="1"/>
  <c r="E1359" i="1"/>
  <c r="L1358" i="1" a="1"/>
  <c r="L1358" i="1"/>
  <c r="J1358" i="1" a="1"/>
  <c r="J1358" i="1"/>
  <c r="K1358" i="1" s="1" a="1"/>
  <c r="K1358" i="1" s="1"/>
  <c r="N1358" i="1" s="1" a="1"/>
  <c r="N1358" i="1" s="1"/>
  <c r="I1358" i="1" a="1"/>
  <c r="I1358" i="1" s="1"/>
  <c r="F1358" i="1" a="1"/>
  <c r="F1358" i="1"/>
  <c r="E1358" i="1" a="1"/>
  <c r="E1358" i="1"/>
  <c r="L1357" i="1" a="1"/>
  <c r="L1357" i="1"/>
  <c r="O1357" i="1" s="1" a="1"/>
  <c r="O1357" i="1" s="1"/>
  <c r="J1357" i="1" a="1"/>
  <c r="J1357" i="1"/>
  <c r="K1357" i="1" s="1" a="1"/>
  <c r="K1357" i="1" s="1"/>
  <c r="N1357" i="1" s="1" a="1"/>
  <c r="N1357" i="1" s="1"/>
  <c r="I1357" i="1" a="1"/>
  <c r="I1357" i="1" s="1"/>
  <c r="F1357" i="1" a="1"/>
  <c r="F1357" i="1"/>
  <c r="E1357" i="1" a="1"/>
  <c r="E1357" i="1"/>
  <c r="L1356" i="1" a="1"/>
  <c r="L1356" i="1"/>
  <c r="J1356" i="1" a="1"/>
  <c r="J1356" i="1"/>
  <c r="I1356" i="1" a="1"/>
  <c r="I1356" i="1" s="1"/>
  <c r="F1356" i="1" a="1"/>
  <c r="F1356" i="1"/>
  <c r="E1356" i="1" a="1"/>
  <c r="E1356" i="1"/>
  <c r="L1355" i="1" a="1"/>
  <c r="L1355" i="1"/>
  <c r="O1355" i="1" s="1" a="1"/>
  <c r="O1355" i="1" s="1"/>
  <c r="J1355" i="1" a="1"/>
  <c r="J1355" i="1"/>
  <c r="K1355" i="1" s="1" a="1"/>
  <c r="K1355" i="1" s="1"/>
  <c r="N1355" i="1" s="1" a="1"/>
  <c r="N1355" i="1" s="1"/>
  <c r="I1355" i="1" a="1"/>
  <c r="I1355" i="1" s="1"/>
  <c r="F1355" i="1" a="1"/>
  <c r="F1355" i="1"/>
  <c r="E1355" i="1" a="1"/>
  <c r="E1355" i="1"/>
  <c r="L1354" i="1" a="1"/>
  <c r="L1354" i="1"/>
  <c r="J1354" i="1" a="1"/>
  <c r="J1354" i="1"/>
  <c r="K1354" i="1" s="1" a="1"/>
  <c r="K1354" i="1" s="1"/>
  <c r="N1354" i="1" s="1" a="1"/>
  <c r="N1354" i="1" s="1"/>
  <c r="I1354" i="1" a="1"/>
  <c r="I1354" i="1" s="1"/>
  <c r="F1354" i="1" a="1"/>
  <c r="F1354" i="1"/>
  <c r="E1354" i="1" a="1"/>
  <c r="E1354" i="1"/>
  <c r="L1353" i="1" a="1"/>
  <c r="L1353" i="1"/>
  <c r="J1353" i="1" a="1"/>
  <c r="J1353" i="1"/>
  <c r="I1353" i="1" a="1"/>
  <c r="I1353" i="1" s="1"/>
  <c r="F1353" i="1" a="1"/>
  <c r="F1353" i="1"/>
  <c r="E1353" i="1" a="1"/>
  <c r="E1353" i="1"/>
  <c r="L1352" i="1" a="1"/>
  <c r="L1352" i="1"/>
  <c r="J1352" i="1" a="1"/>
  <c r="J1352" i="1"/>
  <c r="I1352" i="1" a="1"/>
  <c r="I1352" i="1" s="1"/>
  <c r="F1352" i="1" a="1"/>
  <c r="F1352" i="1"/>
  <c r="E1352" i="1" a="1"/>
  <c r="E1352" i="1"/>
  <c r="L1351" i="1" a="1"/>
  <c r="L1351" i="1"/>
  <c r="J1351" i="1" a="1"/>
  <c r="J1351" i="1"/>
  <c r="K1351" i="1" s="1" a="1"/>
  <c r="K1351" i="1" s="1"/>
  <c r="N1351" i="1" s="1" a="1"/>
  <c r="N1351" i="1" s="1"/>
  <c r="I1351" i="1" a="1"/>
  <c r="I1351" i="1" s="1"/>
  <c r="F1351" i="1" a="1"/>
  <c r="F1351" i="1"/>
  <c r="E1351" i="1" a="1"/>
  <c r="E1351" i="1"/>
  <c r="L1350" i="1" a="1"/>
  <c r="L1350" i="1"/>
  <c r="J1350" i="1" a="1"/>
  <c r="J1350" i="1"/>
  <c r="K1350" i="1" s="1" a="1"/>
  <c r="K1350" i="1" s="1"/>
  <c r="N1350" i="1" s="1" a="1"/>
  <c r="N1350" i="1" s="1"/>
  <c r="I1350" i="1" a="1"/>
  <c r="I1350" i="1" s="1"/>
  <c r="F1350" i="1" a="1"/>
  <c r="F1350" i="1"/>
  <c r="E1350" i="1" a="1"/>
  <c r="E1350" i="1"/>
  <c r="L1349" i="1" a="1"/>
  <c r="L1349" i="1"/>
  <c r="O1349" i="1" s="1" a="1"/>
  <c r="O1349" i="1" s="1"/>
  <c r="J1349" i="1" a="1"/>
  <c r="J1349" i="1"/>
  <c r="K1349" i="1" s="1" a="1"/>
  <c r="K1349" i="1" s="1"/>
  <c r="N1349" i="1" s="1" a="1"/>
  <c r="N1349" i="1" s="1"/>
  <c r="I1349" i="1" a="1"/>
  <c r="I1349" i="1" s="1"/>
  <c r="F1349" i="1" a="1"/>
  <c r="F1349" i="1"/>
  <c r="E1349" i="1" a="1"/>
  <c r="E1349" i="1"/>
  <c r="L1348" i="1" a="1"/>
  <c r="L1348" i="1"/>
  <c r="J1348" i="1" a="1"/>
  <c r="J1348" i="1"/>
  <c r="I1348" i="1" a="1"/>
  <c r="I1348" i="1" s="1"/>
  <c r="F1348" i="1" a="1"/>
  <c r="F1348" i="1"/>
  <c r="E1348" i="1" a="1"/>
  <c r="E1348" i="1"/>
  <c r="L1347" i="1" a="1"/>
  <c r="L1347" i="1"/>
  <c r="O1347" i="1" s="1" a="1"/>
  <c r="O1347" i="1" s="1"/>
  <c r="J1347" i="1" a="1"/>
  <c r="J1347" i="1"/>
  <c r="K1347" i="1" s="1" a="1"/>
  <c r="K1347" i="1" s="1"/>
  <c r="N1347" i="1" s="1" a="1"/>
  <c r="N1347" i="1" s="1"/>
  <c r="I1347" i="1" a="1"/>
  <c r="I1347" i="1" s="1"/>
  <c r="F1347" i="1" a="1"/>
  <c r="F1347" i="1"/>
  <c r="E1347" i="1" a="1"/>
  <c r="E1347" i="1"/>
  <c r="L1346" i="1" a="1"/>
  <c r="L1346" i="1" s="1"/>
  <c r="O1346" i="1" s="1" a="1"/>
  <c r="O1346" i="1" s="1"/>
  <c r="J1346" i="1" a="1"/>
  <c r="J1346" i="1"/>
  <c r="K1346" i="1" s="1" a="1"/>
  <c r="K1346" i="1" s="1"/>
  <c r="N1346" i="1" s="1" a="1"/>
  <c r="N1346" i="1" s="1"/>
  <c r="I1346" i="1" a="1"/>
  <c r="I1346" i="1" s="1"/>
  <c r="F1346" i="1" a="1"/>
  <c r="F1346" i="1"/>
  <c r="E1346" i="1" a="1"/>
  <c r="E1346" i="1"/>
  <c r="L1345" i="1" a="1"/>
  <c r="L1345" i="1"/>
  <c r="J1345" i="1" a="1"/>
  <c r="J1345" i="1"/>
  <c r="I1345" i="1" a="1"/>
  <c r="I1345" i="1" s="1"/>
  <c r="F1345" i="1" a="1"/>
  <c r="F1345" i="1" s="1"/>
  <c r="E1345" i="1" a="1"/>
  <c r="E1345" i="1"/>
  <c r="L1344" i="1" a="1"/>
  <c r="L1344" i="1" s="1"/>
  <c r="J1344" i="1" a="1"/>
  <c r="J1344" i="1"/>
  <c r="I1344" i="1" a="1"/>
  <c r="I1344" i="1" s="1"/>
  <c r="F1344" i="1" a="1"/>
  <c r="F1344" i="1" s="1"/>
  <c r="E1344" i="1" a="1"/>
  <c r="E1344" i="1"/>
  <c r="L1343" i="1" a="1"/>
  <c r="L1343" i="1" s="1"/>
  <c r="O1343" i="1" s="1" a="1"/>
  <c r="O1343" i="1" s="1"/>
  <c r="J1343" i="1" a="1"/>
  <c r="J1343" i="1"/>
  <c r="K1343" i="1" s="1" a="1"/>
  <c r="K1343" i="1" s="1"/>
  <c r="N1343" i="1" s="1" a="1"/>
  <c r="N1343" i="1" s="1"/>
  <c r="I1343" i="1" a="1"/>
  <c r="I1343" i="1" s="1"/>
  <c r="F1343" i="1" a="1"/>
  <c r="F1343" i="1" s="1"/>
  <c r="E1343" i="1" a="1"/>
  <c r="E1343" i="1"/>
  <c r="L1342" i="1" a="1"/>
  <c r="L1342" i="1"/>
  <c r="J1342" i="1" a="1"/>
  <c r="J1342" i="1"/>
  <c r="K1342" i="1" s="1" a="1"/>
  <c r="K1342" i="1" s="1"/>
  <c r="N1342" i="1" s="1" a="1"/>
  <c r="N1342" i="1" s="1"/>
  <c r="I1342" i="1" a="1"/>
  <c r="I1342" i="1" s="1"/>
  <c r="F1342" i="1" a="1"/>
  <c r="F1342" i="1"/>
  <c r="E1342" i="1" a="1"/>
  <c r="E1342" i="1"/>
  <c r="L1341" i="1" a="1"/>
  <c r="L1341" i="1"/>
  <c r="O1341" i="1" s="1" a="1"/>
  <c r="O1341" i="1" s="1"/>
  <c r="J1341" i="1" a="1"/>
  <c r="J1341" i="1"/>
  <c r="K1341" i="1" s="1" a="1"/>
  <c r="K1341" i="1" s="1"/>
  <c r="N1341" i="1" s="1" a="1"/>
  <c r="N1341" i="1" s="1"/>
  <c r="I1341" i="1" a="1"/>
  <c r="I1341" i="1" s="1"/>
  <c r="F1341" i="1" a="1"/>
  <c r="F1341" i="1" s="1"/>
  <c r="E1341" i="1" a="1"/>
  <c r="E1341" i="1"/>
  <c r="L1340" i="1" a="1"/>
  <c r="L1340" i="1" s="1"/>
  <c r="J1340" i="1" a="1"/>
  <c r="J1340" i="1"/>
  <c r="I1340" i="1" a="1"/>
  <c r="I1340" i="1" s="1"/>
  <c r="F1340" i="1" a="1"/>
  <c r="F1340" i="1" s="1"/>
  <c r="E1340" i="1" a="1"/>
  <c r="E1340" i="1"/>
  <c r="L1339" i="1" a="1"/>
  <c r="L1339" i="1" s="1"/>
  <c r="O1339" i="1" s="1" a="1"/>
  <c r="O1339" i="1" s="1"/>
  <c r="J1339" i="1" a="1"/>
  <c r="J1339" i="1"/>
  <c r="K1339" i="1" s="1" a="1"/>
  <c r="K1339" i="1" s="1"/>
  <c r="N1339" i="1" s="1" a="1"/>
  <c r="N1339" i="1" s="1"/>
  <c r="I1339" i="1" a="1"/>
  <c r="I1339" i="1" s="1"/>
  <c r="F1339" i="1" a="1"/>
  <c r="F1339" i="1"/>
  <c r="E1339" i="1" a="1"/>
  <c r="E1339" i="1"/>
  <c r="L1338" i="1" a="1"/>
  <c r="L1338" i="1" s="1"/>
  <c r="O1338" i="1" s="1" a="1"/>
  <c r="O1338" i="1" s="1"/>
  <c r="J1338" i="1" a="1"/>
  <c r="J1338" i="1"/>
  <c r="K1338" i="1" s="1" a="1"/>
  <c r="K1338" i="1" s="1"/>
  <c r="N1338" i="1" s="1" a="1"/>
  <c r="N1338" i="1" s="1"/>
  <c r="I1338" i="1" a="1"/>
  <c r="I1338" i="1" s="1"/>
  <c r="F1338" i="1" a="1"/>
  <c r="F1338" i="1"/>
  <c r="E1338" i="1" a="1"/>
  <c r="E1338" i="1"/>
  <c r="L1337" i="1" a="1"/>
  <c r="L1337" i="1"/>
  <c r="J1337" i="1" a="1"/>
  <c r="J1337" i="1"/>
  <c r="I1337" i="1" a="1"/>
  <c r="I1337" i="1" s="1"/>
  <c r="F1337" i="1" a="1"/>
  <c r="F1337" i="1" s="1"/>
  <c r="E1337" i="1" a="1"/>
  <c r="E1337" i="1"/>
  <c r="L1336" i="1" a="1"/>
  <c r="L1336" i="1" s="1"/>
  <c r="J1336" i="1" a="1"/>
  <c r="J1336" i="1"/>
  <c r="I1336" i="1" a="1"/>
  <c r="I1336" i="1" s="1"/>
  <c r="F1336" i="1" a="1"/>
  <c r="F1336" i="1" s="1"/>
  <c r="E1336" i="1" a="1"/>
  <c r="E1336" i="1"/>
  <c r="L1335" i="1" a="1"/>
  <c r="L1335" i="1" s="1"/>
  <c r="O1335" i="1" s="1" a="1"/>
  <c r="O1335" i="1" s="1"/>
  <c r="J1335" i="1" a="1"/>
  <c r="J1335" i="1"/>
  <c r="K1335" i="1" s="1" a="1"/>
  <c r="K1335" i="1" s="1"/>
  <c r="N1335" i="1" s="1" a="1"/>
  <c r="N1335" i="1" s="1"/>
  <c r="I1335" i="1" a="1"/>
  <c r="I1335" i="1" s="1"/>
  <c r="F1335" i="1" a="1"/>
  <c r="F1335" i="1" s="1"/>
  <c r="E1335" i="1" a="1"/>
  <c r="E1335" i="1"/>
  <c r="L1334" i="1" a="1"/>
  <c r="L1334" i="1"/>
  <c r="J1334" i="1" a="1"/>
  <c r="J1334" i="1"/>
  <c r="K1334" i="1" s="1" a="1"/>
  <c r="K1334" i="1" s="1"/>
  <c r="N1334" i="1" s="1" a="1"/>
  <c r="N1334" i="1" s="1"/>
  <c r="I1334" i="1" a="1"/>
  <c r="I1334" i="1" s="1"/>
  <c r="F1334" i="1" a="1"/>
  <c r="F1334" i="1"/>
  <c r="E1334" i="1" a="1"/>
  <c r="E1334" i="1"/>
  <c r="L1333" i="1" a="1"/>
  <c r="L1333" i="1"/>
  <c r="O1333" i="1" s="1" a="1"/>
  <c r="O1333" i="1" s="1"/>
  <c r="J1333" i="1" a="1"/>
  <c r="J1333" i="1"/>
  <c r="K1333" i="1" s="1" a="1"/>
  <c r="K1333" i="1" s="1"/>
  <c r="N1333" i="1" s="1" a="1"/>
  <c r="N1333" i="1" s="1"/>
  <c r="I1333" i="1" a="1"/>
  <c r="I1333" i="1" s="1"/>
  <c r="F1333" i="1" a="1"/>
  <c r="F1333" i="1" s="1"/>
  <c r="E1333" i="1" a="1"/>
  <c r="E1333" i="1"/>
  <c r="L1332" i="1" a="1"/>
  <c r="L1332" i="1" s="1"/>
  <c r="J1332" i="1" a="1"/>
  <c r="J1332" i="1"/>
  <c r="I1332" i="1" a="1"/>
  <c r="I1332" i="1" s="1"/>
  <c r="F1332" i="1" a="1"/>
  <c r="F1332" i="1" s="1"/>
  <c r="E1332" i="1" a="1"/>
  <c r="E1332" i="1"/>
  <c r="L1331" i="1" a="1"/>
  <c r="L1331" i="1" s="1"/>
  <c r="O1331" i="1" s="1" a="1"/>
  <c r="O1331" i="1" s="1"/>
  <c r="J1331" i="1" a="1"/>
  <c r="J1331" i="1"/>
  <c r="K1331" i="1" s="1" a="1"/>
  <c r="K1331" i="1" s="1"/>
  <c r="N1331" i="1" s="1" a="1"/>
  <c r="N1331" i="1" s="1"/>
  <c r="I1331" i="1" a="1"/>
  <c r="I1331" i="1" s="1"/>
  <c r="F1331" i="1" a="1"/>
  <c r="F1331" i="1"/>
  <c r="E1331" i="1" a="1"/>
  <c r="E1331" i="1"/>
  <c r="L1330" i="1" a="1"/>
  <c r="L1330" i="1" s="1"/>
  <c r="O1330" i="1" s="1" a="1"/>
  <c r="O1330" i="1" s="1"/>
  <c r="J1330" i="1" a="1"/>
  <c r="J1330" i="1"/>
  <c r="K1330" i="1" s="1" a="1"/>
  <c r="K1330" i="1" s="1"/>
  <c r="N1330" i="1" s="1" a="1"/>
  <c r="N1330" i="1" s="1"/>
  <c r="I1330" i="1" a="1"/>
  <c r="I1330" i="1" s="1"/>
  <c r="F1330" i="1" a="1"/>
  <c r="F1330" i="1"/>
  <c r="E1330" i="1" a="1"/>
  <c r="E1330" i="1"/>
  <c r="L1329" i="1" a="1"/>
  <c r="L1329" i="1" s="1"/>
  <c r="J1329" i="1" a="1"/>
  <c r="J1329" i="1"/>
  <c r="I1329" i="1" a="1"/>
  <c r="I1329" i="1" s="1"/>
  <c r="F1329" i="1" a="1"/>
  <c r="F1329" i="1" s="1"/>
  <c r="E1329" i="1" a="1"/>
  <c r="E1329" i="1"/>
  <c r="L1328" i="1" a="1"/>
  <c r="L1328" i="1"/>
  <c r="J1328" i="1" a="1"/>
  <c r="J1328" i="1"/>
  <c r="K1328" i="1" s="1" a="1"/>
  <c r="K1328" i="1" s="1"/>
  <c r="N1328" i="1" s="1" a="1"/>
  <c r="N1328" i="1" s="1"/>
  <c r="I1328" i="1" a="1"/>
  <c r="I1328" i="1" s="1"/>
  <c r="F1328" i="1" a="1"/>
  <c r="F1328" i="1"/>
  <c r="E1328" i="1" a="1"/>
  <c r="E1328" i="1"/>
  <c r="L1327" i="1" a="1"/>
  <c r="L1327" i="1" s="1"/>
  <c r="J1327" i="1" a="1"/>
  <c r="J1327" i="1"/>
  <c r="I1327" i="1" a="1"/>
  <c r="I1327" i="1" s="1"/>
  <c r="F1327" i="1" a="1"/>
  <c r="F1327" i="1" s="1"/>
  <c r="E1327" i="1" a="1"/>
  <c r="E1327" i="1"/>
  <c r="N1326" i="1" a="1"/>
  <c r="N1326" i="1" s="1"/>
  <c r="L1326" i="1" a="1"/>
  <c r="L1326" i="1" s="1"/>
  <c r="O1326" i="1" s="1" a="1"/>
  <c r="O1326" i="1" s="1"/>
  <c r="J1326" i="1" a="1"/>
  <c r="J1326" i="1"/>
  <c r="K1326" i="1" s="1" a="1"/>
  <c r="K1326" i="1" s="1"/>
  <c r="I1326" i="1" a="1"/>
  <c r="I1326" i="1" s="1"/>
  <c r="F1326" i="1" a="1"/>
  <c r="F1326" i="1"/>
  <c r="E1326" i="1" a="1"/>
  <c r="E1326" i="1"/>
  <c r="L1325" i="1" a="1"/>
  <c r="L1325" i="1" s="1"/>
  <c r="J1325" i="1" a="1"/>
  <c r="J1325" i="1"/>
  <c r="I1325" i="1" a="1"/>
  <c r="I1325" i="1" s="1"/>
  <c r="F1325" i="1" a="1"/>
  <c r="F1325" i="1" s="1"/>
  <c r="E1325" i="1" a="1"/>
  <c r="E1325" i="1"/>
  <c r="L1324" i="1" a="1"/>
  <c r="L1324" i="1"/>
  <c r="J1324" i="1" a="1"/>
  <c r="J1324" i="1"/>
  <c r="K1324" i="1" s="1" a="1"/>
  <c r="K1324" i="1" s="1"/>
  <c r="N1324" i="1" s="1" a="1"/>
  <c r="N1324" i="1" s="1"/>
  <c r="I1324" i="1" a="1"/>
  <c r="I1324" i="1" s="1"/>
  <c r="F1324" i="1" a="1"/>
  <c r="F1324" i="1"/>
  <c r="E1324" i="1" a="1"/>
  <c r="E1324" i="1" s="1"/>
  <c r="L1323" i="1" a="1"/>
  <c r="L1323" i="1"/>
  <c r="O1323" i="1" s="1" a="1"/>
  <c r="O1323" i="1" s="1"/>
  <c r="J1323" i="1" a="1"/>
  <c r="J1323" i="1" s="1"/>
  <c r="K1323" i="1" s="1" a="1"/>
  <c r="K1323" i="1" s="1"/>
  <c r="N1323" i="1" s="1" a="1"/>
  <c r="N1323" i="1" s="1"/>
  <c r="I1323" i="1" a="1"/>
  <c r="I1323" i="1" s="1"/>
  <c r="F1323" i="1" a="1"/>
  <c r="F1323" i="1"/>
  <c r="E1323" i="1" a="1"/>
  <c r="E1323" i="1" s="1"/>
  <c r="L1322" i="1" a="1"/>
  <c r="L1322" i="1"/>
  <c r="O1322" i="1" s="1" a="1"/>
  <c r="O1322" i="1" s="1"/>
  <c r="J1322" i="1" a="1"/>
  <c r="J1322" i="1" s="1"/>
  <c r="K1322" i="1" s="1" a="1"/>
  <c r="K1322" i="1" s="1"/>
  <c r="N1322" i="1" s="1" a="1"/>
  <c r="N1322" i="1" s="1"/>
  <c r="I1322" i="1" a="1"/>
  <c r="I1322" i="1" s="1"/>
  <c r="F1322" i="1" a="1"/>
  <c r="F1322" i="1"/>
  <c r="E1322" i="1" a="1"/>
  <c r="E1322" i="1" s="1"/>
  <c r="L1321" i="1" a="1"/>
  <c r="L1321" i="1"/>
  <c r="O1321" i="1" s="1" a="1"/>
  <c r="O1321" i="1" s="1"/>
  <c r="J1321" i="1" a="1"/>
  <c r="J1321" i="1" s="1"/>
  <c r="K1321" i="1" s="1" a="1"/>
  <c r="K1321" i="1" s="1"/>
  <c r="N1321" i="1" s="1" a="1"/>
  <c r="N1321" i="1" s="1"/>
  <c r="I1321" i="1" a="1"/>
  <c r="I1321" i="1" s="1"/>
  <c r="F1321" i="1" a="1"/>
  <c r="F1321" i="1"/>
  <c r="E1321" i="1" a="1"/>
  <c r="E1321" i="1" s="1"/>
  <c r="L1320" i="1" a="1"/>
  <c r="L1320" i="1"/>
  <c r="O1320" i="1" s="1" a="1"/>
  <c r="O1320" i="1" s="1"/>
  <c r="J1320" i="1" a="1"/>
  <c r="J1320" i="1" s="1"/>
  <c r="K1320" i="1" s="1" a="1"/>
  <c r="K1320" i="1" s="1"/>
  <c r="N1320" i="1" s="1" a="1"/>
  <c r="N1320" i="1" s="1"/>
  <c r="I1320" i="1" a="1"/>
  <c r="I1320" i="1" s="1"/>
  <c r="F1320" i="1" a="1"/>
  <c r="F1320" i="1"/>
  <c r="E1320" i="1" a="1"/>
  <c r="E1320" i="1" s="1"/>
  <c r="L1319" i="1" a="1"/>
  <c r="L1319" i="1"/>
  <c r="O1319" i="1" s="1" a="1"/>
  <c r="O1319" i="1" s="1"/>
  <c r="J1319" i="1" a="1"/>
  <c r="J1319" i="1" s="1"/>
  <c r="K1319" i="1" s="1" a="1"/>
  <c r="K1319" i="1" s="1"/>
  <c r="N1319" i="1" s="1" a="1"/>
  <c r="N1319" i="1" s="1"/>
  <c r="I1319" i="1" a="1"/>
  <c r="I1319" i="1" s="1"/>
  <c r="F1319" i="1" a="1"/>
  <c r="F1319" i="1"/>
  <c r="E1319" i="1" a="1"/>
  <c r="E1319" i="1" s="1"/>
  <c r="L1318" i="1" a="1"/>
  <c r="L1318" i="1"/>
  <c r="O1318" i="1" s="1" a="1"/>
  <c r="O1318" i="1" s="1"/>
  <c r="J1318" i="1" a="1"/>
  <c r="J1318" i="1" s="1"/>
  <c r="K1318" i="1" s="1" a="1"/>
  <c r="K1318" i="1" s="1"/>
  <c r="N1318" i="1" s="1" a="1"/>
  <c r="N1318" i="1" s="1"/>
  <c r="I1318" i="1" a="1"/>
  <c r="I1318" i="1" s="1"/>
  <c r="F1318" i="1" a="1"/>
  <c r="F1318" i="1"/>
  <c r="E1318" i="1" a="1"/>
  <c r="E1318" i="1" s="1"/>
  <c r="L1317" i="1" a="1"/>
  <c r="L1317" i="1"/>
  <c r="O1317" i="1" s="1" a="1"/>
  <c r="O1317" i="1" s="1"/>
  <c r="J1317" i="1" a="1"/>
  <c r="J1317" i="1" s="1"/>
  <c r="K1317" i="1" s="1" a="1"/>
  <c r="K1317" i="1" s="1"/>
  <c r="N1317" i="1" s="1" a="1"/>
  <c r="N1317" i="1" s="1"/>
  <c r="I1317" i="1" a="1"/>
  <c r="I1317" i="1" s="1"/>
  <c r="F1317" i="1" a="1"/>
  <c r="F1317" i="1"/>
  <c r="E1317" i="1" a="1"/>
  <c r="E1317" i="1" s="1"/>
  <c r="L1316" i="1" a="1"/>
  <c r="L1316" i="1"/>
  <c r="O1316" i="1" s="1" a="1"/>
  <c r="O1316" i="1" s="1"/>
  <c r="J1316" i="1" a="1"/>
  <c r="J1316" i="1" s="1"/>
  <c r="K1316" i="1" s="1" a="1"/>
  <c r="K1316" i="1" s="1"/>
  <c r="N1316" i="1" s="1" a="1"/>
  <c r="N1316" i="1" s="1"/>
  <c r="I1316" i="1" a="1"/>
  <c r="I1316" i="1" s="1"/>
  <c r="F1316" i="1" a="1"/>
  <c r="F1316" i="1"/>
  <c r="E1316" i="1" a="1"/>
  <c r="E1316" i="1" s="1"/>
  <c r="L1315" i="1" a="1"/>
  <c r="L1315" i="1"/>
  <c r="O1315" i="1" s="1" a="1"/>
  <c r="O1315" i="1" s="1"/>
  <c r="J1315" i="1" a="1"/>
  <c r="J1315" i="1" s="1"/>
  <c r="K1315" i="1" s="1" a="1"/>
  <c r="K1315" i="1" s="1"/>
  <c r="N1315" i="1" s="1" a="1"/>
  <c r="N1315" i="1" s="1"/>
  <c r="I1315" i="1" a="1"/>
  <c r="I1315" i="1" s="1"/>
  <c r="F1315" i="1" a="1"/>
  <c r="F1315" i="1"/>
  <c r="E1315" i="1" a="1"/>
  <c r="E1315" i="1" s="1"/>
  <c r="L1314" i="1" a="1"/>
  <c r="L1314" i="1" s="1"/>
  <c r="O1314" i="1" s="1" a="1"/>
  <c r="O1314" i="1" s="1"/>
  <c r="K1314" i="1" a="1"/>
  <c r="K1314" i="1" s="1"/>
  <c r="N1314" i="1" s="1" a="1"/>
  <c r="N1314" i="1" s="1"/>
  <c r="J1314" i="1" a="1"/>
  <c r="J1314" i="1" s="1"/>
  <c r="I1314" i="1" a="1"/>
  <c r="I1314" i="1" s="1"/>
  <c r="F1314" i="1" a="1"/>
  <c r="F1314" i="1" s="1"/>
  <c r="E1314" i="1" a="1"/>
  <c r="E1314" i="1" s="1"/>
  <c r="O1313" i="1" a="1"/>
  <c r="O1313" i="1" s="1"/>
  <c r="N1313" i="1" a="1"/>
  <c r="N1313" i="1" s="1"/>
  <c r="L1313" i="1" a="1"/>
  <c r="L1313" i="1" s="1"/>
  <c r="K1313" i="1" a="1"/>
  <c r="K1313" i="1" s="1"/>
  <c r="J1313" i="1" a="1"/>
  <c r="J1313" i="1" s="1"/>
  <c r="I1313" i="1" a="1"/>
  <c r="I1313" i="1" s="1"/>
  <c r="F1313" i="1" a="1"/>
  <c r="F1313" i="1"/>
  <c r="E1313" i="1" a="1"/>
  <c r="E1313" i="1" s="1"/>
  <c r="L1312" i="1" a="1"/>
  <c r="L1312" i="1" s="1"/>
  <c r="J1312" i="1" a="1"/>
  <c r="J1312" i="1" s="1"/>
  <c r="I1312" i="1" a="1"/>
  <c r="I1312" i="1" s="1"/>
  <c r="F1312" i="1" a="1"/>
  <c r="F1312" i="1" s="1"/>
  <c r="E1312" i="1" a="1"/>
  <c r="E1312" i="1" s="1"/>
  <c r="L1311" i="1" a="1"/>
  <c r="L1311" i="1"/>
  <c r="K1311" i="1" a="1"/>
  <c r="K1311" i="1" s="1"/>
  <c r="J1311" i="1" a="1"/>
  <c r="J1311" i="1" s="1"/>
  <c r="I1311" i="1" a="1"/>
  <c r="I1311" i="1" s="1"/>
  <c r="F1311" i="1" a="1"/>
  <c r="F1311" i="1"/>
  <c r="E1311" i="1" a="1"/>
  <c r="E1311" i="1" s="1"/>
  <c r="L1310" i="1" a="1"/>
  <c r="L1310" i="1" s="1"/>
  <c r="O1310" i="1" s="1" a="1"/>
  <c r="O1310" i="1" s="1"/>
  <c r="K1310" i="1" a="1"/>
  <c r="K1310" i="1" s="1"/>
  <c r="N1310" i="1" s="1" a="1"/>
  <c r="N1310" i="1" s="1"/>
  <c r="J1310" i="1" a="1"/>
  <c r="J1310" i="1" s="1"/>
  <c r="I1310" i="1" a="1"/>
  <c r="I1310" i="1" s="1"/>
  <c r="F1310" i="1" a="1"/>
  <c r="F1310" i="1" s="1"/>
  <c r="E1310" i="1" a="1"/>
  <c r="E1310" i="1" s="1"/>
  <c r="O1309" i="1" a="1"/>
  <c r="O1309" i="1" s="1"/>
  <c r="N1309" i="1" a="1"/>
  <c r="N1309" i="1" s="1"/>
  <c r="L1309" i="1" a="1"/>
  <c r="L1309" i="1" s="1"/>
  <c r="K1309" i="1" a="1"/>
  <c r="K1309" i="1" s="1"/>
  <c r="J1309" i="1" a="1"/>
  <c r="J1309" i="1" s="1"/>
  <c r="I1309" i="1" a="1"/>
  <c r="I1309" i="1" s="1"/>
  <c r="F1309" i="1" a="1"/>
  <c r="F1309" i="1"/>
  <c r="E1309" i="1" a="1"/>
  <c r="E1309" i="1" s="1"/>
  <c r="L1308" i="1" a="1"/>
  <c r="L1308" i="1" s="1"/>
  <c r="O1308" i="1" s="1" a="1"/>
  <c r="O1308" i="1" s="1"/>
  <c r="J1308" i="1" a="1"/>
  <c r="J1308" i="1" s="1"/>
  <c r="K1308" i="1" s="1" a="1"/>
  <c r="K1308" i="1" s="1"/>
  <c r="N1308" i="1" s="1" a="1"/>
  <c r="N1308" i="1" s="1"/>
  <c r="I1308" i="1" a="1"/>
  <c r="I1308" i="1" s="1"/>
  <c r="F1308" i="1" a="1"/>
  <c r="F1308" i="1" s="1"/>
  <c r="E1308" i="1" a="1"/>
  <c r="E1308" i="1" s="1"/>
  <c r="L1307" i="1" a="1"/>
  <c r="L1307" i="1"/>
  <c r="J1307" i="1" a="1"/>
  <c r="J1307" i="1" s="1"/>
  <c r="K1307" i="1" s="1" a="1"/>
  <c r="K1307" i="1" s="1"/>
  <c r="I1307" i="1" a="1"/>
  <c r="I1307" i="1" s="1"/>
  <c r="F1307" i="1" a="1"/>
  <c r="F1307" i="1"/>
  <c r="E1307" i="1" a="1"/>
  <c r="E1307" i="1" s="1"/>
  <c r="L1306" i="1" a="1"/>
  <c r="L1306" i="1"/>
  <c r="O1306" i="1" s="1" a="1"/>
  <c r="O1306" i="1" s="1"/>
  <c r="K1306" i="1" a="1"/>
  <c r="K1306" i="1" s="1"/>
  <c r="N1306" i="1" s="1" a="1"/>
  <c r="N1306" i="1" s="1"/>
  <c r="J1306" i="1" a="1"/>
  <c r="J1306" i="1" s="1"/>
  <c r="I1306" i="1" a="1"/>
  <c r="I1306" i="1" s="1"/>
  <c r="F1306" i="1" a="1"/>
  <c r="F1306" i="1" s="1"/>
  <c r="E1306" i="1" a="1"/>
  <c r="E1306" i="1" s="1"/>
  <c r="N1305" i="1" a="1"/>
  <c r="N1305" i="1" s="1"/>
  <c r="L1305" i="1" a="1"/>
  <c r="L1305" i="1" s="1"/>
  <c r="O1305" i="1" s="1" a="1"/>
  <c r="O1305" i="1" s="1"/>
  <c r="K1305" i="1" a="1"/>
  <c r="K1305" i="1" s="1"/>
  <c r="J1305" i="1" a="1"/>
  <c r="J1305" i="1" s="1"/>
  <c r="I1305" i="1" a="1"/>
  <c r="I1305" i="1" s="1"/>
  <c r="F1305" i="1" a="1"/>
  <c r="F1305" i="1"/>
  <c r="E1305" i="1" a="1"/>
  <c r="E1305" i="1" s="1"/>
  <c r="L1304" i="1" a="1"/>
  <c r="L1304" i="1" s="1"/>
  <c r="J1304" i="1" a="1"/>
  <c r="J1304" i="1" s="1"/>
  <c r="K1304" i="1" s="1" a="1"/>
  <c r="K1304" i="1" s="1"/>
  <c r="N1304" i="1" s="1" a="1"/>
  <c r="N1304" i="1" s="1"/>
  <c r="I1304" i="1" a="1"/>
  <c r="I1304" i="1" s="1"/>
  <c r="F1304" i="1" a="1"/>
  <c r="F1304" i="1" s="1"/>
  <c r="E1304" i="1" a="1"/>
  <c r="E1304" i="1" s="1"/>
  <c r="N1303" i="1" a="1"/>
  <c r="N1303" i="1" s="1"/>
  <c r="N1302" i="1" a="1"/>
  <c r="N1302" i="1" s="1"/>
  <c r="L1302" i="1" a="1"/>
  <c r="L1302" i="1" s="1"/>
  <c r="J1302" i="1" a="1"/>
  <c r="J1302" i="1"/>
  <c r="K1302" i="1" s="1" a="1"/>
  <c r="K1302" i="1" s="1"/>
  <c r="I1302" i="1" a="1"/>
  <c r="I1302" i="1" s="1"/>
  <c r="F1302" i="1" a="1"/>
  <c r="F1302" i="1" s="1"/>
  <c r="E1302" i="1" a="1"/>
  <c r="E1302" i="1" s="1"/>
  <c r="L1301" i="1" a="1"/>
  <c r="L1301" i="1" s="1"/>
  <c r="J1301" i="1" a="1"/>
  <c r="J1301" i="1" s="1"/>
  <c r="K1301" i="1" s="1" a="1"/>
  <c r="K1301" i="1" s="1"/>
  <c r="N1301" i="1" s="1" a="1"/>
  <c r="N1301" i="1" s="1"/>
  <c r="I1301" i="1" a="1"/>
  <c r="I1301" i="1" s="1"/>
  <c r="F1301" i="1" a="1"/>
  <c r="F1301" i="1" s="1"/>
  <c r="E1301" i="1" a="1"/>
  <c r="E1301" i="1" s="1"/>
  <c r="L1300" i="1" a="1"/>
  <c r="L1300" i="1" s="1"/>
  <c r="J1300" i="1" a="1"/>
  <c r="J1300" i="1"/>
  <c r="K1300" i="1" s="1" a="1"/>
  <c r="K1300" i="1" s="1"/>
  <c r="I1300" i="1" a="1"/>
  <c r="I1300" i="1" s="1"/>
  <c r="F1300" i="1" a="1"/>
  <c r="F1300" i="1" s="1"/>
  <c r="E1300" i="1" a="1"/>
  <c r="E1300" i="1" s="1"/>
  <c r="L1299" i="1" a="1"/>
  <c r="L1299" i="1"/>
  <c r="O1299" i="1" s="1" a="1"/>
  <c r="O1299" i="1" s="1"/>
  <c r="J1299" i="1" a="1"/>
  <c r="J1299" i="1" s="1"/>
  <c r="I1299" i="1" a="1"/>
  <c r="I1299" i="1" s="1"/>
  <c r="K1299" i="1" s="1" a="1"/>
  <c r="K1299" i="1" s="1"/>
  <c r="N1299" i="1" s="1" a="1"/>
  <c r="N1299" i="1" s="1"/>
  <c r="F1299" i="1" a="1"/>
  <c r="F1299" i="1"/>
  <c r="E1299" i="1" a="1"/>
  <c r="E1299" i="1" s="1"/>
  <c r="L1298" i="1" a="1"/>
  <c r="L1298" i="1" s="1"/>
  <c r="O1298" i="1" s="1" a="1"/>
  <c r="O1298" i="1" s="1"/>
  <c r="J1298" i="1" a="1"/>
  <c r="J1298" i="1" s="1"/>
  <c r="K1298" i="1" s="1" a="1"/>
  <c r="K1298" i="1" s="1"/>
  <c r="N1298" i="1" s="1" a="1"/>
  <c r="N1298" i="1" s="1"/>
  <c r="I1298" i="1" a="1"/>
  <c r="I1298" i="1" s="1"/>
  <c r="F1298" i="1" a="1"/>
  <c r="F1298" i="1" s="1"/>
  <c r="E1298" i="1" a="1"/>
  <c r="E1298" i="1" s="1"/>
  <c r="L1297" i="1" a="1"/>
  <c r="L1297" i="1"/>
  <c r="J1297" i="1" a="1"/>
  <c r="J1297" i="1"/>
  <c r="K1297" i="1" s="1" a="1"/>
  <c r="K1297" i="1" s="1"/>
  <c r="N1297" i="1" s="1" a="1"/>
  <c r="N1297" i="1" s="1"/>
  <c r="I1297" i="1" a="1"/>
  <c r="I1297" i="1"/>
  <c r="F1297" i="1" a="1"/>
  <c r="F1297" i="1" s="1"/>
  <c r="E1297" i="1" a="1"/>
  <c r="E1297" i="1" s="1"/>
  <c r="N1296" i="1"/>
  <c r="L1296" i="1" a="1"/>
  <c r="L1296" i="1" s="1"/>
  <c r="O1296" i="1" s="1" a="1"/>
  <c r="O1296" i="1" s="1"/>
  <c r="J1296" i="1" a="1"/>
  <c r="J1296" i="1" s="1"/>
  <c r="K1296" i="1" s="1" a="1"/>
  <c r="K1296" i="1" s="1"/>
  <c r="N1296" i="1" s="1" a="1"/>
  <c r="I1296" i="1" a="1"/>
  <c r="I1296" i="1"/>
  <c r="F1296" i="1" a="1"/>
  <c r="F1296" i="1"/>
  <c r="E1296" i="1" a="1"/>
  <c r="E1296" i="1" s="1"/>
  <c r="L1295" i="1" a="1"/>
  <c r="L1295" i="1"/>
  <c r="J1295" i="1" a="1"/>
  <c r="J1295" i="1" s="1"/>
  <c r="K1295" i="1" s="1" a="1"/>
  <c r="K1295" i="1" s="1"/>
  <c r="N1295" i="1" s="1" a="1"/>
  <c r="N1295" i="1" s="1"/>
  <c r="I1295" i="1" a="1"/>
  <c r="I1295" i="1" s="1"/>
  <c r="F1295" i="1" a="1"/>
  <c r="F1295" i="1"/>
  <c r="E1295" i="1" a="1"/>
  <c r="E1295" i="1" s="1"/>
  <c r="O1294" i="1" a="1"/>
  <c r="O1294" i="1" s="1"/>
  <c r="L1294" i="1" a="1"/>
  <c r="L1294" i="1" s="1"/>
  <c r="J1294" i="1" a="1"/>
  <c r="J1294" i="1"/>
  <c r="K1294" i="1" s="1" a="1"/>
  <c r="K1294" i="1" s="1"/>
  <c r="N1294" i="1" s="1" a="1"/>
  <c r="N1294" i="1" s="1"/>
  <c r="I1294" i="1" a="1"/>
  <c r="I1294" i="1" s="1"/>
  <c r="F1294" i="1" a="1"/>
  <c r="F1294" i="1" s="1"/>
  <c r="E1294" i="1" a="1"/>
  <c r="E1294" i="1" s="1"/>
  <c r="L1293" i="1" a="1"/>
  <c r="L1293" i="1"/>
  <c r="J1293" i="1" a="1"/>
  <c r="J1293" i="1"/>
  <c r="I1293" i="1" a="1"/>
  <c r="I1293" i="1" s="1"/>
  <c r="F1293" i="1" a="1"/>
  <c r="F1293" i="1"/>
  <c r="E1293" i="1" a="1"/>
  <c r="E1293" i="1" s="1"/>
  <c r="L1292" i="1" a="1"/>
  <c r="L1292" i="1"/>
  <c r="J1292" i="1" a="1"/>
  <c r="J1292" i="1"/>
  <c r="K1292" i="1" s="1" a="1"/>
  <c r="K1292" i="1" s="1"/>
  <c r="N1292" i="1" s="1" a="1"/>
  <c r="N1292" i="1" s="1"/>
  <c r="I1292" i="1" a="1"/>
  <c r="I1292" i="1" s="1"/>
  <c r="F1292" i="1" a="1"/>
  <c r="F1292" i="1"/>
  <c r="E1292" i="1" a="1"/>
  <c r="E1292" i="1" s="1"/>
  <c r="L1291" i="1" a="1"/>
  <c r="L1291" i="1"/>
  <c r="J1291" i="1" a="1"/>
  <c r="J1291" i="1"/>
  <c r="K1291" i="1" s="1" a="1"/>
  <c r="K1291" i="1" s="1"/>
  <c r="N1291" i="1" s="1" a="1"/>
  <c r="N1291" i="1" s="1"/>
  <c r="I1291" i="1" a="1"/>
  <c r="I1291" i="1" s="1"/>
  <c r="F1291" i="1" a="1"/>
  <c r="F1291" i="1"/>
  <c r="E1291" i="1" a="1"/>
  <c r="E1291" i="1" s="1"/>
  <c r="L1290" i="1" a="1"/>
  <c r="L1290" i="1"/>
  <c r="J1290" i="1" a="1"/>
  <c r="J1290" i="1"/>
  <c r="I1290" i="1" a="1"/>
  <c r="I1290" i="1" s="1"/>
  <c r="F1290" i="1" a="1"/>
  <c r="F1290" i="1"/>
  <c r="E1290" i="1" a="1"/>
  <c r="E1290" i="1" s="1"/>
  <c r="L1289" i="1" a="1"/>
  <c r="L1289" i="1"/>
  <c r="J1289" i="1" a="1"/>
  <c r="J1289" i="1"/>
  <c r="I1289" i="1" a="1"/>
  <c r="I1289" i="1" s="1"/>
  <c r="F1289" i="1" a="1"/>
  <c r="F1289" i="1"/>
  <c r="E1289" i="1" a="1"/>
  <c r="E1289" i="1" s="1"/>
  <c r="L1288" i="1" a="1"/>
  <c r="L1288" i="1"/>
  <c r="J1288" i="1" a="1"/>
  <c r="J1288" i="1"/>
  <c r="K1288" i="1" s="1" a="1"/>
  <c r="K1288" i="1" s="1"/>
  <c r="N1288" i="1" s="1" a="1"/>
  <c r="N1288" i="1" s="1"/>
  <c r="I1288" i="1" a="1"/>
  <c r="I1288" i="1" s="1"/>
  <c r="F1288" i="1" a="1"/>
  <c r="F1288" i="1"/>
  <c r="E1288" i="1" a="1"/>
  <c r="E1288" i="1" s="1"/>
  <c r="L1287" i="1" a="1"/>
  <c r="L1287" i="1" s="1"/>
  <c r="J1287" i="1" a="1"/>
  <c r="J1287" i="1"/>
  <c r="I1287" i="1" a="1"/>
  <c r="I1287" i="1" s="1"/>
  <c r="F1287" i="1" a="1"/>
  <c r="F1287" i="1" s="1"/>
  <c r="E1287" i="1" a="1"/>
  <c r="E1287" i="1" s="1"/>
  <c r="L1286" i="1" a="1"/>
  <c r="L1286" i="1"/>
  <c r="J1286" i="1" a="1"/>
  <c r="J1286" i="1"/>
  <c r="K1286" i="1" s="1" a="1"/>
  <c r="K1286" i="1" s="1"/>
  <c r="N1286" i="1" s="1" a="1"/>
  <c r="N1286" i="1" s="1"/>
  <c r="I1286" i="1" a="1"/>
  <c r="I1286" i="1" s="1"/>
  <c r="F1286" i="1" a="1"/>
  <c r="F1286" i="1"/>
  <c r="E1286" i="1" a="1"/>
  <c r="E1286" i="1" s="1"/>
  <c r="L1285" i="1" a="1"/>
  <c r="L1285" i="1" s="1"/>
  <c r="O1285" i="1" s="1" a="1"/>
  <c r="O1285" i="1" s="1"/>
  <c r="J1285" i="1" a="1"/>
  <c r="J1285" i="1"/>
  <c r="K1285" i="1" s="1" a="1"/>
  <c r="K1285" i="1" s="1"/>
  <c r="N1285" i="1" s="1" a="1"/>
  <c r="N1285" i="1" s="1"/>
  <c r="I1285" i="1" a="1"/>
  <c r="I1285" i="1" s="1"/>
  <c r="F1285" i="1" a="1"/>
  <c r="F1285" i="1"/>
  <c r="E1285" i="1" a="1"/>
  <c r="E1285" i="1" s="1"/>
  <c r="O1284" i="1" a="1"/>
  <c r="O1284" i="1" s="1"/>
  <c r="L1284" i="1" a="1"/>
  <c r="L1284" i="1" s="1"/>
  <c r="J1284" i="1" a="1"/>
  <c r="J1284" i="1"/>
  <c r="K1284" i="1" s="1" a="1"/>
  <c r="K1284" i="1" s="1"/>
  <c r="N1284" i="1" s="1" a="1"/>
  <c r="N1284" i="1" s="1"/>
  <c r="I1284" i="1" a="1"/>
  <c r="I1284" i="1" s="1"/>
  <c r="F1284" i="1" a="1"/>
  <c r="F1284" i="1" s="1"/>
  <c r="E1284" i="1" a="1"/>
  <c r="E1284" i="1" s="1"/>
  <c r="L1283" i="1" a="1"/>
  <c r="L1283" i="1" s="1"/>
  <c r="J1283" i="1" a="1"/>
  <c r="J1283" i="1" s="1"/>
  <c r="K1283" i="1" s="1" a="1"/>
  <c r="K1283" i="1" s="1"/>
  <c r="N1283" i="1" s="1" a="1"/>
  <c r="N1283" i="1" s="1"/>
  <c r="I1283" i="1" a="1"/>
  <c r="I1283" i="1" s="1"/>
  <c r="F1283" i="1" a="1"/>
  <c r="F1283" i="1" s="1"/>
  <c r="E1283" i="1" a="1"/>
  <c r="E1283" i="1" s="1"/>
  <c r="N1282" i="1" a="1"/>
  <c r="N1282" i="1" s="1"/>
  <c r="L1282" i="1" a="1"/>
  <c r="L1282" i="1" s="1"/>
  <c r="O1282" i="1" s="1" a="1"/>
  <c r="O1282" i="1" s="1"/>
  <c r="K1282" i="1" a="1"/>
  <c r="K1282" i="1" s="1"/>
  <c r="J1282" i="1" a="1"/>
  <c r="J1282" i="1"/>
  <c r="I1282" i="1" a="1"/>
  <c r="I1282" i="1" s="1"/>
  <c r="F1282" i="1" a="1"/>
  <c r="F1282" i="1"/>
  <c r="E1282" i="1" a="1"/>
  <c r="E1282" i="1" s="1"/>
  <c r="L1281" i="1" a="1"/>
  <c r="L1281" i="1"/>
  <c r="O1281" i="1" s="1" a="1"/>
  <c r="O1281" i="1" s="1"/>
  <c r="J1281" i="1" a="1"/>
  <c r="J1281" i="1" s="1"/>
  <c r="K1281" i="1" s="1" a="1"/>
  <c r="K1281" i="1" s="1"/>
  <c r="N1281" i="1" s="1" a="1"/>
  <c r="N1281" i="1" s="1"/>
  <c r="I1281" i="1" a="1"/>
  <c r="I1281" i="1" s="1"/>
  <c r="F1281" i="1" a="1"/>
  <c r="F1281" i="1" s="1"/>
  <c r="E1281" i="1" a="1"/>
  <c r="E1281" i="1" s="1"/>
  <c r="N1280" i="1" a="1"/>
  <c r="N1280" i="1" s="1"/>
  <c r="L1280" i="1" a="1"/>
  <c r="L1280" i="1" s="1"/>
  <c r="O1280" i="1" s="1" a="1"/>
  <c r="O1280" i="1" s="1"/>
  <c r="K1280" i="1" a="1"/>
  <c r="K1280" i="1" s="1"/>
  <c r="J1280" i="1" a="1"/>
  <c r="J1280" i="1"/>
  <c r="I1280" i="1" a="1"/>
  <c r="I1280" i="1" s="1"/>
  <c r="F1280" i="1" a="1"/>
  <c r="F1280" i="1"/>
  <c r="E1280" i="1" a="1"/>
  <c r="E1280" i="1" s="1"/>
  <c r="L1279" i="1" a="1"/>
  <c r="L1279" i="1"/>
  <c r="J1279" i="1" a="1"/>
  <c r="J1279" i="1" s="1"/>
  <c r="K1279" i="1" s="1" a="1"/>
  <c r="K1279" i="1" s="1"/>
  <c r="N1279" i="1" s="1" a="1"/>
  <c r="N1279" i="1" s="1"/>
  <c r="I1279" i="1" a="1"/>
  <c r="I1279" i="1" s="1"/>
  <c r="F1279" i="1" a="1"/>
  <c r="F1279" i="1" s="1"/>
  <c r="E1279" i="1" a="1"/>
  <c r="E1279" i="1" s="1"/>
  <c r="N1278" i="1" a="1"/>
  <c r="N1278" i="1" s="1"/>
  <c r="L1278" i="1" a="1"/>
  <c r="L1278" i="1" s="1"/>
  <c r="O1278" i="1" s="1" a="1"/>
  <c r="O1278" i="1" s="1"/>
  <c r="K1278" i="1" a="1"/>
  <c r="K1278" i="1" s="1"/>
  <c r="J1278" i="1" a="1"/>
  <c r="J1278" i="1"/>
  <c r="I1278" i="1" a="1"/>
  <c r="I1278" i="1" s="1"/>
  <c r="F1278" i="1" a="1"/>
  <c r="F1278" i="1"/>
  <c r="E1278" i="1" a="1"/>
  <c r="E1278" i="1" s="1"/>
  <c r="L1277" i="1" a="1"/>
  <c r="L1277" i="1"/>
  <c r="O1277" i="1" s="1" a="1"/>
  <c r="O1277" i="1" s="1"/>
  <c r="J1277" i="1" a="1"/>
  <c r="J1277" i="1" s="1"/>
  <c r="K1277" i="1" s="1" a="1"/>
  <c r="K1277" i="1" s="1"/>
  <c r="N1277" i="1" s="1" a="1"/>
  <c r="N1277" i="1" s="1"/>
  <c r="I1277" i="1" a="1"/>
  <c r="I1277" i="1" s="1"/>
  <c r="F1277" i="1" a="1"/>
  <c r="F1277" i="1" s="1"/>
  <c r="E1277" i="1" a="1"/>
  <c r="E1277" i="1" s="1"/>
  <c r="N1276" i="1" a="1"/>
  <c r="N1276" i="1" s="1"/>
  <c r="L1276" i="1" a="1"/>
  <c r="L1276" i="1"/>
  <c r="J1276" i="1" a="1"/>
  <c r="J1276" i="1"/>
  <c r="K1276" i="1" s="1" a="1"/>
  <c r="K1276" i="1" s="1"/>
  <c r="I1276" i="1" a="1"/>
  <c r="I1276" i="1"/>
  <c r="F1276" i="1" a="1"/>
  <c r="F1276" i="1" s="1"/>
  <c r="E1276" i="1" a="1"/>
  <c r="E1276" i="1" s="1"/>
  <c r="L1275" i="1" a="1"/>
  <c r="L1275" i="1" s="1"/>
  <c r="J1275" i="1" a="1"/>
  <c r="J1275" i="1" s="1"/>
  <c r="K1275" i="1" s="1" a="1"/>
  <c r="K1275" i="1" s="1"/>
  <c r="N1275" i="1" s="1" a="1"/>
  <c r="N1275" i="1" s="1"/>
  <c r="I1275" i="1" a="1"/>
  <c r="I1275" i="1"/>
  <c r="F1275" i="1" a="1"/>
  <c r="F1275" i="1"/>
  <c r="E1275" i="1" a="1"/>
  <c r="E1275" i="1" s="1"/>
  <c r="L1274" i="1" a="1"/>
  <c r="L1274" i="1" s="1"/>
  <c r="J1274" i="1" a="1"/>
  <c r="J1274" i="1" s="1"/>
  <c r="K1274" i="1" s="1" a="1"/>
  <c r="K1274" i="1" s="1"/>
  <c r="N1274" i="1" s="1" a="1"/>
  <c r="N1274" i="1" s="1"/>
  <c r="I1274" i="1" a="1"/>
  <c r="I1274" i="1" s="1"/>
  <c r="F1274" i="1" a="1"/>
  <c r="F1274" i="1"/>
  <c r="E1274" i="1" a="1"/>
  <c r="E1274" i="1" s="1"/>
  <c r="O1273" i="1" a="1"/>
  <c r="O1273" i="1" s="1"/>
  <c r="L1273" i="1" a="1"/>
  <c r="L1273" i="1"/>
  <c r="J1273" i="1" a="1"/>
  <c r="J1273" i="1"/>
  <c r="K1273" i="1" s="1" a="1"/>
  <c r="K1273" i="1" s="1"/>
  <c r="N1273" i="1" s="1" a="1"/>
  <c r="N1273" i="1" s="1"/>
  <c r="I1273" i="1" a="1"/>
  <c r="I1273" i="1" s="1"/>
  <c r="F1273" i="1" a="1"/>
  <c r="F1273" i="1" s="1"/>
  <c r="E1273" i="1" a="1"/>
  <c r="E1273" i="1" s="1"/>
  <c r="L1272" i="1" a="1"/>
  <c r="L1272" i="1"/>
  <c r="J1272" i="1" a="1"/>
  <c r="J1272" i="1"/>
  <c r="I1272" i="1" a="1"/>
  <c r="I1272" i="1"/>
  <c r="F1272" i="1" a="1"/>
  <c r="F1272" i="1" s="1"/>
  <c r="E1272" i="1" a="1"/>
  <c r="E1272" i="1" s="1"/>
  <c r="L1271" i="1" a="1"/>
  <c r="L1271" i="1" s="1"/>
  <c r="O1271" i="1" s="1" a="1"/>
  <c r="O1271" i="1" s="1"/>
  <c r="J1271" i="1" a="1"/>
  <c r="J1271" i="1" s="1"/>
  <c r="K1271" i="1" s="1" a="1"/>
  <c r="K1271" i="1" s="1"/>
  <c r="N1271" i="1" s="1" a="1"/>
  <c r="N1271" i="1" s="1"/>
  <c r="I1271" i="1" a="1"/>
  <c r="I1271" i="1"/>
  <c r="F1271" i="1" a="1"/>
  <c r="F1271" i="1"/>
  <c r="E1271" i="1" a="1"/>
  <c r="E1271" i="1" s="1"/>
  <c r="L1270" i="1" a="1"/>
  <c r="L1270" i="1" s="1"/>
  <c r="J1270" i="1" a="1"/>
  <c r="J1270" i="1" s="1"/>
  <c r="K1270" i="1" s="1" a="1"/>
  <c r="K1270" i="1" s="1"/>
  <c r="N1270" i="1" s="1" a="1"/>
  <c r="N1270" i="1" s="1"/>
  <c r="I1270" i="1" a="1"/>
  <c r="I1270" i="1" s="1"/>
  <c r="F1270" i="1" a="1"/>
  <c r="F1270" i="1"/>
  <c r="E1270" i="1" a="1"/>
  <c r="E1270" i="1" s="1"/>
  <c r="L1269" i="1" a="1"/>
  <c r="L1269" i="1"/>
  <c r="J1269" i="1" a="1"/>
  <c r="J1269" i="1"/>
  <c r="I1269" i="1" a="1"/>
  <c r="I1269" i="1" s="1"/>
  <c r="F1269" i="1" a="1"/>
  <c r="F1269" i="1" s="1"/>
  <c r="E1269" i="1" a="1"/>
  <c r="E1269" i="1" s="1"/>
  <c r="L1268" i="1" a="1"/>
  <c r="L1268" i="1"/>
  <c r="J1268" i="1" a="1"/>
  <c r="J1268" i="1"/>
  <c r="K1268" i="1" s="1" a="1"/>
  <c r="K1268" i="1" s="1"/>
  <c r="N1268" i="1" s="1" a="1"/>
  <c r="N1268" i="1" s="1"/>
  <c r="I1268" i="1" a="1"/>
  <c r="I1268" i="1"/>
  <c r="F1268" i="1" a="1"/>
  <c r="F1268" i="1" s="1"/>
  <c r="E1268" i="1" a="1"/>
  <c r="E1268" i="1" s="1"/>
  <c r="L1267" i="1" a="1"/>
  <c r="L1267" i="1" s="1"/>
  <c r="O1267" i="1" s="1" a="1"/>
  <c r="O1267" i="1" s="1"/>
  <c r="J1267" i="1" a="1"/>
  <c r="J1267" i="1" s="1"/>
  <c r="K1267" i="1" s="1" a="1"/>
  <c r="K1267" i="1" s="1"/>
  <c r="N1267" i="1" s="1" a="1"/>
  <c r="N1267" i="1" s="1"/>
  <c r="I1267" i="1" a="1"/>
  <c r="I1267" i="1"/>
  <c r="F1267" i="1" a="1"/>
  <c r="F1267" i="1" s="1"/>
  <c r="E1267" i="1" a="1"/>
  <c r="E1267" i="1" s="1"/>
  <c r="L1266" i="1" a="1"/>
  <c r="L1266" i="1" s="1"/>
  <c r="O1266" i="1" s="1" a="1"/>
  <c r="O1266" i="1" s="1"/>
  <c r="K1266" i="1" a="1"/>
  <c r="K1266" i="1" s="1"/>
  <c r="N1266" i="1" s="1" a="1"/>
  <c r="N1266" i="1" s="1"/>
  <c r="J1266" i="1" a="1"/>
  <c r="J1266" i="1" s="1"/>
  <c r="I1266" i="1" a="1"/>
  <c r="I1266" i="1" s="1"/>
  <c r="F1266" i="1" a="1"/>
  <c r="F1266" i="1"/>
  <c r="E1266" i="1" a="1"/>
  <c r="E1266" i="1" s="1"/>
  <c r="L1265" i="1" a="1"/>
  <c r="L1265" i="1"/>
  <c r="J1265" i="1" a="1"/>
  <c r="J1265" i="1" s="1"/>
  <c r="K1265" i="1" s="1" a="1"/>
  <c r="K1265" i="1" s="1"/>
  <c r="I1265" i="1" a="1"/>
  <c r="I1265" i="1" s="1"/>
  <c r="F1265" i="1" a="1"/>
  <c r="F1265" i="1" s="1"/>
  <c r="E1265" i="1" a="1"/>
  <c r="E1265" i="1" s="1"/>
  <c r="L1264" i="1" a="1"/>
  <c r="L1264" i="1"/>
  <c r="J1264" i="1" a="1"/>
  <c r="J1264" i="1"/>
  <c r="I1264" i="1" a="1"/>
  <c r="I1264" i="1"/>
  <c r="F1264" i="1" a="1"/>
  <c r="F1264" i="1" s="1"/>
  <c r="E1264" i="1" a="1"/>
  <c r="E1264" i="1" s="1"/>
  <c r="L1263" i="1" a="1"/>
  <c r="L1263" i="1" s="1"/>
  <c r="J1263" i="1" a="1"/>
  <c r="J1263" i="1" s="1"/>
  <c r="I1263" i="1" a="1"/>
  <c r="I1263" i="1"/>
  <c r="F1263" i="1" a="1"/>
  <c r="F1263" i="1"/>
  <c r="E1263" i="1" a="1"/>
  <c r="E1263" i="1" s="1"/>
  <c r="L1262" i="1" a="1"/>
  <c r="L1262" i="1"/>
  <c r="J1262" i="1" a="1"/>
  <c r="J1262" i="1" s="1"/>
  <c r="K1262" i="1" s="1" a="1"/>
  <c r="K1262" i="1" s="1"/>
  <c r="N1262" i="1" s="1" a="1"/>
  <c r="N1262" i="1" s="1"/>
  <c r="I1262" i="1" a="1"/>
  <c r="I1262" i="1" s="1"/>
  <c r="F1262" i="1" a="1"/>
  <c r="F1262" i="1"/>
  <c r="E1262" i="1" a="1"/>
  <c r="E1262" i="1" s="1"/>
  <c r="L1261" i="1" a="1"/>
  <c r="L1261" i="1"/>
  <c r="J1261" i="1" a="1"/>
  <c r="J1261" i="1" s="1"/>
  <c r="K1261" i="1" s="1" a="1"/>
  <c r="K1261" i="1" s="1"/>
  <c r="I1261" i="1" a="1"/>
  <c r="I1261" i="1" s="1"/>
  <c r="F1261" i="1" a="1"/>
  <c r="F1261" i="1" s="1"/>
  <c r="E1261" i="1" a="1"/>
  <c r="E1261" i="1" s="1"/>
  <c r="L1260" i="1" a="1"/>
  <c r="L1260" i="1"/>
  <c r="J1260" i="1" a="1"/>
  <c r="J1260" i="1"/>
  <c r="I1260" i="1" a="1"/>
  <c r="I1260" i="1" s="1"/>
  <c r="F1260" i="1" a="1"/>
  <c r="F1260" i="1" s="1"/>
  <c r="E1260" i="1" a="1"/>
  <c r="E1260" i="1" s="1"/>
  <c r="N1259" i="1" a="1"/>
  <c r="N1259" i="1" s="1"/>
  <c r="L1259" i="1" a="1"/>
  <c r="L1259" i="1" s="1"/>
  <c r="J1259" i="1" a="1"/>
  <c r="J1259" i="1" s="1"/>
  <c r="K1259" i="1" s="1" a="1"/>
  <c r="K1259" i="1" s="1"/>
  <c r="I1259" i="1" a="1"/>
  <c r="I1259" i="1"/>
  <c r="F1259" i="1" a="1"/>
  <c r="F1259" i="1" s="1"/>
  <c r="E1259" i="1" a="1"/>
  <c r="E1259" i="1" s="1"/>
  <c r="L1258" i="1" a="1"/>
  <c r="L1258" i="1"/>
  <c r="J1258" i="1" a="1"/>
  <c r="J1258" i="1" s="1"/>
  <c r="I1258" i="1" a="1"/>
  <c r="I1258" i="1" s="1"/>
  <c r="K1258" i="1" s="1" a="1"/>
  <c r="K1258" i="1" s="1"/>
  <c r="N1258" i="1" s="1" a="1"/>
  <c r="N1258" i="1" s="1"/>
  <c r="F1258" i="1" a="1"/>
  <c r="F1258" i="1"/>
  <c r="E1258" i="1" a="1"/>
  <c r="E1258" i="1" s="1"/>
  <c r="L1257" i="1" a="1"/>
  <c r="L1257" i="1"/>
  <c r="K1257" i="1" a="1"/>
  <c r="K1257" i="1" s="1"/>
  <c r="J1257" i="1" a="1"/>
  <c r="J1257" i="1"/>
  <c r="I1257" i="1" a="1"/>
  <c r="I1257" i="1" s="1"/>
  <c r="F1257" i="1" a="1"/>
  <c r="F1257" i="1" s="1"/>
  <c r="E1257" i="1" a="1"/>
  <c r="E1257" i="1" s="1"/>
  <c r="L1256" i="1" a="1"/>
  <c r="L1256" i="1"/>
  <c r="J1256" i="1" a="1"/>
  <c r="J1256" i="1"/>
  <c r="I1256" i="1" a="1"/>
  <c r="I1256" i="1"/>
  <c r="F1256" i="1" a="1"/>
  <c r="F1256" i="1" s="1"/>
  <c r="E1256" i="1" a="1"/>
  <c r="E1256" i="1" s="1"/>
  <c r="L1255" i="1" a="1"/>
  <c r="L1255" i="1" s="1"/>
  <c r="J1255" i="1" a="1"/>
  <c r="J1255" i="1" s="1"/>
  <c r="I1255" i="1" a="1"/>
  <c r="I1255" i="1"/>
  <c r="F1255" i="1" a="1"/>
  <c r="F1255" i="1"/>
  <c r="E1255" i="1" a="1"/>
  <c r="E1255" i="1" s="1"/>
  <c r="L1254" i="1" a="1"/>
  <c r="L1254" i="1" s="1"/>
  <c r="O1254" i="1" s="1" a="1"/>
  <c r="O1254" i="1" s="1"/>
  <c r="J1254" i="1" a="1"/>
  <c r="J1254" i="1" s="1"/>
  <c r="K1254" i="1" s="1" a="1"/>
  <c r="K1254" i="1" s="1"/>
  <c r="N1254" i="1" s="1" a="1"/>
  <c r="N1254" i="1" s="1"/>
  <c r="I1254" i="1" a="1"/>
  <c r="I1254" i="1" s="1"/>
  <c r="F1254" i="1" a="1"/>
  <c r="F1254" i="1"/>
  <c r="E1254" i="1" a="1"/>
  <c r="E1254" i="1" s="1"/>
  <c r="L1253" i="1" a="1"/>
  <c r="L1253" i="1"/>
  <c r="J1253" i="1" a="1"/>
  <c r="J1253" i="1" s="1"/>
  <c r="K1253" i="1" s="1" a="1"/>
  <c r="K1253" i="1" s="1"/>
  <c r="I1253" i="1" a="1"/>
  <c r="I1253" i="1" s="1"/>
  <c r="F1253" i="1" a="1"/>
  <c r="F1253" i="1" s="1"/>
  <c r="E1253" i="1" a="1"/>
  <c r="E1253" i="1" s="1"/>
  <c r="L1252" i="1" a="1"/>
  <c r="L1252" i="1"/>
  <c r="J1252" i="1" a="1"/>
  <c r="J1252" i="1"/>
  <c r="K1252" i="1" s="1" a="1"/>
  <c r="K1252" i="1" s="1"/>
  <c r="O1252" i="1" s="1" a="1"/>
  <c r="O1252" i="1" s="1"/>
  <c r="I1252" i="1" a="1"/>
  <c r="I1252" i="1"/>
  <c r="F1252" i="1" a="1"/>
  <c r="F1252" i="1" s="1"/>
  <c r="E1252" i="1" a="1"/>
  <c r="E1252" i="1" s="1"/>
  <c r="N1251" i="1" a="1"/>
  <c r="N1251" i="1" s="1"/>
  <c r="L1251" i="1" a="1"/>
  <c r="L1251" i="1" s="1"/>
  <c r="O1251" i="1" s="1" a="1"/>
  <c r="O1251" i="1" s="1"/>
  <c r="J1251" i="1" a="1"/>
  <c r="J1251" i="1" s="1"/>
  <c r="K1251" i="1" s="1" a="1"/>
  <c r="K1251" i="1" s="1"/>
  <c r="I1251" i="1" a="1"/>
  <c r="I1251" i="1"/>
  <c r="F1251" i="1" a="1"/>
  <c r="F1251" i="1" s="1"/>
  <c r="E1251" i="1" a="1"/>
  <c r="E1251" i="1" s="1"/>
  <c r="L1250" i="1" a="1"/>
  <c r="L1250" i="1" s="1"/>
  <c r="O1250" i="1" s="1" a="1"/>
  <c r="O1250" i="1" s="1"/>
  <c r="J1250" i="1" a="1"/>
  <c r="J1250" i="1" s="1"/>
  <c r="K1250" i="1" s="1" a="1"/>
  <c r="K1250" i="1" s="1"/>
  <c r="N1250" i="1" s="1" a="1"/>
  <c r="N1250" i="1" s="1"/>
  <c r="I1250" i="1" a="1"/>
  <c r="I1250" i="1" s="1"/>
  <c r="F1250" i="1" a="1"/>
  <c r="F1250" i="1"/>
  <c r="E1250" i="1" a="1"/>
  <c r="E1250" i="1" s="1"/>
  <c r="L1249" i="1" a="1"/>
  <c r="L1249" i="1"/>
  <c r="J1249" i="1" a="1"/>
  <c r="J1249" i="1"/>
  <c r="K1249" i="1" s="1" a="1"/>
  <c r="K1249" i="1" s="1"/>
  <c r="N1249" i="1" s="1" a="1"/>
  <c r="N1249" i="1" s="1"/>
  <c r="I1249" i="1" a="1"/>
  <c r="I1249" i="1" s="1"/>
  <c r="F1249" i="1" a="1"/>
  <c r="F1249" i="1" s="1"/>
  <c r="E1249" i="1" a="1"/>
  <c r="E1249" i="1" s="1"/>
  <c r="L1248" i="1" a="1"/>
  <c r="L1248" i="1"/>
  <c r="J1248" i="1" a="1"/>
  <c r="J1248" i="1"/>
  <c r="I1248" i="1" a="1"/>
  <c r="I1248" i="1" s="1"/>
  <c r="F1248" i="1" a="1"/>
  <c r="F1248" i="1" s="1"/>
  <c r="E1248" i="1" a="1"/>
  <c r="E1248" i="1" s="1"/>
  <c r="L1247" i="1" a="1"/>
  <c r="L1247" i="1" s="1"/>
  <c r="J1247" i="1" a="1"/>
  <c r="J1247" i="1" s="1"/>
  <c r="K1247" i="1" s="1" a="1"/>
  <c r="K1247" i="1" s="1"/>
  <c r="N1247" i="1" s="1" a="1"/>
  <c r="N1247" i="1" s="1"/>
  <c r="I1247" i="1" a="1"/>
  <c r="I1247" i="1"/>
  <c r="F1247" i="1" a="1"/>
  <c r="F1247" i="1"/>
  <c r="E1247" i="1" a="1"/>
  <c r="E1247" i="1" s="1"/>
  <c r="L1246" i="1" a="1"/>
  <c r="L1246" i="1"/>
  <c r="O1246" i="1" s="1" a="1"/>
  <c r="O1246" i="1" s="1"/>
  <c r="K1246" i="1" a="1"/>
  <c r="K1246" i="1" s="1"/>
  <c r="N1246" i="1" s="1" a="1"/>
  <c r="N1246" i="1" s="1"/>
  <c r="J1246" i="1" a="1"/>
  <c r="J1246" i="1" s="1"/>
  <c r="I1246" i="1" a="1"/>
  <c r="I1246" i="1" s="1"/>
  <c r="F1246" i="1" a="1"/>
  <c r="F1246" i="1"/>
  <c r="E1246" i="1" a="1"/>
  <c r="E1246" i="1" s="1"/>
  <c r="L1245" i="1" a="1"/>
  <c r="L1245" i="1"/>
  <c r="J1245" i="1" a="1"/>
  <c r="J1245" i="1" s="1"/>
  <c r="I1245" i="1" a="1"/>
  <c r="I1245" i="1" s="1"/>
  <c r="F1245" i="1" a="1"/>
  <c r="F1245" i="1" s="1"/>
  <c r="E1245" i="1" a="1"/>
  <c r="E1245" i="1" s="1"/>
  <c r="L1244" i="1" a="1"/>
  <c r="L1244" i="1"/>
  <c r="J1244" i="1" a="1"/>
  <c r="J1244" i="1"/>
  <c r="I1244" i="1" a="1"/>
  <c r="I1244" i="1" s="1"/>
  <c r="F1244" i="1" a="1"/>
  <c r="F1244" i="1" s="1"/>
  <c r="E1244" i="1" a="1"/>
  <c r="E1244" i="1" s="1"/>
  <c r="L1243" i="1" a="1"/>
  <c r="L1243" i="1" s="1"/>
  <c r="J1243" i="1" a="1"/>
  <c r="J1243" i="1" s="1"/>
  <c r="I1243" i="1" a="1"/>
  <c r="I1243" i="1"/>
  <c r="F1243" i="1" a="1"/>
  <c r="F1243" i="1"/>
  <c r="E1243" i="1" a="1"/>
  <c r="E1243" i="1" s="1"/>
  <c r="L1242" i="1" a="1"/>
  <c r="L1242" i="1" s="1"/>
  <c r="K1242" i="1" a="1"/>
  <c r="K1242" i="1" s="1"/>
  <c r="N1242" i="1" s="1" a="1"/>
  <c r="N1242" i="1" s="1"/>
  <c r="J1242" i="1" a="1"/>
  <c r="J1242" i="1" s="1"/>
  <c r="I1242" i="1" a="1"/>
  <c r="I1242" i="1" s="1"/>
  <c r="F1242" i="1" a="1"/>
  <c r="F1242" i="1"/>
  <c r="E1242" i="1" a="1"/>
  <c r="E1242" i="1" s="1"/>
  <c r="O1241" i="1" a="1"/>
  <c r="O1241" i="1" s="1"/>
  <c r="L1241" i="1" a="1"/>
  <c r="L1241" i="1"/>
  <c r="J1241" i="1" a="1"/>
  <c r="J1241" i="1"/>
  <c r="K1241" i="1" s="1" a="1"/>
  <c r="K1241" i="1" s="1"/>
  <c r="N1241" i="1" s="1" a="1"/>
  <c r="N1241" i="1" s="1"/>
  <c r="I1241" i="1" a="1"/>
  <c r="I1241" i="1" s="1"/>
  <c r="F1241" i="1" a="1"/>
  <c r="F1241" i="1" s="1"/>
  <c r="E1241" i="1" a="1"/>
  <c r="E1241" i="1" s="1"/>
  <c r="L1240" i="1" a="1"/>
  <c r="L1240" i="1"/>
  <c r="J1240" i="1" a="1"/>
  <c r="J1240" i="1"/>
  <c r="I1240" i="1" a="1"/>
  <c r="I1240" i="1"/>
  <c r="F1240" i="1" a="1"/>
  <c r="F1240" i="1" s="1"/>
  <c r="E1240" i="1" a="1"/>
  <c r="E1240" i="1" s="1"/>
  <c r="L1239" i="1" a="1"/>
  <c r="L1239" i="1" s="1"/>
  <c r="J1239" i="1" a="1"/>
  <c r="J1239" i="1" s="1"/>
  <c r="K1239" i="1" s="1" a="1"/>
  <c r="K1239" i="1" s="1"/>
  <c r="N1239" i="1" s="1" a="1"/>
  <c r="N1239" i="1" s="1"/>
  <c r="I1239" i="1" a="1"/>
  <c r="I1239" i="1"/>
  <c r="F1239" i="1" a="1"/>
  <c r="F1239" i="1" s="1"/>
  <c r="E1239" i="1" a="1"/>
  <c r="E1239" i="1" s="1"/>
  <c r="L1238" i="1" a="1"/>
  <c r="L1238" i="1"/>
  <c r="J1238" i="1" a="1"/>
  <c r="J1238" i="1" s="1"/>
  <c r="K1238" i="1" s="1" a="1"/>
  <c r="K1238" i="1" s="1"/>
  <c r="N1238" i="1" s="1" a="1"/>
  <c r="N1238" i="1" s="1"/>
  <c r="I1238" i="1" a="1"/>
  <c r="I1238" i="1" s="1"/>
  <c r="F1238" i="1" a="1"/>
  <c r="F1238" i="1"/>
  <c r="E1238" i="1" a="1"/>
  <c r="E1238" i="1" s="1"/>
  <c r="L1237" i="1" a="1"/>
  <c r="L1237" i="1"/>
  <c r="J1237" i="1" a="1"/>
  <c r="J1237" i="1"/>
  <c r="I1237" i="1" a="1"/>
  <c r="I1237" i="1" s="1"/>
  <c r="K1237" i="1" s="1" a="1"/>
  <c r="K1237" i="1" s="1"/>
  <c r="F1237" i="1" a="1"/>
  <c r="F1237" i="1" s="1"/>
  <c r="E1237" i="1" a="1"/>
  <c r="E1237" i="1" s="1"/>
  <c r="L1236" i="1" a="1"/>
  <c r="L1236" i="1"/>
  <c r="J1236" i="1" a="1"/>
  <c r="J1236" i="1"/>
  <c r="I1236" i="1" a="1"/>
  <c r="I1236" i="1" s="1"/>
  <c r="F1236" i="1" a="1"/>
  <c r="F1236" i="1" s="1"/>
  <c r="E1236" i="1" a="1"/>
  <c r="E1236" i="1" s="1"/>
  <c r="L1235" i="1" a="1"/>
  <c r="L1235" i="1" s="1"/>
  <c r="O1235" i="1" s="1" a="1"/>
  <c r="O1235" i="1" s="1"/>
  <c r="J1235" i="1" a="1"/>
  <c r="J1235" i="1" s="1"/>
  <c r="K1235" i="1" s="1" a="1"/>
  <c r="K1235" i="1" s="1"/>
  <c r="N1235" i="1" s="1" a="1"/>
  <c r="N1235" i="1" s="1"/>
  <c r="I1235" i="1" a="1"/>
  <c r="I1235" i="1"/>
  <c r="F1235" i="1" a="1"/>
  <c r="F1235" i="1" s="1"/>
  <c r="E1235" i="1" a="1"/>
  <c r="E1235" i="1" s="1"/>
  <c r="L1234" i="1" a="1"/>
  <c r="L1234" i="1"/>
  <c r="O1234" i="1" s="1" a="1"/>
  <c r="O1234" i="1" s="1"/>
  <c r="J1234" i="1" a="1"/>
  <c r="J1234" i="1" s="1"/>
  <c r="K1234" i="1" s="1" a="1"/>
  <c r="K1234" i="1" s="1"/>
  <c r="N1234" i="1" s="1" a="1"/>
  <c r="N1234" i="1" s="1"/>
  <c r="I1234" i="1" a="1"/>
  <c r="I1234" i="1" s="1"/>
  <c r="F1234" i="1" a="1"/>
  <c r="F1234" i="1"/>
  <c r="E1234" i="1" a="1"/>
  <c r="E1234" i="1" s="1"/>
  <c r="L1233" i="1" a="1"/>
  <c r="L1233" i="1"/>
  <c r="O1233" i="1" s="1" a="1"/>
  <c r="O1233" i="1" s="1"/>
  <c r="J1233" i="1" a="1"/>
  <c r="J1233" i="1"/>
  <c r="K1233" i="1" s="1" a="1"/>
  <c r="K1233" i="1" s="1"/>
  <c r="N1233" i="1" s="1" a="1"/>
  <c r="N1233" i="1" s="1"/>
  <c r="I1233" i="1" a="1"/>
  <c r="I1233" i="1" s="1"/>
  <c r="F1233" i="1" a="1"/>
  <c r="F1233" i="1" s="1"/>
  <c r="E1233" i="1" a="1"/>
  <c r="E1233" i="1" s="1"/>
  <c r="O1232" i="1" a="1"/>
  <c r="O1232" i="1" s="1"/>
  <c r="L1232" i="1" a="1"/>
  <c r="L1232" i="1"/>
  <c r="J1232" i="1" a="1"/>
  <c r="J1232" i="1" s="1"/>
  <c r="K1232" i="1" s="1" a="1"/>
  <c r="K1232" i="1" s="1"/>
  <c r="N1232" i="1" s="1" a="1"/>
  <c r="N1232" i="1" s="1"/>
  <c r="I1232" i="1" a="1"/>
  <c r="I1232" i="1" s="1"/>
  <c r="F1232" i="1" a="1"/>
  <c r="F1232" i="1" s="1"/>
  <c r="E1232" i="1" a="1"/>
  <c r="E1232" i="1" s="1"/>
  <c r="N1231" i="1"/>
  <c r="L1231" i="1" a="1"/>
  <c r="L1231" i="1"/>
  <c r="O1231" i="1" s="1" a="1"/>
  <c r="O1231" i="1" s="1"/>
  <c r="J1231" i="1" a="1"/>
  <c r="J1231" i="1" s="1"/>
  <c r="K1231" i="1" s="1" a="1"/>
  <c r="K1231" i="1" s="1"/>
  <c r="N1231" i="1" s="1" a="1"/>
  <c r="I1231" i="1" a="1"/>
  <c r="I1231" i="1"/>
  <c r="F1231" i="1" a="1"/>
  <c r="F1231" i="1" s="1"/>
  <c r="E1231" i="1" a="1"/>
  <c r="E1231" i="1" s="1"/>
  <c r="N1230" i="1"/>
  <c r="L1230" i="1" a="1"/>
  <c r="L1230" i="1" s="1"/>
  <c r="O1230" i="1" s="1" a="1"/>
  <c r="O1230" i="1" s="1"/>
  <c r="J1230" i="1" a="1"/>
  <c r="J1230" i="1" s="1"/>
  <c r="K1230" i="1" s="1" a="1"/>
  <c r="K1230" i="1" s="1"/>
  <c r="N1230" i="1" s="1" a="1"/>
  <c r="I1230" i="1" a="1"/>
  <c r="I1230" i="1" s="1"/>
  <c r="F1230" i="1" a="1"/>
  <c r="F1230" i="1" s="1"/>
  <c r="E1230" i="1" a="1"/>
  <c r="E1230" i="1" s="1"/>
  <c r="L1229" i="1" a="1"/>
  <c r="L1229" i="1"/>
  <c r="K1229" i="1" a="1"/>
  <c r="K1229" i="1" s="1"/>
  <c r="J1229" i="1" a="1"/>
  <c r="J1229" i="1"/>
  <c r="I1229" i="1" a="1"/>
  <c r="I1229" i="1" s="1"/>
  <c r="F1229" i="1" a="1"/>
  <c r="F1229" i="1" s="1"/>
  <c r="E1229" i="1" a="1"/>
  <c r="E1229" i="1" s="1"/>
  <c r="L1228" i="1" a="1"/>
  <c r="L1228" i="1"/>
  <c r="J1228" i="1" a="1"/>
  <c r="J1228" i="1"/>
  <c r="I1228" i="1" a="1"/>
  <c r="I1228" i="1" s="1"/>
  <c r="F1228" i="1" a="1"/>
  <c r="F1228" i="1" s="1"/>
  <c r="E1228" i="1" a="1"/>
  <c r="E1228" i="1" s="1"/>
  <c r="L1227" i="1" a="1"/>
  <c r="L1227" i="1"/>
  <c r="J1227" i="1" a="1"/>
  <c r="J1227" i="1" s="1"/>
  <c r="I1227" i="1" a="1"/>
  <c r="I1227" i="1" s="1"/>
  <c r="F1227" i="1" a="1"/>
  <c r="F1227" i="1" s="1"/>
  <c r="E1227" i="1" a="1"/>
  <c r="E1227" i="1" s="1"/>
  <c r="L1226" i="1" a="1"/>
  <c r="L1226" i="1" s="1"/>
  <c r="K1226" i="1" a="1"/>
  <c r="K1226" i="1" s="1"/>
  <c r="N1226" i="1" s="1" a="1"/>
  <c r="N1226" i="1" s="1"/>
  <c r="J1226" i="1" a="1"/>
  <c r="J1226" i="1" s="1"/>
  <c r="I1226" i="1" a="1"/>
  <c r="I1226" i="1"/>
  <c r="F1226" i="1" a="1"/>
  <c r="F1226" i="1" s="1"/>
  <c r="E1226" i="1" a="1"/>
  <c r="E1226" i="1" s="1"/>
  <c r="L1225" i="1" a="1"/>
  <c r="L1225" i="1"/>
  <c r="J1225" i="1" a="1"/>
  <c r="J1225" i="1" s="1"/>
  <c r="I1225" i="1" a="1"/>
  <c r="I1225" i="1" s="1"/>
  <c r="K1225" i="1" s="1" a="1"/>
  <c r="K1225" i="1" s="1"/>
  <c r="N1225" i="1" s="1" a="1"/>
  <c r="N1225" i="1" s="1"/>
  <c r="F1225" i="1" a="1"/>
  <c r="F1225" i="1" s="1"/>
  <c r="E1225" i="1" a="1"/>
  <c r="E1225" i="1" s="1"/>
  <c r="L1224" i="1" a="1"/>
  <c r="L1224" i="1" s="1"/>
  <c r="O1224" i="1" s="1" a="1"/>
  <c r="O1224" i="1" s="1"/>
  <c r="K1224" i="1" a="1"/>
  <c r="K1224" i="1" s="1"/>
  <c r="N1224" i="1" s="1" a="1"/>
  <c r="N1224" i="1" s="1"/>
  <c r="J1224" i="1" a="1"/>
  <c r="J1224" i="1" s="1"/>
  <c r="I1224" i="1" a="1"/>
  <c r="I1224" i="1"/>
  <c r="F1224" i="1" a="1"/>
  <c r="F1224" i="1" s="1"/>
  <c r="E1224" i="1" a="1"/>
  <c r="E1224" i="1" s="1"/>
  <c r="L1223" i="1" a="1"/>
  <c r="L1223" i="1"/>
  <c r="J1223" i="1" a="1"/>
  <c r="J1223" i="1" s="1"/>
  <c r="I1223" i="1" a="1"/>
  <c r="I1223" i="1" s="1"/>
  <c r="K1223" i="1" s="1" a="1"/>
  <c r="K1223" i="1" s="1"/>
  <c r="N1223" i="1" s="1" a="1"/>
  <c r="N1223" i="1" s="1"/>
  <c r="F1223" i="1" a="1"/>
  <c r="F1223" i="1" s="1"/>
  <c r="E1223" i="1" a="1"/>
  <c r="E1223" i="1" s="1"/>
  <c r="L1222" i="1" a="1"/>
  <c r="L1222" i="1" s="1"/>
  <c r="O1222" i="1" s="1" a="1"/>
  <c r="O1222" i="1" s="1"/>
  <c r="K1222" i="1" a="1"/>
  <c r="K1222" i="1" s="1"/>
  <c r="N1222" i="1" s="1" a="1"/>
  <c r="N1222" i="1" s="1"/>
  <c r="J1222" i="1" a="1"/>
  <c r="J1222" i="1" s="1"/>
  <c r="I1222" i="1" a="1"/>
  <c r="I1222" i="1"/>
  <c r="F1222" i="1" a="1"/>
  <c r="F1222" i="1" s="1"/>
  <c r="E1222" i="1" a="1"/>
  <c r="E1222" i="1" s="1"/>
  <c r="N1221" i="1" a="1"/>
  <c r="N1221" i="1" s="1"/>
  <c r="L1221" i="1" a="1"/>
  <c r="L1221" i="1"/>
  <c r="J1221" i="1" a="1"/>
  <c r="J1221" i="1" s="1"/>
  <c r="I1221" i="1" a="1"/>
  <c r="I1221" i="1" s="1"/>
  <c r="K1221" i="1" s="1" a="1"/>
  <c r="K1221" i="1" s="1"/>
  <c r="F1221" i="1" a="1"/>
  <c r="F1221" i="1" s="1"/>
  <c r="E1221" i="1" a="1"/>
  <c r="E1221" i="1" s="1"/>
  <c r="L1220" i="1" a="1"/>
  <c r="L1220" i="1" s="1"/>
  <c r="K1220" i="1" a="1"/>
  <c r="K1220" i="1" s="1"/>
  <c r="N1220" i="1" s="1" a="1"/>
  <c r="N1220" i="1" s="1"/>
  <c r="J1220" i="1" a="1"/>
  <c r="J1220" i="1" s="1"/>
  <c r="I1220" i="1" a="1"/>
  <c r="I1220" i="1"/>
  <c r="F1220" i="1" a="1"/>
  <c r="F1220" i="1" s="1"/>
  <c r="E1220" i="1" a="1"/>
  <c r="E1220" i="1" s="1"/>
  <c r="N1219" i="1" a="1"/>
  <c r="N1219" i="1" s="1"/>
  <c r="L1219" i="1" a="1"/>
  <c r="L1219" i="1"/>
  <c r="O1219" i="1" s="1" a="1"/>
  <c r="O1219" i="1" s="1"/>
  <c r="J1219" i="1" a="1"/>
  <c r="J1219" i="1" s="1"/>
  <c r="I1219" i="1" a="1"/>
  <c r="I1219" i="1" s="1"/>
  <c r="K1219" i="1" s="1" a="1"/>
  <c r="K1219" i="1" s="1"/>
  <c r="F1219" i="1" a="1"/>
  <c r="F1219" i="1" s="1"/>
  <c r="E1219" i="1" a="1"/>
  <c r="E1219" i="1" s="1"/>
  <c r="L1218" i="1" a="1"/>
  <c r="L1218" i="1" s="1"/>
  <c r="K1218" i="1" a="1"/>
  <c r="K1218" i="1" s="1"/>
  <c r="N1218" i="1" s="1" a="1"/>
  <c r="N1218" i="1" s="1"/>
  <c r="J1218" i="1" a="1"/>
  <c r="J1218" i="1" s="1"/>
  <c r="I1218" i="1" a="1"/>
  <c r="I1218" i="1"/>
  <c r="F1218" i="1" a="1"/>
  <c r="F1218" i="1" s="1"/>
  <c r="E1218" i="1" a="1"/>
  <c r="E1218" i="1" s="1"/>
  <c r="L1217" i="1" a="1"/>
  <c r="L1217" i="1"/>
  <c r="J1217" i="1" a="1"/>
  <c r="J1217" i="1" s="1"/>
  <c r="I1217" i="1" a="1"/>
  <c r="I1217" i="1" s="1"/>
  <c r="K1217" i="1" s="1" a="1"/>
  <c r="K1217" i="1" s="1"/>
  <c r="N1217" i="1" s="1" a="1"/>
  <c r="N1217" i="1" s="1"/>
  <c r="F1217" i="1" a="1"/>
  <c r="F1217" i="1" s="1"/>
  <c r="E1217" i="1" a="1"/>
  <c r="E1217" i="1" s="1"/>
  <c r="L1216" i="1" a="1"/>
  <c r="L1216" i="1" s="1"/>
  <c r="O1216" i="1" s="1" a="1"/>
  <c r="O1216" i="1" s="1"/>
  <c r="K1216" i="1" a="1"/>
  <c r="K1216" i="1" s="1"/>
  <c r="N1216" i="1" s="1" a="1"/>
  <c r="N1216" i="1" s="1"/>
  <c r="J1216" i="1" a="1"/>
  <c r="J1216" i="1" s="1"/>
  <c r="I1216" i="1" a="1"/>
  <c r="I1216" i="1"/>
  <c r="F1216" i="1" a="1"/>
  <c r="F1216" i="1" s="1"/>
  <c r="E1216" i="1" a="1"/>
  <c r="E1216" i="1" s="1"/>
  <c r="L1215" i="1" a="1"/>
  <c r="L1215" i="1"/>
  <c r="J1215" i="1" a="1"/>
  <c r="J1215" i="1" s="1"/>
  <c r="I1215" i="1" a="1"/>
  <c r="I1215" i="1" s="1"/>
  <c r="K1215" i="1" s="1" a="1"/>
  <c r="K1215" i="1" s="1"/>
  <c r="N1215" i="1" s="1" a="1"/>
  <c r="N1215" i="1" s="1"/>
  <c r="F1215" i="1" a="1"/>
  <c r="F1215" i="1" s="1"/>
  <c r="E1215" i="1" a="1"/>
  <c r="E1215" i="1" s="1"/>
  <c r="L1214" i="1" a="1"/>
  <c r="L1214" i="1" s="1"/>
  <c r="O1214" i="1" s="1" a="1"/>
  <c r="O1214" i="1" s="1"/>
  <c r="K1214" i="1" a="1"/>
  <c r="K1214" i="1" s="1"/>
  <c r="N1214" i="1" s="1" a="1"/>
  <c r="N1214" i="1" s="1"/>
  <c r="J1214" i="1" a="1"/>
  <c r="J1214" i="1" s="1"/>
  <c r="I1214" i="1" a="1"/>
  <c r="I1214" i="1"/>
  <c r="F1214" i="1" a="1"/>
  <c r="F1214" i="1" s="1"/>
  <c r="E1214" i="1" a="1"/>
  <c r="E1214" i="1" s="1"/>
  <c r="N1213" i="1" a="1"/>
  <c r="N1213" i="1" s="1"/>
  <c r="L1213" i="1" a="1"/>
  <c r="L1213" i="1"/>
  <c r="J1213" i="1" a="1"/>
  <c r="J1213" i="1" s="1"/>
  <c r="I1213" i="1" a="1"/>
  <c r="I1213" i="1" s="1"/>
  <c r="K1213" i="1" s="1" a="1"/>
  <c r="K1213" i="1" s="1"/>
  <c r="F1213" i="1" a="1"/>
  <c r="F1213" i="1" s="1"/>
  <c r="E1213" i="1" a="1"/>
  <c r="E1213" i="1" s="1"/>
  <c r="L1212" i="1" a="1"/>
  <c r="L1212" i="1" s="1"/>
  <c r="K1212" i="1" a="1"/>
  <c r="K1212" i="1" s="1"/>
  <c r="N1212" i="1" s="1" a="1"/>
  <c r="N1212" i="1" s="1"/>
  <c r="J1212" i="1" a="1"/>
  <c r="J1212" i="1" s="1"/>
  <c r="I1212" i="1" a="1"/>
  <c r="I1212" i="1" s="1"/>
  <c r="F1212" i="1" a="1"/>
  <c r="F1212" i="1" s="1"/>
  <c r="E1212" i="1" a="1"/>
  <c r="E1212" i="1" s="1"/>
  <c r="L1211" i="1" a="1"/>
  <c r="L1211" i="1" s="1"/>
  <c r="J1211" i="1" a="1"/>
  <c r="J1211" i="1" s="1"/>
  <c r="I1211" i="1" a="1"/>
  <c r="I1211" i="1" s="1"/>
  <c r="K1211" i="1" s="1" a="1"/>
  <c r="K1211" i="1" s="1"/>
  <c r="N1211" i="1" s="1" a="1"/>
  <c r="N1211" i="1" s="1"/>
  <c r="F1211" i="1" a="1"/>
  <c r="F1211" i="1" s="1"/>
  <c r="E1211" i="1" a="1"/>
  <c r="E1211" i="1" s="1"/>
  <c r="L1210" i="1" a="1"/>
  <c r="L1210" i="1" s="1"/>
  <c r="J1210" i="1" a="1"/>
  <c r="J1210" i="1" s="1"/>
  <c r="I1210" i="1" a="1"/>
  <c r="I1210" i="1" s="1"/>
  <c r="K1210" i="1" s="1" a="1"/>
  <c r="K1210" i="1" s="1"/>
  <c r="N1210" i="1" s="1" a="1"/>
  <c r="N1210" i="1" s="1"/>
  <c r="F1210" i="1" a="1"/>
  <c r="F1210" i="1" s="1"/>
  <c r="E1210" i="1" a="1"/>
  <c r="E1210" i="1" s="1"/>
  <c r="N1209" i="1" a="1"/>
  <c r="N1209" i="1" s="1"/>
  <c r="L1209" i="1" a="1"/>
  <c r="L1209" i="1" s="1"/>
  <c r="J1209" i="1" a="1"/>
  <c r="J1209" i="1" s="1"/>
  <c r="I1209" i="1" a="1"/>
  <c r="I1209" i="1" s="1"/>
  <c r="K1209" i="1" s="1" a="1"/>
  <c r="K1209" i="1" s="1"/>
  <c r="F1209" i="1" a="1"/>
  <c r="F1209" i="1" s="1"/>
  <c r="E1209" i="1" a="1"/>
  <c r="E1209" i="1" s="1"/>
  <c r="L1208" i="1" a="1"/>
  <c r="L1208" i="1" s="1"/>
  <c r="K1208" i="1" a="1"/>
  <c r="K1208" i="1" s="1"/>
  <c r="N1208" i="1" s="1" a="1"/>
  <c r="N1208" i="1" s="1"/>
  <c r="J1208" i="1" a="1"/>
  <c r="J1208" i="1" s="1"/>
  <c r="I1208" i="1" a="1"/>
  <c r="I1208" i="1" s="1"/>
  <c r="F1208" i="1" a="1"/>
  <c r="F1208" i="1" s="1"/>
  <c r="E1208" i="1" a="1"/>
  <c r="E1208" i="1" s="1"/>
  <c r="L1207" i="1" a="1"/>
  <c r="L1207" i="1" s="1"/>
  <c r="J1207" i="1" a="1"/>
  <c r="J1207" i="1" s="1"/>
  <c r="I1207" i="1" a="1"/>
  <c r="I1207" i="1" s="1"/>
  <c r="K1207" i="1" s="1" a="1"/>
  <c r="K1207" i="1" s="1"/>
  <c r="N1207" i="1" s="1" a="1"/>
  <c r="N1207" i="1" s="1"/>
  <c r="F1207" i="1" a="1"/>
  <c r="F1207" i="1" s="1"/>
  <c r="E1207" i="1" a="1"/>
  <c r="E1207" i="1" s="1"/>
  <c r="L1206" i="1" a="1"/>
  <c r="L1206" i="1" s="1"/>
  <c r="J1206" i="1" a="1"/>
  <c r="J1206" i="1" s="1"/>
  <c r="I1206" i="1" a="1"/>
  <c r="I1206" i="1" s="1"/>
  <c r="K1206" i="1" s="1" a="1"/>
  <c r="K1206" i="1" s="1"/>
  <c r="N1206" i="1" s="1" a="1"/>
  <c r="N1206" i="1" s="1"/>
  <c r="F1206" i="1" a="1"/>
  <c r="F1206" i="1" s="1"/>
  <c r="E1206" i="1" a="1"/>
  <c r="E1206" i="1" s="1"/>
  <c r="N1205" i="1" a="1"/>
  <c r="N1205" i="1" s="1"/>
  <c r="L1205" i="1" a="1"/>
  <c r="L1205" i="1" s="1"/>
  <c r="J1205" i="1" a="1"/>
  <c r="J1205" i="1" s="1"/>
  <c r="I1205" i="1" a="1"/>
  <c r="I1205" i="1" s="1"/>
  <c r="K1205" i="1" s="1" a="1"/>
  <c r="K1205" i="1" s="1"/>
  <c r="F1205" i="1" a="1"/>
  <c r="F1205" i="1" s="1"/>
  <c r="E1205" i="1" a="1"/>
  <c r="E1205" i="1" s="1"/>
  <c r="L1204" i="1" a="1"/>
  <c r="L1204" i="1" s="1"/>
  <c r="K1204" i="1" a="1"/>
  <c r="K1204" i="1" s="1"/>
  <c r="N1204" i="1" s="1" a="1"/>
  <c r="N1204" i="1" s="1"/>
  <c r="J1204" i="1" a="1"/>
  <c r="J1204" i="1" s="1"/>
  <c r="I1204" i="1" a="1"/>
  <c r="I1204" i="1" s="1"/>
  <c r="F1204" i="1" a="1"/>
  <c r="F1204" i="1" s="1"/>
  <c r="E1204" i="1" a="1"/>
  <c r="E1204" i="1" s="1"/>
  <c r="L1203" i="1" a="1"/>
  <c r="L1203" i="1" s="1"/>
  <c r="J1203" i="1" a="1"/>
  <c r="J1203" i="1" s="1"/>
  <c r="I1203" i="1" a="1"/>
  <c r="I1203" i="1" s="1"/>
  <c r="K1203" i="1" s="1" a="1"/>
  <c r="K1203" i="1" s="1"/>
  <c r="N1203" i="1" s="1" a="1"/>
  <c r="N1203" i="1" s="1"/>
  <c r="F1203" i="1" a="1"/>
  <c r="F1203" i="1" s="1"/>
  <c r="E1203" i="1" a="1"/>
  <c r="E1203" i="1" s="1"/>
  <c r="L1202" i="1" a="1"/>
  <c r="L1202" i="1" s="1"/>
  <c r="J1202" i="1" a="1"/>
  <c r="J1202" i="1" s="1"/>
  <c r="I1202" i="1" a="1"/>
  <c r="I1202" i="1" s="1"/>
  <c r="K1202" i="1" s="1" a="1"/>
  <c r="K1202" i="1" s="1"/>
  <c r="N1202" i="1" s="1" a="1"/>
  <c r="N1202" i="1" s="1"/>
  <c r="F1202" i="1" a="1"/>
  <c r="F1202" i="1" s="1"/>
  <c r="E1202" i="1" a="1"/>
  <c r="E1202" i="1" s="1"/>
  <c r="N1201" i="1" a="1"/>
  <c r="N1201" i="1" s="1"/>
  <c r="L1201" i="1" a="1"/>
  <c r="L1201" i="1" s="1"/>
  <c r="J1201" i="1" a="1"/>
  <c r="J1201" i="1" s="1"/>
  <c r="I1201" i="1" a="1"/>
  <c r="I1201" i="1" s="1"/>
  <c r="K1201" i="1" s="1" a="1"/>
  <c r="K1201" i="1" s="1"/>
  <c r="F1201" i="1" a="1"/>
  <c r="F1201" i="1" s="1"/>
  <c r="E1201" i="1" a="1"/>
  <c r="E1201" i="1" s="1"/>
  <c r="L1200" i="1" a="1"/>
  <c r="L1200" i="1" s="1"/>
  <c r="K1200" i="1" a="1"/>
  <c r="K1200" i="1" s="1"/>
  <c r="N1200" i="1" s="1" a="1"/>
  <c r="N1200" i="1" s="1"/>
  <c r="J1200" i="1" a="1"/>
  <c r="J1200" i="1" s="1"/>
  <c r="I1200" i="1" a="1"/>
  <c r="I1200" i="1" s="1"/>
  <c r="F1200" i="1" a="1"/>
  <c r="F1200" i="1" s="1"/>
  <c r="E1200" i="1" a="1"/>
  <c r="E1200" i="1" s="1"/>
  <c r="L1199" i="1" a="1"/>
  <c r="L1199" i="1" s="1"/>
  <c r="J1199" i="1" a="1"/>
  <c r="J1199" i="1" s="1"/>
  <c r="I1199" i="1" a="1"/>
  <c r="I1199" i="1" s="1"/>
  <c r="K1199" i="1" s="1" a="1"/>
  <c r="K1199" i="1" s="1"/>
  <c r="N1199" i="1" s="1" a="1"/>
  <c r="N1199" i="1" s="1"/>
  <c r="F1199" i="1" a="1"/>
  <c r="F1199" i="1" s="1"/>
  <c r="E1199" i="1" a="1"/>
  <c r="E1199" i="1" s="1"/>
  <c r="L1198" i="1" a="1"/>
  <c r="L1198" i="1" s="1"/>
  <c r="J1198" i="1" a="1"/>
  <c r="J1198" i="1" s="1"/>
  <c r="I1198" i="1" a="1"/>
  <c r="I1198" i="1" s="1"/>
  <c r="K1198" i="1" s="1" a="1"/>
  <c r="K1198" i="1" s="1"/>
  <c r="N1198" i="1" s="1" a="1"/>
  <c r="N1198" i="1" s="1"/>
  <c r="F1198" i="1" a="1"/>
  <c r="F1198" i="1" s="1"/>
  <c r="E1198" i="1" a="1"/>
  <c r="E1198" i="1" s="1"/>
  <c r="N1197" i="1" a="1"/>
  <c r="N1197" i="1" s="1"/>
  <c r="L1197" i="1" a="1"/>
  <c r="L1197" i="1" s="1"/>
  <c r="J1197" i="1" a="1"/>
  <c r="J1197" i="1" s="1"/>
  <c r="I1197" i="1" a="1"/>
  <c r="I1197" i="1" s="1"/>
  <c r="K1197" i="1" s="1" a="1"/>
  <c r="K1197" i="1" s="1"/>
  <c r="F1197" i="1" a="1"/>
  <c r="F1197" i="1" s="1"/>
  <c r="E1197" i="1" a="1"/>
  <c r="E1197" i="1" s="1"/>
  <c r="L1196" i="1" a="1"/>
  <c r="L1196" i="1" s="1"/>
  <c r="K1196" i="1" a="1"/>
  <c r="K1196" i="1" s="1"/>
  <c r="N1196" i="1" s="1" a="1"/>
  <c r="N1196" i="1" s="1"/>
  <c r="J1196" i="1" a="1"/>
  <c r="J1196" i="1" s="1"/>
  <c r="I1196" i="1" a="1"/>
  <c r="I1196" i="1" s="1"/>
  <c r="F1196" i="1" a="1"/>
  <c r="F1196" i="1" s="1"/>
  <c r="E1196" i="1" a="1"/>
  <c r="E1196" i="1" s="1"/>
  <c r="L1195" i="1" a="1"/>
  <c r="L1195" i="1" s="1"/>
  <c r="J1195" i="1" a="1"/>
  <c r="J1195" i="1" s="1"/>
  <c r="I1195" i="1" a="1"/>
  <c r="I1195" i="1" s="1"/>
  <c r="K1195" i="1" s="1" a="1"/>
  <c r="K1195" i="1" s="1"/>
  <c r="N1195" i="1" s="1" a="1"/>
  <c r="N1195" i="1" s="1"/>
  <c r="F1195" i="1" a="1"/>
  <c r="F1195" i="1" s="1"/>
  <c r="E1195" i="1" a="1"/>
  <c r="E1195" i="1" s="1"/>
  <c r="L1194" i="1" a="1"/>
  <c r="L1194" i="1" s="1"/>
  <c r="J1194" i="1" a="1"/>
  <c r="J1194" i="1" s="1"/>
  <c r="I1194" i="1" a="1"/>
  <c r="I1194" i="1" s="1"/>
  <c r="K1194" i="1" s="1" a="1"/>
  <c r="K1194" i="1" s="1"/>
  <c r="N1194" i="1" s="1" a="1"/>
  <c r="N1194" i="1" s="1"/>
  <c r="F1194" i="1" a="1"/>
  <c r="F1194" i="1" s="1"/>
  <c r="E1194" i="1" a="1"/>
  <c r="E1194" i="1" s="1"/>
  <c r="N1193" i="1" a="1"/>
  <c r="N1193" i="1" s="1"/>
  <c r="L1193" i="1" a="1"/>
  <c r="L1193" i="1" s="1"/>
  <c r="J1193" i="1" a="1"/>
  <c r="J1193" i="1" s="1"/>
  <c r="I1193" i="1" a="1"/>
  <c r="I1193" i="1" s="1"/>
  <c r="K1193" i="1" s="1" a="1"/>
  <c r="K1193" i="1" s="1"/>
  <c r="F1193" i="1" a="1"/>
  <c r="F1193" i="1" s="1"/>
  <c r="E1193" i="1" a="1"/>
  <c r="E1193" i="1" s="1"/>
  <c r="L1192" i="1" a="1"/>
  <c r="L1192" i="1" s="1"/>
  <c r="K1192" i="1" a="1"/>
  <c r="K1192" i="1" s="1"/>
  <c r="N1192" i="1" s="1" a="1"/>
  <c r="N1192" i="1" s="1"/>
  <c r="J1192" i="1" a="1"/>
  <c r="J1192" i="1" s="1"/>
  <c r="I1192" i="1" a="1"/>
  <c r="I1192" i="1" s="1"/>
  <c r="F1192" i="1" a="1"/>
  <c r="F1192" i="1" s="1"/>
  <c r="E1192" i="1" a="1"/>
  <c r="E1192" i="1" s="1"/>
  <c r="L1191" i="1" a="1"/>
  <c r="L1191" i="1" s="1"/>
  <c r="J1191" i="1" a="1"/>
  <c r="J1191" i="1" s="1"/>
  <c r="I1191" i="1" a="1"/>
  <c r="I1191" i="1" s="1"/>
  <c r="K1191" i="1" s="1" a="1"/>
  <c r="K1191" i="1" s="1"/>
  <c r="N1191" i="1" s="1" a="1"/>
  <c r="N1191" i="1" s="1"/>
  <c r="F1191" i="1" a="1"/>
  <c r="F1191" i="1" s="1"/>
  <c r="E1191" i="1" a="1"/>
  <c r="E1191" i="1" s="1"/>
  <c r="L1190" i="1" a="1"/>
  <c r="L1190" i="1" s="1"/>
  <c r="J1190" i="1" a="1"/>
  <c r="J1190" i="1" s="1"/>
  <c r="I1190" i="1" a="1"/>
  <c r="I1190" i="1" s="1"/>
  <c r="K1190" i="1" s="1" a="1"/>
  <c r="K1190" i="1" s="1"/>
  <c r="N1190" i="1" s="1" a="1"/>
  <c r="N1190" i="1" s="1"/>
  <c r="F1190" i="1" a="1"/>
  <c r="F1190" i="1" s="1"/>
  <c r="E1190" i="1" a="1"/>
  <c r="E1190" i="1" s="1"/>
  <c r="N1189" i="1" a="1"/>
  <c r="N1189" i="1" s="1"/>
  <c r="L1189" i="1" a="1"/>
  <c r="L1189" i="1" s="1"/>
  <c r="J1189" i="1" a="1"/>
  <c r="J1189" i="1" s="1"/>
  <c r="I1189" i="1" a="1"/>
  <c r="I1189" i="1" s="1"/>
  <c r="K1189" i="1" s="1" a="1"/>
  <c r="K1189" i="1" s="1"/>
  <c r="F1189" i="1" a="1"/>
  <c r="F1189" i="1" s="1"/>
  <c r="E1189" i="1" a="1"/>
  <c r="E1189" i="1" s="1"/>
  <c r="L1188" i="1" a="1"/>
  <c r="L1188" i="1"/>
  <c r="J1188" i="1" a="1"/>
  <c r="J1188" i="1" s="1"/>
  <c r="I1188" i="1" a="1"/>
  <c r="I1188" i="1" s="1"/>
  <c r="F1188" i="1" a="1"/>
  <c r="F1188" i="1" s="1"/>
  <c r="E1188" i="1" a="1"/>
  <c r="E1188" i="1" s="1"/>
  <c r="L1187" i="1" a="1"/>
  <c r="L1187" i="1" s="1"/>
  <c r="J1187" i="1" a="1"/>
  <c r="J1187" i="1" s="1"/>
  <c r="K1187" i="1" s="1" a="1"/>
  <c r="K1187" i="1" s="1"/>
  <c r="N1187" i="1" s="1" a="1"/>
  <c r="N1187" i="1" s="1"/>
  <c r="I1187" i="1" a="1"/>
  <c r="I1187" i="1" s="1"/>
  <c r="F1187" i="1" a="1"/>
  <c r="F1187" i="1" s="1"/>
  <c r="E1187" i="1" a="1"/>
  <c r="E1187" i="1" s="1"/>
  <c r="L1186" i="1" a="1"/>
  <c r="L1186" i="1" s="1"/>
  <c r="J1186" i="1" a="1"/>
  <c r="J1186" i="1" s="1"/>
  <c r="K1186" i="1" s="1" a="1"/>
  <c r="K1186" i="1" s="1"/>
  <c r="N1186" i="1" s="1" a="1"/>
  <c r="N1186" i="1" s="1"/>
  <c r="I1186" i="1" a="1"/>
  <c r="I1186" i="1" s="1"/>
  <c r="F1186" i="1" a="1"/>
  <c r="F1186" i="1" s="1"/>
  <c r="E1186" i="1" a="1"/>
  <c r="E1186" i="1" s="1"/>
  <c r="L1185" i="1" a="1"/>
  <c r="L1185" i="1" s="1"/>
  <c r="J1185" i="1" a="1"/>
  <c r="J1185" i="1" s="1"/>
  <c r="I1185" i="1" a="1"/>
  <c r="I1185" i="1" s="1"/>
  <c r="K1185" i="1" s="1" a="1"/>
  <c r="K1185" i="1" s="1"/>
  <c r="N1185" i="1" s="1" a="1"/>
  <c r="N1185" i="1" s="1"/>
  <c r="F1185" i="1" a="1"/>
  <c r="F1185" i="1" s="1"/>
  <c r="E1185" i="1" a="1"/>
  <c r="E1185" i="1" s="1"/>
  <c r="L1184" i="1" a="1"/>
  <c r="L1184" i="1" s="1"/>
  <c r="K1184" i="1" a="1"/>
  <c r="K1184" i="1" s="1"/>
  <c r="N1184" i="1" s="1" a="1"/>
  <c r="N1184" i="1" s="1"/>
  <c r="J1184" i="1" a="1"/>
  <c r="J1184" i="1" s="1"/>
  <c r="I1184" i="1" a="1"/>
  <c r="I1184" i="1" s="1"/>
  <c r="F1184" i="1" a="1"/>
  <c r="F1184" i="1" s="1"/>
  <c r="E1184" i="1" a="1"/>
  <c r="E1184" i="1" s="1"/>
  <c r="L1183" i="1" a="1"/>
  <c r="L1183" i="1" s="1"/>
  <c r="J1183" i="1" a="1"/>
  <c r="J1183" i="1" s="1"/>
  <c r="K1183" i="1" s="1" a="1"/>
  <c r="K1183" i="1" s="1"/>
  <c r="N1183" i="1" s="1" a="1"/>
  <c r="N1183" i="1" s="1"/>
  <c r="I1183" i="1" a="1"/>
  <c r="I1183" i="1" s="1"/>
  <c r="F1183" i="1" a="1"/>
  <c r="F1183" i="1" s="1"/>
  <c r="E1183" i="1" a="1"/>
  <c r="E1183" i="1" s="1"/>
  <c r="L1182" i="1" a="1"/>
  <c r="L1182" i="1" s="1"/>
  <c r="O1182" i="1" s="1" a="1"/>
  <c r="O1182" i="1" s="1"/>
  <c r="J1182" i="1" a="1"/>
  <c r="J1182" i="1" s="1"/>
  <c r="I1182" i="1" a="1"/>
  <c r="I1182" i="1" s="1"/>
  <c r="K1182" i="1" s="1" a="1"/>
  <c r="K1182" i="1" s="1"/>
  <c r="N1182" i="1" s="1" a="1"/>
  <c r="N1182" i="1" s="1"/>
  <c r="F1182" i="1" a="1"/>
  <c r="F1182" i="1" s="1"/>
  <c r="E1182" i="1" a="1"/>
  <c r="E1182" i="1" s="1"/>
  <c r="L1181" i="1" a="1"/>
  <c r="L1181" i="1" s="1"/>
  <c r="K1181" i="1" a="1"/>
  <c r="K1181" i="1" s="1"/>
  <c r="N1181" i="1" s="1" a="1"/>
  <c r="N1181" i="1" s="1"/>
  <c r="J1181" i="1" a="1"/>
  <c r="J1181" i="1" s="1"/>
  <c r="I1181" i="1" a="1"/>
  <c r="I1181" i="1" s="1"/>
  <c r="F1181" i="1" a="1"/>
  <c r="F1181" i="1" s="1"/>
  <c r="E1181" i="1" a="1"/>
  <c r="E1181" i="1" s="1"/>
  <c r="L1180" i="1" a="1"/>
  <c r="L1180" i="1" s="1"/>
  <c r="J1180" i="1" a="1"/>
  <c r="J1180" i="1" s="1"/>
  <c r="K1180" i="1" s="1" a="1"/>
  <c r="K1180" i="1" s="1"/>
  <c r="N1180" i="1" s="1" a="1"/>
  <c r="N1180" i="1" s="1"/>
  <c r="I1180" i="1" a="1"/>
  <c r="I1180" i="1" s="1"/>
  <c r="F1180" i="1" a="1"/>
  <c r="F1180" i="1" s="1"/>
  <c r="E1180" i="1" a="1"/>
  <c r="E1180" i="1" s="1"/>
  <c r="L1179" i="1" a="1"/>
  <c r="L1179" i="1" s="1"/>
  <c r="J1179" i="1" a="1"/>
  <c r="J1179" i="1" s="1"/>
  <c r="I1179" i="1" a="1"/>
  <c r="I1179" i="1" s="1"/>
  <c r="F1179" i="1" a="1"/>
  <c r="F1179" i="1" s="1"/>
  <c r="E1179" i="1" a="1"/>
  <c r="E1179" i="1" s="1"/>
  <c r="L1178" i="1" a="1"/>
  <c r="L1178" i="1" s="1"/>
  <c r="J1178" i="1" a="1"/>
  <c r="J1178" i="1" s="1"/>
  <c r="K1178" i="1" s="1" a="1"/>
  <c r="K1178" i="1" s="1"/>
  <c r="N1178" i="1" s="1" a="1"/>
  <c r="N1178" i="1" s="1"/>
  <c r="I1178" i="1" a="1"/>
  <c r="I1178" i="1" s="1"/>
  <c r="F1178" i="1" a="1"/>
  <c r="F1178" i="1" s="1"/>
  <c r="E1178" i="1" a="1"/>
  <c r="E1178" i="1" s="1"/>
  <c r="L1177" i="1" a="1"/>
  <c r="L1177" i="1" s="1"/>
  <c r="J1177" i="1" a="1"/>
  <c r="J1177" i="1" s="1"/>
  <c r="I1177" i="1" a="1"/>
  <c r="I1177" i="1" s="1"/>
  <c r="K1177" i="1" s="1" a="1"/>
  <c r="K1177" i="1" s="1"/>
  <c r="N1177" i="1" s="1" a="1"/>
  <c r="N1177" i="1" s="1"/>
  <c r="F1177" i="1" a="1"/>
  <c r="F1177" i="1" s="1"/>
  <c r="E1177" i="1" a="1"/>
  <c r="E1177" i="1" s="1"/>
  <c r="L1176" i="1" a="1"/>
  <c r="L1176" i="1" s="1"/>
  <c r="K1176" i="1" a="1"/>
  <c r="K1176" i="1" s="1"/>
  <c r="N1176" i="1" s="1" a="1"/>
  <c r="N1176" i="1" s="1"/>
  <c r="J1176" i="1" a="1"/>
  <c r="J1176" i="1" s="1"/>
  <c r="I1176" i="1" a="1"/>
  <c r="I1176" i="1" s="1"/>
  <c r="F1176" i="1" a="1"/>
  <c r="F1176" i="1" s="1"/>
  <c r="E1176" i="1" a="1"/>
  <c r="E1176" i="1" s="1"/>
  <c r="O1175" i="1" a="1"/>
  <c r="O1175" i="1" s="1"/>
  <c r="L1175" i="1" a="1"/>
  <c r="L1175" i="1" s="1"/>
  <c r="K1175" i="1" a="1"/>
  <c r="K1175" i="1" s="1"/>
  <c r="N1175" i="1" s="1" a="1"/>
  <c r="N1175" i="1" s="1"/>
  <c r="J1175" i="1" a="1"/>
  <c r="J1175" i="1" s="1"/>
  <c r="I1175" i="1" a="1"/>
  <c r="I1175" i="1" s="1"/>
  <c r="F1175" i="1" a="1"/>
  <c r="F1175" i="1" s="1"/>
  <c r="E1175" i="1" a="1"/>
  <c r="E1175" i="1" s="1"/>
  <c r="O1174" i="1" a="1"/>
  <c r="O1174" i="1" s="1"/>
  <c r="L1174" i="1" a="1"/>
  <c r="L1174" i="1" s="1"/>
  <c r="K1174" i="1" a="1"/>
  <c r="K1174" i="1" s="1"/>
  <c r="N1174" i="1" s="1" a="1"/>
  <c r="N1174" i="1" s="1"/>
  <c r="J1174" i="1" a="1"/>
  <c r="J1174" i="1" s="1"/>
  <c r="I1174" i="1" a="1"/>
  <c r="I1174" i="1" s="1"/>
  <c r="F1174" i="1" a="1"/>
  <c r="F1174" i="1" s="1"/>
  <c r="E1174" i="1" a="1"/>
  <c r="E1174" i="1" s="1"/>
  <c r="O1173" i="1" a="1"/>
  <c r="O1173" i="1" s="1"/>
  <c r="L1173" i="1" a="1"/>
  <c r="L1173" i="1" s="1"/>
  <c r="K1173" i="1" a="1"/>
  <c r="K1173" i="1" s="1"/>
  <c r="N1173" i="1" s="1" a="1"/>
  <c r="N1173" i="1" s="1"/>
  <c r="J1173" i="1" a="1"/>
  <c r="J1173" i="1" s="1"/>
  <c r="I1173" i="1" a="1"/>
  <c r="I1173" i="1" s="1"/>
  <c r="F1173" i="1" a="1"/>
  <c r="F1173" i="1" s="1"/>
  <c r="E1173" i="1" a="1"/>
  <c r="E1173" i="1" s="1"/>
  <c r="O1172" i="1" a="1"/>
  <c r="O1172" i="1" s="1"/>
  <c r="L1172" i="1" a="1"/>
  <c r="L1172" i="1" s="1"/>
  <c r="K1172" i="1" a="1"/>
  <c r="K1172" i="1" s="1"/>
  <c r="N1172" i="1" s="1" a="1"/>
  <c r="N1172" i="1" s="1"/>
  <c r="J1172" i="1" a="1"/>
  <c r="J1172" i="1" s="1"/>
  <c r="I1172" i="1" a="1"/>
  <c r="I1172" i="1" s="1"/>
  <c r="F1172" i="1" a="1"/>
  <c r="F1172" i="1" s="1"/>
  <c r="E1172" i="1" a="1"/>
  <c r="E1172" i="1" s="1"/>
  <c r="O1171" i="1" a="1"/>
  <c r="O1171" i="1" s="1"/>
  <c r="L1171" i="1" a="1"/>
  <c r="L1171" i="1" s="1"/>
  <c r="K1171" i="1" a="1"/>
  <c r="K1171" i="1" s="1"/>
  <c r="N1171" i="1" s="1" a="1"/>
  <c r="N1171" i="1" s="1"/>
  <c r="J1171" i="1" a="1"/>
  <c r="J1171" i="1" s="1"/>
  <c r="I1171" i="1" a="1"/>
  <c r="I1171" i="1" s="1"/>
  <c r="F1171" i="1" a="1"/>
  <c r="F1171" i="1" s="1"/>
  <c r="E1171" i="1" a="1"/>
  <c r="E1171" i="1" s="1"/>
  <c r="O1170" i="1" a="1"/>
  <c r="O1170" i="1" s="1"/>
  <c r="L1170" i="1" a="1"/>
  <c r="L1170" i="1" s="1"/>
  <c r="K1170" i="1" a="1"/>
  <c r="K1170" i="1" s="1"/>
  <c r="N1170" i="1" s="1" a="1"/>
  <c r="N1170" i="1" s="1"/>
  <c r="J1170" i="1" a="1"/>
  <c r="J1170" i="1" s="1"/>
  <c r="I1170" i="1" a="1"/>
  <c r="I1170" i="1" s="1"/>
  <c r="F1170" i="1" a="1"/>
  <c r="F1170" i="1" s="1"/>
  <c r="E1170" i="1" a="1"/>
  <c r="E1170" i="1" s="1"/>
  <c r="O1169" i="1" a="1"/>
  <c r="O1169" i="1" s="1"/>
  <c r="L1169" i="1" a="1"/>
  <c r="L1169" i="1" s="1"/>
  <c r="K1169" i="1" a="1"/>
  <c r="K1169" i="1" s="1"/>
  <c r="N1169" i="1" s="1" a="1"/>
  <c r="N1169" i="1" s="1"/>
  <c r="J1169" i="1" a="1"/>
  <c r="J1169" i="1" s="1"/>
  <c r="I1169" i="1" a="1"/>
  <c r="I1169" i="1" s="1"/>
  <c r="F1169" i="1" a="1"/>
  <c r="F1169" i="1" s="1"/>
  <c r="E1169" i="1" a="1"/>
  <c r="E1169" i="1" s="1"/>
  <c r="O1168" i="1" a="1"/>
  <c r="O1168" i="1" s="1"/>
  <c r="L1168" i="1" a="1"/>
  <c r="L1168" i="1" s="1"/>
  <c r="K1168" i="1" a="1"/>
  <c r="K1168" i="1" s="1"/>
  <c r="N1168" i="1" s="1" a="1"/>
  <c r="N1168" i="1" s="1"/>
  <c r="J1168" i="1" a="1"/>
  <c r="J1168" i="1" s="1"/>
  <c r="I1168" i="1" a="1"/>
  <c r="I1168" i="1" s="1"/>
  <c r="F1168" i="1" a="1"/>
  <c r="F1168" i="1" s="1"/>
  <c r="E1168" i="1" a="1"/>
  <c r="E1168" i="1" s="1"/>
  <c r="O1167" i="1" a="1"/>
  <c r="O1167" i="1" s="1"/>
  <c r="L1167" i="1" a="1"/>
  <c r="L1167" i="1" s="1"/>
  <c r="K1167" i="1" a="1"/>
  <c r="K1167" i="1" s="1"/>
  <c r="N1167" i="1" s="1" a="1"/>
  <c r="N1167" i="1" s="1"/>
  <c r="J1167" i="1" a="1"/>
  <c r="J1167" i="1" s="1"/>
  <c r="I1167" i="1" a="1"/>
  <c r="I1167" i="1" s="1"/>
  <c r="F1167" i="1" a="1"/>
  <c r="F1167" i="1" s="1"/>
  <c r="E1167" i="1" a="1"/>
  <c r="E1167" i="1" s="1"/>
  <c r="O1166" i="1" a="1"/>
  <c r="O1166" i="1" s="1"/>
  <c r="L1166" i="1" a="1"/>
  <c r="L1166" i="1" s="1"/>
  <c r="K1166" i="1" a="1"/>
  <c r="K1166" i="1" s="1"/>
  <c r="N1166" i="1" s="1" a="1"/>
  <c r="N1166" i="1" s="1"/>
  <c r="J1166" i="1" a="1"/>
  <c r="J1166" i="1" s="1"/>
  <c r="I1166" i="1" a="1"/>
  <c r="I1166" i="1" s="1"/>
  <c r="F1166" i="1" a="1"/>
  <c r="F1166" i="1" s="1"/>
  <c r="E1166" i="1" a="1"/>
  <c r="E1166" i="1" s="1"/>
  <c r="O1165" i="1" a="1"/>
  <c r="O1165" i="1" s="1"/>
  <c r="L1165" i="1" a="1"/>
  <c r="L1165" i="1" s="1"/>
  <c r="K1165" i="1" a="1"/>
  <c r="K1165" i="1" s="1"/>
  <c r="N1165" i="1" s="1" a="1"/>
  <c r="N1165" i="1" s="1"/>
  <c r="J1165" i="1" a="1"/>
  <c r="J1165" i="1" s="1"/>
  <c r="I1165" i="1" a="1"/>
  <c r="I1165" i="1" s="1"/>
  <c r="F1165" i="1" a="1"/>
  <c r="F1165" i="1" s="1"/>
  <c r="E1165" i="1" a="1"/>
  <c r="E1165" i="1" s="1"/>
  <c r="O1164" i="1" a="1"/>
  <c r="O1164" i="1" s="1"/>
  <c r="L1164" i="1" a="1"/>
  <c r="L1164" i="1" s="1"/>
  <c r="K1164" i="1" a="1"/>
  <c r="K1164" i="1" s="1"/>
  <c r="N1164" i="1" s="1" a="1"/>
  <c r="N1164" i="1" s="1"/>
  <c r="J1164" i="1" a="1"/>
  <c r="J1164" i="1" s="1"/>
  <c r="I1164" i="1" a="1"/>
  <c r="I1164" i="1" s="1"/>
  <c r="F1164" i="1" a="1"/>
  <c r="F1164" i="1" s="1"/>
  <c r="E1164" i="1" a="1"/>
  <c r="E1164" i="1" s="1"/>
  <c r="O1163" i="1" a="1"/>
  <c r="O1163" i="1" s="1"/>
  <c r="L1163" i="1" a="1"/>
  <c r="L1163" i="1" s="1"/>
  <c r="K1163" i="1" a="1"/>
  <c r="K1163" i="1" s="1"/>
  <c r="N1163" i="1" s="1" a="1"/>
  <c r="N1163" i="1" s="1"/>
  <c r="J1163" i="1" a="1"/>
  <c r="J1163" i="1" s="1"/>
  <c r="I1163" i="1" a="1"/>
  <c r="I1163" i="1" s="1"/>
  <c r="F1163" i="1" a="1"/>
  <c r="F1163" i="1" s="1"/>
  <c r="E1163" i="1" a="1"/>
  <c r="E1163" i="1" s="1"/>
  <c r="O1162" i="1" a="1"/>
  <c r="O1162" i="1" s="1"/>
  <c r="L1162" i="1" a="1"/>
  <c r="L1162" i="1" s="1"/>
  <c r="K1162" i="1" a="1"/>
  <c r="K1162" i="1" s="1"/>
  <c r="N1162" i="1" s="1" a="1"/>
  <c r="N1162" i="1" s="1"/>
  <c r="J1162" i="1" a="1"/>
  <c r="J1162" i="1" s="1"/>
  <c r="I1162" i="1" a="1"/>
  <c r="I1162" i="1" s="1"/>
  <c r="F1162" i="1" a="1"/>
  <c r="F1162" i="1" s="1"/>
  <c r="E1162" i="1" a="1"/>
  <c r="E1162" i="1" s="1"/>
  <c r="O1161" i="1" a="1"/>
  <c r="O1161" i="1" s="1"/>
  <c r="L1161" i="1" a="1"/>
  <c r="L1161" i="1" s="1"/>
  <c r="K1161" i="1" a="1"/>
  <c r="K1161" i="1" s="1"/>
  <c r="N1161" i="1" s="1" a="1"/>
  <c r="N1161" i="1" s="1"/>
  <c r="J1161" i="1" a="1"/>
  <c r="J1161" i="1" s="1"/>
  <c r="I1161" i="1" a="1"/>
  <c r="I1161" i="1" s="1"/>
  <c r="F1161" i="1" a="1"/>
  <c r="F1161" i="1" s="1"/>
  <c r="E1161" i="1" a="1"/>
  <c r="E1161" i="1" s="1"/>
  <c r="O1160" i="1" a="1"/>
  <c r="O1160" i="1" s="1"/>
  <c r="L1160" i="1" a="1"/>
  <c r="L1160" i="1" s="1"/>
  <c r="K1160" i="1" a="1"/>
  <c r="K1160" i="1" s="1"/>
  <c r="N1160" i="1" s="1" a="1"/>
  <c r="N1160" i="1" s="1"/>
  <c r="J1160" i="1" a="1"/>
  <c r="J1160" i="1" s="1"/>
  <c r="I1160" i="1" a="1"/>
  <c r="I1160" i="1" s="1"/>
  <c r="F1160" i="1" a="1"/>
  <c r="F1160" i="1" s="1"/>
  <c r="E1160" i="1" a="1"/>
  <c r="E1160" i="1" s="1"/>
  <c r="O1159" i="1" a="1"/>
  <c r="O1159" i="1" s="1"/>
  <c r="L1159" i="1" a="1"/>
  <c r="L1159" i="1" s="1"/>
  <c r="K1159" i="1" a="1"/>
  <c r="K1159" i="1" s="1"/>
  <c r="N1159" i="1" s="1" a="1"/>
  <c r="N1159" i="1" s="1"/>
  <c r="J1159" i="1" a="1"/>
  <c r="J1159" i="1" s="1"/>
  <c r="I1159" i="1" a="1"/>
  <c r="I1159" i="1" s="1"/>
  <c r="F1159" i="1" a="1"/>
  <c r="F1159" i="1" s="1"/>
  <c r="E1159" i="1" a="1"/>
  <c r="E1159" i="1" s="1"/>
  <c r="O1158" i="1" a="1"/>
  <c r="O1158" i="1" s="1"/>
  <c r="L1158" i="1" a="1"/>
  <c r="L1158" i="1" s="1"/>
  <c r="K1158" i="1" a="1"/>
  <c r="K1158" i="1" s="1"/>
  <c r="N1158" i="1" s="1" a="1"/>
  <c r="N1158" i="1" s="1"/>
  <c r="J1158" i="1" a="1"/>
  <c r="J1158" i="1" s="1"/>
  <c r="I1158" i="1" a="1"/>
  <c r="I1158" i="1" s="1"/>
  <c r="F1158" i="1" a="1"/>
  <c r="F1158" i="1" s="1"/>
  <c r="E1158" i="1" a="1"/>
  <c r="E1158" i="1" s="1"/>
  <c r="L1157" i="1" a="1"/>
  <c r="L1157" i="1" s="1"/>
  <c r="O1157" i="1" s="1" a="1"/>
  <c r="O1157" i="1" s="1"/>
  <c r="J1157" i="1" a="1"/>
  <c r="J1157" i="1" s="1"/>
  <c r="I1157" i="1" a="1"/>
  <c r="I1157" i="1" s="1"/>
  <c r="K1157" i="1" s="1" a="1"/>
  <c r="K1157" i="1" s="1"/>
  <c r="N1157" i="1" s="1" a="1"/>
  <c r="N1157" i="1" s="1"/>
  <c r="F1157" i="1" a="1"/>
  <c r="F1157" i="1" s="1"/>
  <c r="E1157" i="1" a="1"/>
  <c r="E1157" i="1" s="1"/>
  <c r="L1156" i="1" a="1"/>
  <c r="L1156" i="1" s="1"/>
  <c r="J1156" i="1" a="1"/>
  <c r="J1156" i="1" s="1"/>
  <c r="I1156" i="1" a="1"/>
  <c r="I1156" i="1" s="1"/>
  <c r="K1156" i="1" s="1" a="1"/>
  <c r="K1156" i="1" s="1"/>
  <c r="N1156" i="1" s="1" a="1"/>
  <c r="N1156" i="1" s="1"/>
  <c r="F1156" i="1" a="1"/>
  <c r="F1156" i="1" s="1"/>
  <c r="E1156" i="1" a="1"/>
  <c r="E1156" i="1" s="1"/>
  <c r="L1155" i="1" a="1"/>
  <c r="L1155" i="1" s="1"/>
  <c r="J1155" i="1" a="1"/>
  <c r="J1155" i="1" s="1"/>
  <c r="I1155" i="1" a="1"/>
  <c r="I1155" i="1" s="1"/>
  <c r="K1155" i="1" s="1" a="1"/>
  <c r="K1155" i="1" s="1"/>
  <c r="N1155" i="1" s="1" a="1"/>
  <c r="N1155" i="1" s="1"/>
  <c r="F1155" i="1" a="1"/>
  <c r="F1155" i="1" s="1"/>
  <c r="E1155" i="1" a="1"/>
  <c r="E1155" i="1" s="1"/>
  <c r="L1154" i="1" a="1"/>
  <c r="L1154" i="1" s="1"/>
  <c r="J1154" i="1" a="1"/>
  <c r="J1154" i="1" s="1"/>
  <c r="K1154" i="1" s="1" a="1"/>
  <c r="K1154" i="1" s="1"/>
  <c r="N1154" i="1" s="1" a="1"/>
  <c r="N1154" i="1" s="1"/>
  <c r="I1154" i="1" a="1"/>
  <c r="I1154" i="1" s="1"/>
  <c r="F1154" i="1" a="1"/>
  <c r="F1154" i="1" s="1"/>
  <c r="E1154" i="1" a="1"/>
  <c r="E1154" i="1" s="1"/>
  <c r="L1153" i="1" a="1"/>
  <c r="L1153" i="1"/>
  <c r="J1153" i="1" a="1"/>
  <c r="J1153" i="1" s="1"/>
  <c r="K1153" i="1" s="1" a="1"/>
  <c r="K1153" i="1" s="1"/>
  <c r="I1153" i="1" a="1"/>
  <c r="I1153" i="1" s="1"/>
  <c r="F1153" i="1" a="1"/>
  <c r="F1153" i="1"/>
  <c r="E1153" i="1" a="1"/>
  <c r="E1153" i="1" s="1"/>
  <c r="L1152" i="1" a="1"/>
  <c r="L1152" i="1"/>
  <c r="O1152" i="1" s="1" a="1"/>
  <c r="O1152" i="1" s="1"/>
  <c r="J1152" i="1" a="1"/>
  <c r="J1152" i="1" s="1"/>
  <c r="I1152" i="1" a="1"/>
  <c r="I1152" i="1" s="1"/>
  <c r="K1152" i="1" s="1" a="1"/>
  <c r="K1152" i="1" s="1"/>
  <c r="N1152" i="1" s="1" a="1"/>
  <c r="N1152" i="1" s="1"/>
  <c r="F1152" i="1" a="1"/>
  <c r="F1152" i="1" s="1"/>
  <c r="E1152" i="1" a="1"/>
  <c r="E1152" i="1" s="1"/>
  <c r="N1151" i="1" a="1"/>
  <c r="N1151" i="1" s="1"/>
  <c r="L1151" i="1" a="1"/>
  <c r="L1151" i="1" s="1"/>
  <c r="O1151" i="1" s="1" a="1"/>
  <c r="O1151" i="1" s="1"/>
  <c r="K1151" i="1" a="1"/>
  <c r="K1151" i="1" s="1"/>
  <c r="J1151" i="1" a="1"/>
  <c r="J1151" i="1" s="1"/>
  <c r="I1151" i="1" a="1"/>
  <c r="I1151" i="1" s="1"/>
  <c r="F1151" i="1" a="1"/>
  <c r="F1151" i="1"/>
  <c r="E1151" i="1" a="1"/>
  <c r="E1151" i="1" s="1"/>
  <c r="L1150" i="1" a="1"/>
  <c r="L1150" i="1" s="1"/>
  <c r="O1150" i="1" s="1" a="1"/>
  <c r="O1150" i="1" s="1"/>
  <c r="J1150" i="1" a="1"/>
  <c r="J1150" i="1" s="1"/>
  <c r="K1150" i="1" s="1" a="1"/>
  <c r="K1150" i="1" s="1"/>
  <c r="N1150" i="1" s="1" a="1"/>
  <c r="N1150" i="1" s="1"/>
  <c r="I1150" i="1" a="1"/>
  <c r="I1150" i="1" s="1"/>
  <c r="F1150" i="1" a="1"/>
  <c r="F1150" i="1" s="1"/>
  <c r="E1150" i="1" a="1"/>
  <c r="E1150" i="1" s="1"/>
  <c r="L1149" i="1" a="1"/>
  <c r="L1149" i="1"/>
  <c r="J1149" i="1" a="1"/>
  <c r="J1149" i="1" s="1"/>
  <c r="K1149" i="1" s="1" a="1"/>
  <c r="K1149" i="1" s="1"/>
  <c r="I1149" i="1" a="1"/>
  <c r="I1149" i="1" s="1"/>
  <c r="F1149" i="1" a="1"/>
  <c r="F1149" i="1"/>
  <c r="E1149" i="1" a="1"/>
  <c r="E1149" i="1" s="1"/>
  <c r="L1148" i="1" a="1"/>
  <c r="L1148" i="1"/>
  <c r="J1148" i="1" a="1"/>
  <c r="J1148" i="1" s="1"/>
  <c r="I1148" i="1" a="1"/>
  <c r="I1148" i="1" s="1"/>
  <c r="K1148" i="1" s="1" a="1"/>
  <c r="K1148" i="1" s="1"/>
  <c r="N1148" i="1" s="1" a="1"/>
  <c r="N1148" i="1" s="1"/>
  <c r="F1148" i="1" a="1"/>
  <c r="F1148" i="1" s="1"/>
  <c r="E1148" i="1" a="1"/>
  <c r="E1148" i="1" s="1"/>
  <c r="N1147" i="1" a="1"/>
  <c r="N1147" i="1" s="1"/>
  <c r="L1147" i="1" a="1"/>
  <c r="L1147" i="1" s="1"/>
  <c r="O1147" i="1" s="1" a="1"/>
  <c r="O1147" i="1" s="1"/>
  <c r="K1147" i="1" a="1"/>
  <c r="K1147" i="1" s="1"/>
  <c r="J1147" i="1" a="1"/>
  <c r="J1147" i="1" s="1"/>
  <c r="I1147" i="1" a="1"/>
  <c r="I1147" i="1" s="1"/>
  <c r="F1147" i="1" a="1"/>
  <c r="F1147" i="1"/>
  <c r="E1147" i="1" a="1"/>
  <c r="E1147" i="1" s="1"/>
  <c r="L1146" i="1" a="1"/>
  <c r="L1146" i="1" s="1"/>
  <c r="J1146" i="1" a="1"/>
  <c r="J1146" i="1" s="1"/>
  <c r="K1146" i="1" s="1" a="1"/>
  <c r="K1146" i="1" s="1"/>
  <c r="N1146" i="1" s="1" a="1"/>
  <c r="N1146" i="1" s="1"/>
  <c r="I1146" i="1" a="1"/>
  <c r="I1146" i="1" s="1"/>
  <c r="F1146" i="1" a="1"/>
  <c r="F1146" i="1" s="1"/>
  <c r="E1146" i="1" a="1"/>
  <c r="E1146" i="1" s="1"/>
  <c r="L1145" i="1" a="1"/>
  <c r="L1145" i="1"/>
  <c r="J1145" i="1" a="1"/>
  <c r="J1145" i="1" s="1"/>
  <c r="K1145" i="1" s="1" a="1"/>
  <c r="K1145" i="1" s="1"/>
  <c r="I1145" i="1" a="1"/>
  <c r="I1145" i="1" s="1"/>
  <c r="F1145" i="1" a="1"/>
  <c r="F1145" i="1"/>
  <c r="E1145" i="1" a="1"/>
  <c r="E1145" i="1" s="1"/>
  <c r="L1144" i="1" a="1"/>
  <c r="L1144" i="1"/>
  <c r="O1144" i="1" s="1" a="1"/>
  <c r="O1144" i="1" s="1"/>
  <c r="J1144" i="1" a="1"/>
  <c r="J1144" i="1" s="1"/>
  <c r="I1144" i="1" a="1"/>
  <c r="I1144" i="1" s="1"/>
  <c r="K1144" i="1" s="1" a="1"/>
  <c r="K1144" i="1" s="1"/>
  <c r="N1144" i="1" s="1" a="1"/>
  <c r="N1144" i="1" s="1"/>
  <c r="F1144" i="1" a="1"/>
  <c r="F1144" i="1" s="1"/>
  <c r="E1144" i="1" a="1"/>
  <c r="E1144" i="1" s="1"/>
  <c r="N1143" i="1" a="1"/>
  <c r="N1143" i="1" s="1"/>
  <c r="L1143" i="1" a="1"/>
  <c r="L1143" i="1" s="1"/>
  <c r="O1143" i="1" s="1" a="1"/>
  <c r="O1143" i="1" s="1"/>
  <c r="K1143" i="1" a="1"/>
  <c r="K1143" i="1" s="1"/>
  <c r="J1143" i="1" a="1"/>
  <c r="J1143" i="1" s="1"/>
  <c r="I1143" i="1" a="1"/>
  <c r="I1143" i="1" s="1"/>
  <c r="F1143" i="1" a="1"/>
  <c r="F1143" i="1"/>
  <c r="E1143" i="1" a="1"/>
  <c r="E1143" i="1" s="1"/>
  <c r="L1142" i="1" a="1"/>
  <c r="L1142" i="1" s="1"/>
  <c r="J1142" i="1" a="1"/>
  <c r="J1142" i="1" s="1"/>
  <c r="K1142" i="1" s="1" a="1"/>
  <c r="K1142" i="1" s="1"/>
  <c r="N1142" i="1" s="1" a="1"/>
  <c r="N1142" i="1" s="1"/>
  <c r="I1142" i="1" a="1"/>
  <c r="I1142" i="1" s="1"/>
  <c r="F1142" i="1" a="1"/>
  <c r="F1142" i="1" s="1"/>
  <c r="E1142" i="1" a="1"/>
  <c r="E1142" i="1" s="1"/>
  <c r="L1141" i="1" a="1"/>
  <c r="L1141" i="1"/>
  <c r="J1141" i="1" a="1"/>
  <c r="J1141" i="1" s="1"/>
  <c r="K1141" i="1" s="1" a="1"/>
  <c r="K1141" i="1" s="1"/>
  <c r="I1141" i="1" a="1"/>
  <c r="I1141" i="1" s="1"/>
  <c r="F1141" i="1" a="1"/>
  <c r="F1141" i="1"/>
  <c r="E1141" i="1" a="1"/>
  <c r="E1141" i="1" s="1"/>
  <c r="L1140" i="1" a="1"/>
  <c r="L1140" i="1"/>
  <c r="J1140" i="1" a="1"/>
  <c r="J1140" i="1" s="1"/>
  <c r="I1140" i="1" a="1"/>
  <c r="I1140" i="1" s="1"/>
  <c r="K1140" i="1" s="1" a="1"/>
  <c r="K1140" i="1" s="1"/>
  <c r="N1140" i="1" s="1" a="1"/>
  <c r="N1140" i="1" s="1"/>
  <c r="F1140" i="1" a="1"/>
  <c r="F1140" i="1" s="1"/>
  <c r="E1140" i="1" a="1"/>
  <c r="E1140" i="1" s="1"/>
  <c r="N1139" i="1" a="1"/>
  <c r="N1139" i="1" s="1"/>
  <c r="L1139" i="1" a="1"/>
  <c r="L1139" i="1" s="1"/>
  <c r="O1139" i="1" s="1" a="1"/>
  <c r="O1139" i="1" s="1"/>
  <c r="K1139" i="1" a="1"/>
  <c r="K1139" i="1" s="1"/>
  <c r="J1139" i="1" a="1"/>
  <c r="J1139" i="1" s="1"/>
  <c r="I1139" i="1" a="1"/>
  <c r="I1139" i="1" s="1"/>
  <c r="F1139" i="1" a="1"/>
  <c r="F1139" i="1"/>
  <c r="E1139" i="1" a="1"/>
  <c r="E1139" i="1" s="1"/>
  <c r="L1138" i="1" a="1"/>
  <c r="L1138" i="1" s="1"/>
  <c r="J1138" i="1" a="1"/>
  <c r="J1138" i="1" s="1"/>
  <c r="K1138" i="1" s="1" a="1"/>
  <c r="K1138" i="1" s="1"/>
  <c r="N1138" i="1" s="1" a="1"/>
  <c r="N1138" i="1" s="1"/>
  <c r="I1138" i="1" a="1"/>
  <c r="I1138" i="1" s="1"/>
  <c r="F1138" i="1" a="1"/>
  <c r="F1138" i="1" s="1"/>
  <c r="E1138" i="1" a="1"/>
  <c r="E1138" i="1" s="1"/>
  <c r="L1137" i="1" a="1"/>
  <c r="L1137" i="1"/>
  <c r="J1137" i="1" a="1"/>
  <c r="J1137" i="1" s="1"/>
  <c r="K1137" i="1" s="1" a="1"/>
  <c r="K1137" i="1" s="1"/>
  <c r="N1137" i="1" s="1" a="1"/>
  <c r="N1137" i="1" s="1"/>
  <c r="I1137" i="1" a="1"/>
  <c r="I1137" i="1" s="1"/>
  <c r="F1137" i="1" a="1"/>
  <c r="F1137" i="1"/>
  <c r="E1137" i="1" a="1"/>
  <c r="E1137" i="1" s="1"/>
  <c r="L1136" i="1" a="1"/>
  <c r="L1136" i="1"/>
  <c r="O1136" i="1" s="1" a="1"/>
  <c r="O1136" i="1" s="1"/>
  <c r="J1136" i="1" a="1"/>
  <c r="J1136" i="1" s="1"/>
  <c r="I1136" i="1" a="1"/>
  <c r="I1136" i="1" s="1"/>
  <c r="K1136" i="1" s="1" a="1"/>
  <c r="K1136" i="1" s="1"/>
  <c r="N1136" i="1" s="1" a="1"/>
  <c r="N1136" i="1" s="1"/>
  <c r="F1136" i="1" a="1"/>
  <c r="F1136" i="1" s="1"/>
  <c r="E1136" i="1" a="1"/>
  <c r="E1136" i="1" s="1"/>
  <c r="L1135" i="1" a="1"/>
  <c r="L1135" i="1" s="1"/>
  <c r="O1135" i="1" s="1" a="1"/>
  <c r="O1135" i="1" s="1"/>
  <c r="K1135" i="1" a="1"/>
  <c r="K1135" i="1" s="1"/>
  <c r="N1135" i="1" s="1" a="1"/>
  <c r="N1135" i="1" s="1"/>
  <c r="J1135" i="1" a="1"/>
  <c r="J1135" i="1" s="1"/>
  <c r="I1135" i="1" a="1"/>
  <c r="I1135" i="1" s="1"/>
  <c r="F1135" i="1" a="1"/>
  <c r="F1135" i="1"/>
  <c r="E1135" i="1" a="1"/>
  <c r="E1135" i="1" s="1"/>
  <c r="L1134" i="1" a="1"/>
  <c r="L1134" i="1" s="1"/>
  <c r="J1134" i="1" a="1"/>
  <c r="J1134" i="1" s="1"/>
  <c r="K1134" i="1" s="1" a="1"/>
  <c r="K1134" i="1" s="1"/>
  <c r="N1134" i="1" s="1" a="1"/>
  <c r="N1134" i="1" s="1"/>
  <c r="I1134" i="1" a="1"/>
  <c r="I1134" i="1" s="1"/>
  <c r="F1134" i="1" a="1"/>
  <c r="F1134" i="1"/>
  <c r="E1134" i="1" a="1"/>
  <c r="E1134" i="1" s="1"/>
  <c r="N1133" i="1" a="1"/>
  <c r="N1133" i="1" s="1"/>
  <c r="L1133" i="1" a="1"/>
  <c r="L1133" i="1" s="1"/>
  <c r="O1133" i="1" s="1" a="1"/>
  <c r="O1133" i="1" s="1"/>
  <c r="J1133" i="1" a="1"/>
  <c r="J1133" i="1" s="1"/>
  <c r="K1133" i="1" s="1" a="1"/>
  <c r="K1133" i="1" s="1"/>
  <c r="I1133" i="1" a="1"/>
  <c r="I1133" i="1" s="1"/>
  <c r="F1133" i="1" a="1"/>
  <c r="F1133" i="1" s="1"/>
  <c r="E1133" i="1" a="1"/>
  <c r="E1133" i="1" s="1"/>
  <c r="L1132" i="1" a="1"/>
  <c r="L1132" i="1" s="1"/>
  <c r="J1132" i="1" a="1"/>
  <c r="J1132" i="1" s="1"/>
  <c r="K1132" i="1" s="1" a="1"/>
  <c r="K1132" i="1" s="1"/>
  <c r="N1132" i="1" s="1" a="1"/>
  <c r="N1132" i="1" s="1"/>
  <c r="I1132" i="1" a="1"/>
  <c r="I1132" i="1" s="1"/>
  <c r="F1132" i="1" a="1"/>
  <c r="F1132" i="1"/>
  <c r="E1132" i="1" a="1"/>
  <c r="E1132" i="1" s="1"/>
  <c r="O1131" i="1"/>
  <c r="N1131" i="1" a="1"/>
  <c r="N1131" i="1" s="1"/>
  <c r="L1131" i="1" a="1"/>
  <c r="L1131" i="1" s="1"/>
  <c r="O1131" i="1" s="1" a="1"/>
  <c r="J1131" i="1" a="1"/>
  <c r="J1131" i="1" s="1"/>
  <c r="K1131" i="1" s="1" a="1"/>
  <c r="K1131" i="1" s="1"/>
  <c r="I1131" i="1" a="1"/>
  <c r="I1131" i="1" s="1"/>
  <c r="F1131" i="1" a="1"/>
  <c r="F1131" i="1"/>
  <c r="E1131" i="1" a="1"/>
  <c r="E1131" i="1" s="1"/>
  <c r="L1130" i="1" a="1"/>
  <c r="L1130" i="1" s="1"/>
  <c r="O1130" i="1" s="1" a="1"/>
  <c r="O1130" i="1" s="1"/>
  <c r="J1130" i="1" a="1"/>
  <c r="J1130" i="1"/>
  <c r="K1130" i="1" s="1" a="1"/>
  <c r="K1130" i="1" s="1"/>
  <c r="N1130" i="1" s="1" a="1"/>
  <c r="N1130" i="1" s="1"/>
  <c r="I1130" i="1" a="1"/>
  <c r="I1130" i="1" s="1"/>
  <c r="F1130" i="1" a="1"/>
  <c r="F1130" i="1"/>
  <c r="E1130" i="1" a="1"/>
  <c r="E1130" i="1" s="1"/>
  <c r="L1129" i="1" a="1"/>
  <c r="L1129" i="1" s="1"/>
  <c r="J1129" i="1" a="1"/>
  <c r="J1129" i="1" s="1"/>
  <c r="K1129" i="1" s="1" a="1"/>
  <c r="K1129" i="1" s="1"/>
  <c r="N1129" i="1" s="1" a="1"/>
  <c r="N1129" i="1" s="1"/>
  <c r="I1129" i="1" a="1"/>
  <c r="I1129" i="1" s="1"/>
  <c r="F1129" i="1" a="1"/>
  <c r="F1129" i="1" s="1"/>
  <c r="E1129" i="1" a="1"/>
  <c r="E1129" i="1" s="1"/>
  <c r="L1128" i="1" a="1"/>
  <c r="L1128" i="1" s="1"/>
  <c r="J1128" i="1" a="1"/>
  <c r="J1128" i="1" s="1"/>
  <c r="K1128" i="1" s="1" a="1"/>
  <c r="K1128" i="1" s="1"/>
  <c r="N1128" i="1" s="1" a="1"/>
  <c r="N1128" i="1" s="1"/>
  <c r="I1128" i="1" a="1"/>
  <c r="I1128" i="1" s="1"/>
  <c r="F1128" i="1" a="1"/>
  <c r="F1128" i="1"/>
  <c r="E1128" i="1" a="1"/>
  <c r="E1128" i="1" s="1"/>
  <c r="N1127" i="1" a="1"/>
  <c r="N1127" i="1" s="1"/>
  <c r="L1127" i="1" a="1"/>
  <c r="L1127" i="1" s="1"/>
  <c r="O1127" i="1" s="1" a="1"/>
  <c r="O1127" i="1" s="1"/>
  <c r="J1127" i="1" a="1"/>
  <c r="J1127" i="1" s="1"/>
  <c r="K1127" i="1" s="1" a="1"/>
  <c r="K1127" i="1" s="1"/>
  <c r="I1127" i="1" a="1"/>
  <c r="I1127" i="1" s="1"/>
  <c r="F1127" i="1" a="1"/>
  <c r="F1127" i="1"/>
  <c r="E1127" i="1" a="1"/>
  <c r="E1127" i="1" s="1"/>
  <c r="L1126" i="1" a="1"/>
  <c r="L1126" i="1" s="1"/>
  <c r="K1126" i="1" a="1"/>
  <c r="K1126" i="1" s="1"/>
  <c r="N1126" i="1" s="1" a="1"/>
  <c r="N1126" i="1" s="1"/>
  <c r="J1126" i="1" a="1"/>
  <c r="J1126" i="1"/>
  <c r="I1126" i="1" a="1"/>
  <c r="I1126" i="1" s="1"/>
  <c r="F1126" i="1" a="1"/>
  <c r="F1126" i="1"/>
  <c r="E1126" i="1" a="1"/>
  <c r="E1126" i="1" s="1"/>
  <c r="N1125" i="1" a="1"/>
  <c r="N1125" i="1" s="1"/>
  <c r="L1125" i="1" a="1"/>
  <c r="L1125" i="1"/>
  <c r="O1125" i="1" s="1" a="1"/>
  <c r="O1125" i="1" s="1"/>
  <c r="J1125" i="1" a="1"/>
  <c r="J1125" i="1" s="1"/>
  <c r="K1125" i="1" s="1" a="1"/>
  <c r="K1125" i="1" s="1"/>
  <c r="I1125" i="1" a="1"/>
  <c r="I1125" i="1" s="1"/>
  <c r="F1125" i="1" a="1"/>
  <c r="F1125" i="1" s="1"/>
  <c r="E1125" i="1" a="1"/>
  <c r="E1125" i="1" s="1"/>
  <c r="L1124" i="1" a="1"/>
  <c r="L1124" i="1" s="1"/>
  <c r="J1124" i="1" a="1"/>
  <c r="J1124" i="1"/>
  <c r="K1124" i="1" s="1" a="1"/>
  <c r="K1124" i="1" s="1"/>
  <c r="I1124" i="1" a="1"/>
  <c r="I1124" i="1" s="1"/>
  <c r="F1124" i="1" a="1"/>
  <c r="F1124" i="1"/>
  <c r="E1124" i="1" a="1"/>
  <c r="E1124" i="1" s="1"/>
  <c r="L1123" i="1" a="1"/>
  <c r="L1123" i="1"/>
  <c r="O1123" i="1" s="1" a="1"/>
  <c r="O1123" i="1" s="1"/>
  <c r="J1123" i="1" a="1"/>
  <c r="J1123" i="1" s="1"/>
  <c r="K1123" i="1" s="1" a="1"/>
  <c r="K1123" i="1" s="1"/>
  <c r="N1123" i="1" s="1" a="1"/>
  <c r="N1123" i="1" s="1"/>
  <c r="I1123" i="1" a="1"/>
  <c r="I1123" i="1" s="1"/>
  <c r="F1123" i="1" a="1"/>
  <c r="F1123" i="1" s="1"/>
  <c r="E1123" i="1" a="1"/>
  <c r="E1123" i="1" s="1"/>
  <c r="L1122" i="1" a="1"/>
  <c r="L1122" i="1"/>
  <c r="O1122" i="1" s="1" a="1"/>
  <c r="O1122" i="1" s="1"/>
  <c r="J1122" i="1" a="1"/>
  <c r="J1122" i="1" s="1"/>
  <c r="K1122" i="1" s="1" a="1"/>
  <c r="K1122" i="1" s="1"/>
  <c r="N1122" i="1" s="1" a="1"/>
  <c r="N1122" i="1" s="1"/>
  <c r="I1122" i="1" a="1"/>
  <c r="I1122" i="1"/>
  <c r="F1122" i="1" a="1"/>
  <c r="F1122" i="1" s="1"/>
  <c r="E1122" i="1" a="1"/>
  <c r="E1122" i="1" s="1"/>
  <c r="L1121" i="1" a="1"/>
  <c r="L1121" i="1" s="1"/>
  <c r="J1121" i="1" a="1"/>
  <c r="J1121" i="1" s="1"/>
  <c r="K1121" i="1" s="1" a="1"/>
  <c r="K1121" i="1" s="1"/>
  <c r="I1121" i="1" a="1"/>
  <c r="I1121" i="1"/>
  <c r="F1121" i="1" a="1"/>
  <c r="F1121" i="1"/>
  <c r="E1121" i="1" a="1"/>
  <c r="E1121" i="1" s="1"/>
  <c r="L1120" i="1" a="1"/>
  <c r="L1120" i="1" s="1"/>
  <c r="K1120" i="1" a="1"/>
  <c r="K1120" i="1" s="1"/>
  <c r="N1120" i="1" s="1" a="1"/>
  <c r="N1120" i="1" s="1"/>
  <c r="J1120" i="1" a="1"/>
  <c r="J1120" i="1" s="1"/>
  <c r="I1120" i="1" a="1"/>
  <c r="I1120" i="1"/>
  <c r="F1120" i="1" a="1"/>
  <c r="F1120" i="1"/>
  <c r="E1120" i="1" a="1"/>
  <c r="E1120" i="1" s="1"/>
  <c r="L1119" i="1" a="1"/>
  <c r="L1119" i="1"/>
  <c r="J1119" i="1" a="1"/>
  <c r="J1119" i="1" s="1"/>
  <c r="K1119" i="1" s="1" a="1"/>
  <c r="K1119" i="1" s="1"/>
  <c r="I1119" i="1" a="1"/>
  <c r="I1119" i="1"/>
  <c r="F1119" i="1" a="1"/>
  <c r="F1119" i="1" s="1"/>
  <c r="E1119" i="1" a="1"/>
  <c r="E1119" i="1" s="1"/>
  <c r="L1118" i="1" a="1"/>
  <c r="L1118" i="1"/>
  <c r="J1118" i="1" a="1"/>
  <c r="J1118" i="1"/>
  <c r="K1118" i="1" s="1" a="1"/>
  <c r="K1118" i="1" s="1"/>
  <c r="N1118" i="1" s="1" a="1"/>
  <c r="N1118" i="1" s="1"/>
  <c r="I1118" i="1" a="1"/>
  <c r="I1118" i="1"/>
  <c r="F1118" i="1" a="1"/>
  <c r="F1118" i="1"/>
  <c r="E1118" i="1" a="1"/>
  <c r="E1118" i="1" s="1"/>
  <c r="L1117" i="1" a="1"/>
  <c r="L1117" i="1"/>
  <c r="J1117" i="1" a="1"/>
  <c r="J1117" i="1"/>
  <c r="K1117" i="1" s="1" a="1"/>
  <c r="K1117" i="1" s="1"/>
  <c r="I1117" i="1" a="1"/>
  <c r="I1117" i="1"/>
  <c r="F1117" i="1" a="1"/>
  <c r="F1117" i="1" s="1"/>
  <c r="E1117" i="1" a="1"/>
  <c r="E1117" i="1" s="1"/>
  <c r="L1116" i="1" a="1"/>
  <c r="L1116" i="1" s="1"/>
  <c r="O1116" i="1" s="1" a="1"/>
  <c r="O1116" i="1" s="1"/>
  <c r="J1116" i="1" a="1"/>
  <c r="J1116" i="1"/>
  <c r="I1116" i="1" a="1"/>
  <c r="I1116" i="1"/>
  <c r="K1116" i="1" s="1" a="1"/>
  <c r="K1116" i="1" s="1"/>
  <c r="N1116" i="1" s="1" a="1"/>
  <c r="N1116" i="1" s="1"/>
  <c r="F1116" i="1" a="1"/>
  <c r="F1116" i="1" s="1"/>
  <c r="E1116" i="1" a="1"/>
  <c r="E1116" i="1" s="1"/>
  <c r="L1115" i="1" a="1"/>
  <c r="L1115" i="1"/>
  <c r="K1115" i="1" a="1"/>
  <c r="K1115" i="1" s="1"/>
  <c r="N1115" i="1" s="1" a="1"/>
  <c r="N1115" i="1" s="1"/>
  <c r="J1115" i="1" a="1"/>
  <c r="J1115" i="1" s="1"/>
  <c r="I1115" i="1" a="1"/>
  <c r="I1115" i="1"/>
  <c r="F1115" i="1" a="1"/>
  <c r="F1115" i="1" s="1"/>
  <c r="E1115" i="1" a="1"/>
  <c r="E1115" i="1" s="1"/>
  <c r="L1114" i="1" a="1"/>
  <c r="L1114" i="1" s="1"/>
  <c r="O1114" i="1" s="1" a="1"/>
  <c r="O1114" i="1" s="1"/>
  <c r="J1114" i="1" a="1"/>
  <c r="J1114" i="1"/>
  <c r="K1114" i="1" s="1" a="1"/>
  <c r="K1114" i="1" s="1"/>
  <c r="N1114" i="1" s="1" a="1"/>
  <c r="N1114" i="1" s="1"/>
  <c r="I1114" i="1" a="1"/>
  <c r="I1114" i="1"/>
  <c r="F1114" i="1" a="1"/>
  <c r="F1114" i="1"/>
  <c r="E1114" i="1" a="1"/>
  <c r="E1114" i="1" s="1"/>
  <c r="L1113" i="1" a="1"/>
  <c r="L1113" i="1" s="1"/>
  <c r="J1113" i="1" a="1"/>
  <c r="J1113" i="1" s="1"/>
  <c r="K1113" i="1" s="1" a="1"/>
  <c r="K1113" i="1" s="1"/>
  <c r="N1113" i="1" s="1" a="1"/>
  <c r="N1113" i="1" s="1"/>
  <c r="I1113" i="1" a="1"/>
  <c r="I1113" i="1"/>
  <c r="F1113" i="1" a="1"/>
  <c r="F1113" i="1"/>
  <c r="E1113" i="1" a="1"/>
  <c r="E1113" i="1" s="1"/>
  <c r="L1112" i="1" a="1"/>
  <c r="L1112" i="1" s="1"/>
  <c r="J1112" i="1" a="1"/>
  <c r="J1112" i="1" s="1"/>
  <c r="K1112" i="1" s="1" a="1"/>
  <c r="K1112" i="1" s="1"/>
  <c r="N1112" i="1" s="1" a="1"/>
  <c r="N1112" i="1" s="1"/>
  <c r="I1112" i="1" a="1"/>
  <c r="I1112" i="1"/>
  <c r="F1112" i="1" a="1"/>
  <c r="F1112" i="1"/>
  <c r="E1112" i="1" a="1"/>
  <c r="E1112" i="1" s="1"/>
  <c r="L1111" i="1" a="1"/>
  <c r="L1111" i="1"/>
  <c r="J1111" i="1" a="1"/>
  <c r="J1111" i="1" s="1"/>
  <c r="K1111" i="1" s="1" a="1"/>
  <c r="K1111" i="1" s="1"/>
  <c r="I1111" i="1" a="1"/>
  <c r="I1111" i="1"/>
  <c r="F1111" i="1" a="1"/>
  <c r="F1111" i="1" s="1"/>
  <c r="E1111" i="1" a="1"/>
  <c r="E1111" i="1" s="1"/>
  <c r="L1110" i="1" a="1"/>
  <c r="L1110" i="1"/>
  <c r="J1110" i="1" a="1"/>
  <c r="J1110" i="1"/>
  <c r="K1110" i="1" s="1" a="1"/>
  <c r="K1110" i="1" s="1"/>
  <c r="N1110" i="1" s="1" a="1"/>
  <c r="N1110" i="1" s="1"/>
  <c r="I1110" i="1" a="1"/>
  <c r="I1110" i="1"/>
  <c r="F1110" i="1" a="1"/>
  <c r="F1110" i="1"/>
  <c r="E1110" i="1" a="1"/>
  <c r="E1110" i="1" s="1"/>
  <c r="L1109" i="1" a="1"/>
  <c r="L1109" i="1"/>
  <c r="J1109" i="1" a="1"/>
  <c r="J1109" i="1"/>
  <c r="K1109" i="1" s="1" a="1"/>
  <c r="K1109" i="1" s="1"/>
  <c r="I1109" i="1" a="1"/>
  <c r="I1109" i="1"/>
  <c r="F1109" i="1" a="1"/>
  <c r="F1109" i="1" s="1"/>
  <c r="E1109" i="1" a="1"/>
  <c r="E1109" i="1" s="1"/>
  <c r="L1108" i="1" a="1"/>
  <c r="L1108" i="1" s="1"/>
  <c r="O1108" i="1" s="1" a="1"/>
  <c r="O1108" i="1" s="1"/>
  <c r="J1108" i="1" a="1"/>
  <c r="J1108" i="1"/>
  <c r="I1108" i="1" a="1"/>
  <c r="I1108" i="1"/>
  <c r="K1108" i="1" s="1" a="1"/>
  <c r="K1108" i="1" s="1"/>
  <c r="N1108" i="1" s="1" a="1"/>
  <c r="N1108" i="1" s="1"/>
  <c r="F1108" i="1" a="1"/>
  <c r="F1108" i="1" s="1"/>
  <c r="E1108" i="1" a="1"/>
  <c r="E1108" i="1" s="1"/>
  <c r="L1107" i="1" a="1"/>
  <c r="L1107" i="1"/>
  <c r="K1107" i="1" a="1"/>
  <c r="K1107" i="1" s="1"/>
  <c r="N1107" i="1" s="1" a="1"/>
  <c r="N1107" i="1" s="1"/>
  <c r="J1107" i="1" a="1"/>
  <c r="J1107" i="1" s="1"/>
  <c r="I1107" i="1" a="1"/>
  <c r="I1107" i="1"/>
  <c r="F1107" i="1" a="1"/>
  <c r="F1107" i="1" s="1"/>
  <c r="E1107" i="1" a="1"/>
  <c r="E1107" i="1" s="1"/>
  <c r="L1106" i="1" a="1"/>
  <c r="L1106" i="1" s="1"/>
  <c r="O1106" i="1" s="1" a="1"/>
  <c r="O1106" i="1" s="1"/>
  <c r="J1106" i="1" a="1"/>
  <c r="J1106" i="1"/>
  <c r="K1106" i="1" s="1" a="1"/>
  <c r="K1106" i="1" s="1"/>
  <c r="N1106" i="1" s="1" a="1"/>
  <c r="N1106" i="1" s="1"/>
  <c r="I1106" i="1" a="1"/>
  <c r="I1106" i="1"/>
  <c r="F1106" i="1" a="1"/>
  <c r="F1106" i="1"/>
  <c r="E1106" i="1" a="1"/>
  <c r="E1106" i="1" s="1"/>
  <c r="L1105" i="1" a="1"/>
  <c r="L1105" i="1" s="1"/>
  <c r="J1105" i="1" a="1"/>
  <c r="J1105" i="1" s="1"/>
  <c r="K1105" i="1" s="1" a="1"/>
  <c r="K1105" i="1" s="1"/>
  <c r="N1105" i="1" s="1" a="1"/>
  <c r="N1105" i="1" s="1"/>
  <c r="I1105" i="1" a="1"/>
  <c r="I1105" i="1"/>
  <c r="F1105" i="1" a="1"/>
  <c r="F1105" i="1"/>
  <c r="E1105" i="1" a="1"/>
  <c r="E1105" i="1" s="1"/>
  <c r="L1104" i="1" a="1"/>
  <c r="L1104" i="1" s="1"/>
  <c r="J1104" i="1" a="1"/>
  <c r="J1104" i="1" s="1"/>
  <c r="K1104" i="1" s="1" a="1"/>
  <c r="K1104" i="1" s="1"/>
  <c r="N1104" i="1" s="1" a="1"/>
  <c r="N1104" i="1" s="1"/>
  <c r="I1104" i="1" a="1"/>
  <c r="I1104" i="1"/>
  <c r="F1104" i="1" a="1"/>
  <c r="F1104" i="1"/>
  <c r="E1104" i="1" a="1"/>
  <c r="E1104" i="1" s="1"/>
  <c r="L1103" i="1" a="1"/>
  <c r="L1103" i="1"/>
  <c r="J1103" i="1" a="1"/>
  <c r="J1103" i="1" s="1"/>
  <c r="K1103" i="1" s="1" a="1"/>
  <c r="K1103" i="1" s="1"/>
  <c r="I1103" i="1" a="1"/>
  <c r="I1103" i="1"/>
  <c r="F1103" i="1" a="1"/>
  <c r="F1103" i="1" s="1"/>
  <c r="E1103" i="1" a="1"/>
  <c r="E1103" i="1" s="1"/>
  <c r="L1102" i="1" a="1"/>
  <c r="L1102" i="1"/>
  <c r="J1102" i="1" a="1"/>
  <c r="J1102" i="1"/>
  <c r="K1102" i="1" s="1" a="1"/>
  <c r="K1102" i="1" s="1"/>
  <c r="N1102" i="1" s="1" a="1"/>
  <c r="N1102" i="1" s="1"/>
  <c r="I1102" i="1" a="1"/>
  <c r="I1102" i="1"/>
  <c r="F1102" i="1" a="1"/>
  <c r="F1102" i="1"/>
  <c r="E1102" i="1" a="1"/>
  <c r="E1102" i="1" s="1"/>
  <c r="L1101" i="1" a="1"/>
  <c r="L1101" i="1"/>
  <c r="J1101" i="1" a="1"/>
  <c r="J1101" i="1"/>
  <c r="K1101" i="1" s="1" a="1"/>
  <c r="K1101" i="1" s="1"/>
  <c r="I1101" i="1" a="1"/>
  <c r="I1101" i="1"/>
  <c r="F1101" i="1" a="1"/>
  <c r="F1101" i="1" s="1"/>
  <c r="E1101" i="1" a="1"/>
  <c r="E1101" i="1" s="1"/>
  <c r="L1100" i="1" a="1"/>
  <c r="L1100" i="1" s="1"/>
  <c r="O1100" i="1" s="1" a="1"/>
  <c r="O1100" i="1" s="1"/>
  <c r="J1100" i="1" a="1"/>
  <c r="J1100" i="1"/>
  <c r="I1100" i="1" a="1"/>
  <c r="I1100" i="1"/>
  <c r="K1100" i="1" s="1" a="1"/>
  <c r="K1100" i="1" s="1"/>
  <c r="N1100" i="1" s="1" a="1"/>
  <c r="N1100" i="1" s="1"/>
  <c r="F1100" i="1" a="1"/>
  <c r="F1100" i="1" s="1"/>
  <c r="E1100" i="1" a="1"/>
  <c r="E1100" i="1" s="1"/>
  <c r="L1099" i="1" a="1"/>
  <c r="L1099" i="1"/>
  <c r="K1099" i="1" a="1"/>
  <c r="K1099" i="1" s="1"/>
  <c r="N1099" i="1" s="1" a="1"/>
  <c r="N1099" i="1" s="1"/>
  <c r="J1099" i="1" a="1"/>
  <c r="J1099" i="1" s="1"/>
  <c r="I1099" i="1" a="1"/>
  <c r="I1099" i="1"/>
  <c r="F1099" i="1" a="1"/>
  <c r="F1099" i="1" s="1"/>
  <c r="E1099" i="1" a="1"/>
  <c r="E1099" i="1" s="1"/>
  <c r="L1098" i="1" a="1"/>
  <c r="L1098" i="1" s="1"/>
  <c r="O1098" i="1" s="1" a="1"/>
  <c r="O1098" i="1" s="1"/>
  <c r="J1098" i="1" a="1"/>
  <c r="J1098" i="1"/>
  <c r="K1098" i="1" s="1" a="1"/>
  <c r="K1098" i="1" s="1"/>
  <c r="N1098" i="1" s="1" a="1"/>
  <c r="N1098" i="1" s="1"/>
  <c r="I1098" i="1" a="1"/>
  <c r="I1098" i="1"/>
  <c r="F1098" i="1" a="1"/>
  <c r="F1098" i="1"/>
  <c r="E1098" i="1" a="1"/>
  <c r="E1098" i="1" s="1"/>
  <c r="N1097" i="1"/>
  <c r="L1097" i="1" a="1"/>
  <c r="L1097" i="1" s="1"/>
  <c r="O1097" i="1" s="1" a="1"/>
  <c r="O1097" i="1" s="1"/>
  <c r="J1097" i="1" a="1"/>
  <c r="J1097" i="1" s="1"/>
  <c r="K1097" i="1" s="1" a="1"/>
  <c r="K1097" i="1" s="1"/>
  <c r="N1097" i="1" s="1" a="1"/>
  <c r="I1097" i="1" a="1"/>
  <c r="I1097" i="1"/>
  <c r="F1097" i="1" a="1"/>
  <c r="F1097" i="1" s="1"/>
  <c r="E1097" i="1" a="1"/>
  <c r="E1097" i="1" s="1"/>
  <c r="L1096" i="1" a="1"/>
  <c r="L1096" i="1" s="1"/>
  <c r="O1096" i="1" s="1" a="1"/>
  <c r="O1096" i="1" s="1"/>
  <c r="K1096" i="1" a="1"/>
  <c r="K1096" i="1" s="1"/>
  <c r="N1096" i="1" s="1" a="1"/>
  <c r="N1096" i="1" s="1"/>
  <c r="J1096" i="1" a="1"/>
  <c r="J1096" i="1" s="1"/>
  <c r="I1096" i="1" a="1"/>
  <c r="I1096" i="1"/>
  <c r="F1096" i="1" a="1"/>
  <c r="F1096" i="1"/>
  <c r="E1096" i="1" a="1"/>
  <c r="E1096" i="1" s="1"/>
  <c r="L1095" i="1" a="1"/>
  <c r="L1095" i="1"/>
  <c r="J1095" i="1" a="1"/>
  <c r="J1095" i="1" s="1"/>
  <c r="I1095" i="1" a="1"/>
  <c r="I1095" i="1"/>
  <c r="F1095" i="1" a="1"/>
  <c r="F1095" i="1" s="1"/>
  <c r="E1095" i="1" a="1"/>
  <c r="E1095" i="1" s="1"/>
  <c r="L1094" i="1" a="1"/>
  <c r="L1094" i="1" s="1"/>
  <c r="O1094" i="1" s="1" a="1"/>
  <c r="O1094" i="1" s="1"/>
  <c r="J1094" i="1" a="1"/>
  <c r="J1094" i="1"/>
  <c r="K1094" i="1" s="1" a="1"/>
  <c r="K1094" i="1" s="1"/>
  <c r="N1094" i="1" s="1" a="1"/>
  <c r="N1094" i="1" s="1"/>
  <c r="I1094" i="1" a="1"/>
  <c r="I1094" i="1"/>
  <c r="F1094" i="1" a="1"/>
  <c r="F1094" i="1"/>
  <c r="E1094" i="1" a="1"/>
  <c r="E1094" i="1" s="1"/>
  <c r="L1093" i="1" a="1"/>
  <c r="L1093" i="1"/>
  <c r="J1093" i="1" a="1"/>
  <c r="J1093" i="1"/>
  <c r="K1093" i="1" s="1" a="1"/>
  <c r="K1093" i="1" s="1"/>
  <c r="I1093" i="1" a="1"/>
  <c r="I1093" i="1"/>
  <c r="F1093" i="1" a="1"/>
  <c r="F1093" i="1" s="1"/>
  <c r="E1093" i="1" a="1"/>
  <c r="E1093" i="1" s="1"/>
  <c r="L1092" i="1" a="1"/>
  <c r="L1092" i="1" s="1"/>
  <c r="K1092" i="1" a="1"/>
  <c r="K1092" i="1" s="1"/>
  <c r="N1092" i="1" s="1" a="1"/>
  <c r="N1092" i="1" s="1"/>
  <c r="J1092" i="1" a="1"/>
  <c r="J1092" i="1"/>
  <c r="I1092" i="1" a="1"/>
  <c r="I1092" i="1"/>
  <c r="F1092" i="1" a="1"/>
  <c r="F1092" i="1" s="1"/>
  <c r="E1092" i="1" a="1"/>
  <c r="E1092" i="1" s="1"/>
  <c r="L1091" i="1" a="1"/>
  <c r="L1091" i="1"/>
  <c r="O1091" i="1" s="1" a="1"/>
  <c r="O1091" i="1" s="1"/>
  <c r="K1091" i="1" a="1"/>
  <c r="K1091" i="1" s="1"/>
  <c r="N1091" i="1" s="1" a="1"/>
  <c r="N1091" i="1" s="1"/>
  <c r="J1091" i="1" a="1"/>
  <c r="J1091" i="1" s="1"/>
  <c r="I1091" i="1" a="1"/>
  <c r="I1091" i="1"/>
  <c r="F1091" i="1" a="1"/>
  <c r="F1091" i="1" s="1"/>
  <c r="E1091" i="1" a="1"/>
  <c r="E1091" i="1" s="1"/>
  <c r="L1090" i="1" a="1"/>
  <c r="L1090" i="1" s="1"/>
  <c r="O1090" i="1" s="1" a="1"/>
  <c r="O1090" i="1" s="1"/>
  <c r="J1090" i="1" a="1"/>
  <c r="J1090" i="1"/>
  <c r="K1090" i="1" s="1" a="1"/>
  <c r="K1090" i="1" s="1"/>
  <c r="N1090" i="1" s="1" a="1"/>
  <c r="N1090" i="1" s="1"/>
  <c r="I1090" i="1" a="1"/>
  <c r="I1090" i="1"/>
  <c r="F1090" i="1" a="1"/>
  <c r="F1090" i="1"/>
  <c r="E1090" i="1" a="1"/>
  <c r="E1090" i="1" s="1"/>
  <c r="N1089" i="1"/>
  <c r="L1089" i="1" a="1"/>
  <c r="L1089" i="1" s="1"/>
  <c r="O1089" i="1" s="1" a="1"/>
  <c r="O1089" i="1" s="1"/>
  <c r="J1089" i="1" a="1"/>
  <c r="J1089" i="1" s="1"/>
  <c r="K1089" i="1" s="1" a="1"/>
  <c r="K1089" i="1" s="1"/>
  <c r="N1089" i="1" s="1" a="1"/>
  <c r="I1089" i="1" a="1"/>
  <c r="I1089" i="1"/>
  <c r="F1089" i="1" a="1"/>
  <c r="F1089" i="1" s="1"/>
  <c r="E1089" i="1" a="1"/>
  <c r="E1089" i="1" s="1"/>
  <c r="L1088" i="1" a="1"/>
  <c r="L1088" i="1"/>
  <c r="J1088" i="1" a="1"/>
  <c r="J1088" i="1" s="1"/>
  <c r="K1088" i="1" s="1" a="1"/>
  <c r="K1088" i="1" s="1"/>
  <c r="N1088" i="1" s="1" a="1"/>
  <c r="N1088" i="1" s="1"/>
  <c r="I1088" i="1" a="1"/>
  <c r="I1088" i="1" s="1"/>
  <c r="F1088" i="1" a="1"/>
  <c r="F1088" i="1" s="1"/>
  <c r="E1088" i="1" a="1"/>
  <c r="E1088" i="1" s="1"/>
  <c r="L1087" i="1" a="1"/>
  <c r="L1087" i="1"/>
  <c r="J1087" i="1" a="1"/>
  <c r="J1087" i="1" s="1"/>
  <c r="K1087" i="1" s="1" a="1"/>
  <c r="K1087" i="1" s="1"/>
  <c r="I1087" i="1" a="1"/>
  <c r="I1087" i="1" s="1"/>
  <c r="F1087" i="1" a="1"/>
  <c r="F1087" i="1" s="1"/>
  <c r="E1087" i="1" a="1"/>
  <c r="E1087" i="1" s="1"/>
  <c r="L1086" i="1" a="1"/>
  <c r="L1086" i="1"/>
  <c r="J1086" i="1" a="1"/>
  <c r="J1086" i="1" s="1"/>
  <c r="I1086" i="1" a="1"/>
  <c r="I1086" i="1"/>
  <c r="F1086" i="1" a="1"/>
  <c r="F1086" i="1" s="1"/>
  <c r="E1086" i="1" a="1"/>
  <c r="E1086" i="1" s="1"/>
  <c r="N1085" i="1"/>
  <c r="L1085" i="1" a="1"/>
  <c r="L1085" i="1" s="1"/>
  <c r="J1085" i="1" a="1"/>
  <c r="J1085" i="1" s="1"/>
  <c r="K1085" i="1" s="1" a="1"/>
  <c r="K1085" i="1" s="1"/>
  <c r="N1085" i="1" s="1" a="1"/>
  <c r="I1085" i="1" a="1"/>
  <c r="I1085" i="1" s="1"/>
  <c r="F1085" i="1" a="1"/>
  <c r="F1085" i="1"/>
  <c r="E1085" i="1" a="1"/>
  <c r="E1085" i="1" s="1"/>
  <c r="L1084" i="1" a="1"/>
  <c r="L1084" i="1"/>
  <c r="K1084" i="1" a="1"/>
  <c r="K1084" i="1" s="1"/>
  <c r="N1084" i="1" s="1" a="1"/>
  <c r="N1084" i="1" s="1"/>
  <c r="J1084" i="1" a="1"/>
  <c r="J1084" i="1" s="1"/>
  <c r="I1084" i="1" a="1"/>
  <c r="I1084" i="1" s="1"/>
  <c r="F1084" i="1" a="1"/>
  <c r="F1084" i="1" s="1"/>
  <c r="E1084" i="1" a="1"/>
  <c r="E1084" i="1" s="1"/>
  <c r="L1083" i="1" a="1"/>
  <c r="L1083" i="1"/>
  <c r="J1083" i="1" a="1"/>
  <c r="J1083" i="1" s="1"/>
  <c r="K1083" i="1" s="1" a="1"/>
  <c r="K1083" i="1" s="1"/>
  <c r="I1083" i="1" a="1"/>
  <c r="I1083" i="1" s="1"/>
  <c r="F1083" i="1" a="1"/>
  <c r="F1083" i="1" s="1"/>
  <c r="E1083" i="1" a="1"/>
  <c r="E1083" i="1" s="1"/>
  <c r="L1082" i="1" a="1"/>
  <c r="L1082" i="1"/>
  <c r="J1082" i="1" a="1"/>
  <c r="J1082" i="1" s="1"/>
  <c r="I1082" i="1" a="1"/>
  <c r="I1082" i="1"/>
  <c r="F1082" i="1" a="1"/>
  <c r="F1082" i="1" s="1"/>
  <c r="E1082" i="1" a="1"/>
  <c r="E1082" i="1" s="1"/>
  <c r="L1081" i="1" a="1"/>
  <c r="L1081" i="1" s="1"/>
  <c r="O1081" i="1" s="1" a="1"/>
  <c r="O1081" i="1" s="1"/>
  <c r="J1081" i="1" a="1"/>
  <c r="J1081" i="1" s="1"/>
  <c r="K1081" i="1" s="1" a="1"/>
  <c r="K1081" i="1" s="1"/>
  <c r="N1081" i="1" s="1" a="1"/>
  <c r="N1081" i="1" s="1"/>
  <c r="I1081" i="1" a="1"/>
  <c r="I1081" i="1" s="1"/>
  <c r="F1081" i="1" a="1"/>
  <c r="F1081" i="1"/>
  <c r="E1081" i="1" a="1"/>
  <c r="E1081" i="1" s="1"/>
  <c r="L1080" i="1" a="1"/>
  <c r="L1080" i="1"/>
  <c r="J1080" i="1" a="1"/>
  <c r="J1080" i="1" s="1"/>
  <c r="I1080" i="1" a="1"/>
  <c r="I1080" i="1" s="1"/>
  <c r="K1080" i="1" s="1" a="1"/>
  <c r="K1080" i="1" s="1"/>
  <c r="N1080" i="1" s="1" a="1"/>
  <c r="N1080" i="1" s="1"/>
  <c r="F1080" i="1" a="1"/>
  <c r="F1080" i="1" s="1"/>
  <c r="E1080" i="1" a="1"/>
  <c r="E1080" i="1" s="1"/>
  <c r="L1079" i="1" a="1"/>
  <c r="L1079" i="1"/>
  <c r="J1079" i="1" a="1"/>
  <c r="J1079" i="1"/>
  <c r="I1079" i="1" a="1"/>
  <c r="I1079" i="1" s="1"/>
  <c r="F1079" i="1" a="1"/>
  <c r="F1079" i="1" s="1"/>
  <c r="E1079" i="1" a="1"/>
  <c r="E1079" i="1" s="1"/>
  <c r="L1078" i="1" a="1"/>
  <c r="L1078" i="1"/>
  <c r="J1078" i="1" a="1"/>
  <c r="J1078" i="1" s="1"/>
  <c r="I1078" i="1" a="1"/>
  <c r="I1078" i="1"/>
  <c r="F1078" i="1" a="1"/>
  <c r="F1078" i="1" s="1"/>
  <c r="E1078" i="1" a="1"/>
  <c r="E1078" i="1" s="1"/>
  <c r="L1077" i="1" a="1"/>
  <c r="L1077" i="1" s="1"/>
  <c r="J1077" i="1" a="1"/>
  <c r="J1077" i="1" s="1"/>
  <c r="I1077" i="1" a="1"/>
  <c r="I1077" i="1" s="1"/>
  <c r="F1077" i="1" a="1"/>
  <c r="F1077" i="1"/>
  <c r="E1077" i="1" a="1"/>
  <c r="E1077" i="1" s="1"/>
  <c r="L1076" i="1" a="1"/>
  <c r="L1076" i="1"/>
  <c r="J1076" i="1" a="1"/>
  <c r="J1076" i="1" s="1"/>
  <c r="K1076" i="1" s="1" a="1"/>
  <c r="K1076" i="1" s="1"/>
  <c r="N1076" i="1" s="1" a="1"/>
  <c r="N1076" i="1" s="1"/>
  <c r="I1076" i="1" a="1"/>
  <c r="I1076" i="1" s="1"/>
  <c r="F1076" i="1" a="1"/>
  <c r="F1076" i="1" s="1"/>
  <c r="E1076" i="1" a="1"/>
  <c r="E1076" i="1" s="1"/>
  <c r="L1075" i="1" a="1"/>
  <c r="L1075" i="1"/>
  <c r="J1075" i="1" a="1"/>
  <c r="J1075" i="1"/>
  <c r="I1075" i="1" a="1"/>
  <c r="I1075" i="1" s="1"/>
  <c r="F1075" i="1" a="1"/>
  <c r="F1075" i="1" s="1"/>
  <c r="E1075" i="1" a="1"/>
  <c r="E1075" i="1" s="1"/>
  <c r="L1074" i="1" a="1"/>
  <c r="L1074" i="1"/>
  <c r="J1074" i="1" a="1"/>
  <c r="J1074" i="1" s="1"/>
  <c r="I1074" i="1" a="1"/>
  <c r="I1074" i="1" s="1"/>
  <c r="F1074" i="1" a="1"/>
  <c r="F1074" i="1" s="1"/>
  <c r="E1074" i="1" a="1"/>
  <c r="E1074" i="1" s="1"/>
  <c r="L1073" i="1" a="1"/>
  <c r="L1073" i="1" s="1"/>
  <c r="J1073" i="1" a="1"/>
  <c r="J1073" i="1" s="1"/>
  <c r="I1073" i="1" a="1"/>
  <c r="I1073" i="1" s="1"/>
  <c r="F1073" i="1" a="1"/>
  <c r="F1073" i="1" s="1"/>
  <c r="E1073" i="1" a="1"/>
  <c r="E1073" i="1" s="1"/>
  <c r="L1072" i="1" a="1"/>
  <c r="L1072" i="1"/>
  <c r="J1072" i="1" a="1"/>
  <c r="J1072" i="1" s="1"/>
  <c r="K1072" i="1" s="1" a="1"/>
  <c r="K1072" i="1" s="1"/>
  <c r="N1072" i="1" s="1" a="1"/>
  <c r="N1072" i="1" s="1"/>
  <c r="I1072" i="1" a="1"/>
  <c r="I1072" i="1" s="1"/>
  <c r="F1072" i="1" a="1"/>
  <c r="F1072" i="1" s="1"/>
  <c r="E1072" i="1" a="1"/>
  <c r="E1072" i="1" s="1"/>
  <c r="L1071" i="1" a="1"/>
  <c r="L1071" i="1"/>
  <c r="J1071" i="1" a="1"/>
  <c r="J1071" i="1"/>
  <c r="K1071" i="1" s="1" a="1"/>
  <c r="K1071" i="1" s="1"/>
  <c r="I1071" i="1" a="1"/>
  <c r="I1071" i="1" s="1"/>
  <c r="F1071" i="1" a="1"/>
  <c r="F1071" i="1" s="1"/>
  <c r="E1071" i="1" a="1"/>
  <c r="E1071" i="1" s="1"/>
  <c r="L1070" i="1" a="1"/>
  <c r="L1070" i="1"/>
  <c r="J1070" i="1" a="1"/>
  <c r="J1070" i="1" s="1"/>
  <c r="I1070" i="1" a="1"/>
  <c r="I1070" i="1" s="1"/>
  <c r="F1070" i="1" a="1"/>
  <c r="F1070" i="1" s="1"/>
  <c r="E1070" i="1" a="1"/>
  <c r="E1070" i="1" s="1"/>
  <c r="L1069" i="1" a="1"/>
  <c r="L1069" i="1" s="1"/>
  <c r="J1069" i="1" a="1"/>
  <c r="J1069" i="1" s="1"/>
  <c r="I1069" i="1" a="1"/>
  <c r="I1069" i="1" s="1"/>
  <c r="F1069" i="1" a="1"/>
  <c r="F1069" i="1" s="1"/>
  <c r="E1069" i="1" a="1"/>
  <c r="E1069" i="1" s="1"/>
  <c r="L1068" i="1" a="1"/>
  <c r="L1068" i="1"/>
  <c r="J1068" i="1" a="1"/>
  <c r="J1068" i="1" s="1"/>
  <c r="K1068" i="1" s="1" a="1"/>
  <c r="K1068" i="1" s="1"/>
  <c r="N1068" i="1" s="1" a="1"/>
  <c r="N1068" i="1" s="1"/>
  <c r="I1068" i="1" a="1"/>
  <c r="I1068" i="1" s="1"/>
  <c r="F1068" i="1" a="1"/>
  <c r="F1068" i="1" s="1"/>
  <c r="E1068" i="1" a="1"/>
  <c r="E1068" i="1" s="1"/>
  <c r="L1067" i="1" a="1"/>
  <c r="L1067" i="1"/>
  <c r="J1067" i="1" a="1"/>
  <c r="J1067" i="1" s="1"/>
  <c r="K1067" i="1" s="1" a="1"/>
  <c r="K1067" i="1" s="1"/>
  <c r="I1067" i="1" a="1"/>
  <c r="I1067" i="1" s="1"/>
  <c r="F1067" i="1" a="1"/>
  <c r="F1067" i="1" s="1"/>
  <c r="E1067" i="1" a="1"/>
  <c r="E1067" i="1" s="1"/>
  <c r="L1066" i="1" a="1"/>
  <c r="L1066" i="1"/>
  <c r="O1066" i="1" s="1" a="1"/>
  <c r="O1066" i="1" s="1"/>
  <c r="J1066" i="1" a="1"/>
  <c r="J1066" i="1" s="1"/>
  <c r="K1066" i="1" s="1" a="1"/>
  <c r="K1066" i="1" s="1"/>
  <c r="N1066" i="1" s="1" a="1"/>
  <c r="N1066" i="1" s="1"/>
  <c r="I1066" i="1" a="1"/>
  <c r="I1066" i="1"/>
  <c r="F1066" i="1" a="1"/>
  <c r="F1066" i="1" s="1"/>
  <c r="E1066" i="1" a="1"/>
  <c r="E1066" i="1" s="1"/>
  <c r="L1065" i="1" a="1"/>
  <c r="L1065" i="1" s="1"/>
  <c r="J1065" i="1" a="1"/>
  <c r="J1065" i="1" s="1"/>
  <c r="K1065" i="1" s="1" a="1"/>
  <c r="K1065" i="1" s="1"/>
  <c r="N1065" i="1" s="1" a="1"/>
  <c r="N1065" i="1" s="1"/>
  <c r="I1065" i="1" a="1"/>
  <c r="I1065" i="1" s="1"/>
  <c r="F1065" i="1" a="1"/>
  <c r="F1065" i="1"/>
  <c r="E1065" i="1" a="1"/>
  <c r="E1065" i="1" s="1"/>
  <c r="L1064" i="1" a="1"/>
  <c r="L1064" i="1"/>
  <c r="K1064" i="1" a="1"/>
  <c r="K1064" i="1" s="1"/>
  <c r="N1064" i="1" s="1" a="1"/>
  <c r="N1064" i="1" s="1"/>
  <c r="J1064" i="1" a="1"/>
  <c r="J1064" i="1" s="1"/>
  <c r="I1064" i="1" a="1"/>
  <c r="I1064" i="1" s="1"/>
  <c r="F1064" i="1" a="1"/>
  <c r="F1064" i="1" s="1"/>
  <c r="E1064" i="1" a="1"/>
  <c r="E1064" i="1" s="1"/>
  <c r="L1063" i="1" a="1"/>
  <c r="L1063" i="1"/>
  <c r="J1063" i="1" a="1"/>
  <c r="J1063" i="1" s="1"/>
  <c r="K1063" i="1" s="1" a="1"/>
  <c r="K1063" i="1" s="1"/>
  <c r="I1063" i="1" a="1"/>
  <c r="I1063" i="1" s="1"/>
  <c r="F1063" i="1" a="1"/>
  <c r="F1063" i="1" s="1"/>
  <c r="E1063" i="1" a="1"/>
  <c r="E1063" i="1" s="1"/>
  <c r="L1062" i="1" a="1"/>
  <c r="L1062" i="1"/>
  <c r="J1062" i="1" a="1"/>
  <c r="J1062" i="1" s="1"/>
  <c r="I1062" i="1" a="1"/>
  <c r="I1062" i="1" s="1"/>
  <c r="F1062" i="1" a="1"/>
  <c r="F1062" i="1" s="1"/>
  <c r="E1062" i="1" a="1"/>
  <c r="E1062" i="1" s="1"/>
  <c r="N1061" i="1"/>
  <c r="L1061" i="1" a="1"/>
  <c r="L1061" i="1" s="1"/>
  <c r="O1061" i="1" s="1" a="1"/>
  <c r="O1061" i="1" s="1"/>
  <c r="J1061" i="1" a="1"/>
  <c r="J1061" i="1" s="1"/>
  <c r="K1061" i="1" s="1" a="1"/>
  <c r="K1061" i="1" s="1"/>
  <c r="N1061" i="1" s="1" a="1"/>
  <c r="I1061" i="1" a="1"/>
  <c r="I1061" i="1" s="1"/>
  <c r="F1061" i="1" a="1"/>
  <c r="F1061" i="1"/>
  <c r="E1061" i="1" a="1"/>
  <c r="E1061" i="1" s="1"/>
  <c r="L1060" i="1" a="1"/>
  <c r="L1060" i="1"/>
  <c r="K1060" i="1" a="1"/>
  <c r="K1060" i="1" s="1"/>
  <c r="N1060" i="1" s="1" a="1"/>
  <c r="N1060" i="1" s="1"/>
  <c r="J1060" i="1" a="1"/>
  <c r="J1060" i="1" s="1"/>
  <c r="I1060" i="1" a="1"/>
  <c r="I1060" i="1" s="1"/>
  <c r="F1060" i="1" a="1"/>
  <c r="F1060" i="1" s="1"/>
  <c r="E1060" i="1" a="1"/>
  <c r="E1060" i="1" s="1"/>
  <c r="L1059" i="1" a="1"/>
  <c r="L1059" i="1"/>
  <c r="J1059" i="1" a="1"/>
  <c r="J1059" i="1"/>
  <c r="I1059" i="1" a="1"/>
  <c r="I1059" i="1" s="1"/>
  <c r="F1059" i="1" a="1"/>
  <c r="F1059" i="1" s="1"/>
  <c r="E1059" i="1" a="1"/>
  <c r="E1059" i="1" s="1"/>
  <c r="L1058" i="1" a="1"/>
  <c r="L1058" i="1"/>
  <c r="J1058" i="1" a="1"/>
  <c r="J1058" i="1" s="1"/>
  <c r="I1058" i="1" a="1"/>
  <c r="I1058" i="1" s="1"/>
  <c r="F1058" i="1" a="1"/>
  <c r="F1058" i="1" s="1"/>
  <c r="E1058" i="1" a="1"/>
  <c r="E1058" i="1" s="1"/>
  <c r="L1057" i="1" a="1"/>
  <c r="L1057" i="1" s="1"/>
  <c r="J1057" i="1" a="1"/>
  <c r="J1057" i="1" s="1"/>
  <c r="I1057" i="1" a="1"/>
  <c r="I1057" i="1" s="1"/>
  <c r="F1057" i="1" a="1"/>
  <c r="F1057" i="1" s="1"/>
  <c r="E1057" i="1" a="1"/>
  <c r="E1057" i="1" s="1"/>
  <c r="L1056" i="1" a="1"/>
  <c r="L1056" i="1" s="1"/>
  <c r="K1056" i="1" a="1"/>
  <c r="K1056" i="1" s="1"/>
  <c r="N1056" i="1" s="1" a="1"/>
  <c r="N1056" i="1" s="1"/>
  <c r="J1056" i="1" a="1"/>
  <c r="J1056" i="1" s="1"/>
  <c r="I1056" i="1" a="1"/>
  <c r="I1056" i="1"/>
  <c r="F1056" i="1" a="1"/>
  <c r="F1056" i="1" s="1"/>
  <c r="E1056" i="1" a="1"/>
  <c r="E1056" i="1" s="1"/>
  <c r="L1055" i="1" a="1"/>
  <c r="L1055" i="1" s="1"/>
  <c r="J1055" i="1" a="1"/>
  <c r="J1055" i="1" s="1"/>
  <c r="I1055" i="1" a="1"/>
  <c r="I1055" i="1" s="1"/>
  <c r="K1055" i="1" s="1" a="1"/>
  <c r="K1055" i="1" s="1"/>
  <c r="N1055" i="1" s="1" a="1"/>
  <c r="N1055" i="1" s="1"/>
  <c r="F1055" i="1" a="1"/>
  <c r="F1055" i="1" s="1"/>
  <c r="E1055" i="1" a="1"/>
  <c r="E1055" i="1" s="1"/>
  <c r="L1054" i="1" a="1"/>
  <c r="L1054" i="1" s="1"/>
  <c r="J1054" i="1" a="1"/>
  <c r="J1054" i="1" s="1"/>
  <c r="K1054" i="1" s="1" a="1"/>
  <c r="K1054" i="1" s="1"/>
  <c r="N1054" i="1" s="1" a="1"/>
  <c r="N1054" i="1" s="1"/>
  <c r="I1054" i="1" a="1"/>
  <c r="I1054" i="1" s="1"/>
  <c r="F1054" i="1" a="1"/>
  <c r="F1054" i="1" s="1"/>
  <c r="E1054" i="1" a="1"/>
  <c r="E1054" i="1" s="1"/>
  <c r="L1053" i="1" a="1"/>
  <c r="L1053" i="1" s="1"/>
  <c r="J1053" i="1" a="1"/>
  <c r="J1053" i="1" s="1"/>
  <c r="I1053" i="1" a="1"/>
  <c r="I1053" i="1"/>
  <c r="K1053" i="1" s="1" a="1"/>
  <c r="K1053" i="1" s="1"/>
  <c r="N1053" i="1" s="1" a="1"/>
  <c r="N1053" i="1" s="1"/>
  <c r="F1053" i="1" a="1"/>
  <c r="F1053" i="1" s="1"/>
  <c r="E1053" i="1" a="1"/>
  <c r="E1053" i="1" s="1"/>
  <c r="L1052" i="1" a="1"/>
  <c r="L1052" i="1" s="1"/>
  <c r="J1052" i="1" a="1"/>
  <c r="J1052" i="1" s="1"/>
  <c r="I1052" i="1" a="1"/>
  <c r="I1052" i="1"/>
  <c r="K1052" i="1" s="1" a="1"/>
  <c r="K1052" i="1" s="1"/>
  <c r="N1052" i="1" s="1" a="1"/>
  <c r="N1052" i="1" s="1"/>
  <c r="F1052" i="1" a="1"/>
  <c r="F1052" i="1" s="1"/>
  <c r="E1052" i="1" a="1"/>
  <c r="E1052" i="1" s="1"/>
  <c r="L1051" i="1" a="1"/>
  <c r="L1051" i="1" s="1"/>
  <c r="J1051" i="1" a="1"/>
  <c r="J1051" i="1" s="1"/>
  <c r="I1051" i="1" a="1"/>
  <c r="I1051" i="1"/>
  <c r="F1051" i="1" a="1"/>
  <c r="F1051" i="1" s="1"/>
  <c r="E1051" i="1" a="1"/>
  <c r="E1051" i="1" s="1"/>
  <c r="L1050" i="1" a="1"/>
  <c r="L1050" i="1" s="1"/>
  <c r="J1050" i="1" a="1"/>
  <c r="J1050" i="1" s="1"/>
  <c r="K1050" i="1" s="1" a="1"/>
  <c r="K1050" i="1" s="1"/>
  <c r="N1050" i="1" s="1" a="1"/>
  <c r="N1050" i="1" s="1"/>
  <c r="I1050" i="1" a="1"/>
  <c r="I1050" i="1" s="1"/>
  <c r="F1050" i="1" a="1"/>
  <c r="F1050" i="1" s="1"/>
  <c r="E1050" i="1" a="1"/>
  <c r="E1050" i="1" s="1"/>
  <c r="L1049" i="1" a="1"/>
  <c r="L1049" i="1" s="1"/>
  <c r="O1049" i="1" s="1" a="1"/>
  <c r="O1049" i="1" s="1"/>
  <c r="J1049" i="1" a="1"/>
  <c r="J1049" i="1" s="1"/>
  <c r="I1049" i="1" a="1"/>
  <c r="I1049" i="1" s="1"/>
  <c r="K1049" i="1" s="1" a="1"/>
  <c r="K1049" i="1" s="1"/>
  <c r="N1049" i="1" s="1" a="1"/>
  <c r="N1049" i="1" s="1"/>
  <c r="F1049" i="1" a="1"/>
  <c r="F1049" i="1" s="1"/>
  <c r="E1049" i="1" a="1"/>
  <c r="E1049" i="1" s="1"/>
  <c r="O1048" i="1" a="1"/>
  <c r="O1048" i="1" s="1"/>
  <c r="N1048" i="1" a="1"/>
  <c r="N1048" i="1" s="1"/>
  <c r="L1048" i="1" a="1"/>
  <c r="L1048" i="1" s="1"/>
  <c r="K1048" i="1" a="1"/>
  <c r="K1048" i="1" s="1"/>
  <c r="J1048" i="1" a="1"/>
  <c r="J1048" i="1" s="1"/>
  <c r="I1048" i="1" a="1"/>
  <c r="I1048" i="1"/>
  <c r="F1048" i="1" a="1"/>
  <c r="F1048" i="1" s="1"/>
  <c r="E1048" i="1" a="1"/>
  <c r="E1048" i="1" s="1"/>
  <c r="L1047" i="1" a="1"/>
  <c r="L1047" i="1" s="1"/>
  <c r="J1047" i="1" a="1"/>
  <c r="J1047" i="1" s="1"/>
  <c r="K1047" i="1" s="1" a="1"/>
  <c r="K1047" i="1" s="1"/>
  <c r="I1047" i="1" a="1"/>
  <c r="I1047" i="1"/>
  <c r="F1047" i="1" a="1"/>
  <c r="F1047" i="1" s="1"/>
  <c r="E1047" i="1" a="1"/>
  <c r="E1047" i="1" s="1"/>
  <c r="L1046" i="1" a="1"/>
  <c r="L1046" i="1" s="1"/>
  <c r="O1046" i="1" s="1" a="1"/>
  <c r="O1046" i="1" s="1"/>
  <c r="J1046" i="1" a="1"/>
  <c r="J1046" i="1" s="1"/>
  <c r="K1046" i="1" s="1" a="1"/>
  <c r="K1046" i="1" s="1"/>
  <c r="N1046" i="1" s="1" a="1"/>
  <c r="N1046" i="1" s="1"/>
  <c r="I1046" i="1" a="1"/>
  <c r="I1046" i="1" s="1"/>
  <c r="F1046" i="1" a="1"/>
  <c r="F1046" i="1" s="1"/>
  <c r="E1046" i="1" a="1"/>
  <c r="E1046" i="1" s="1"/>
  <c r="L1045" i="1" a="1"/>
  <c r="L1045" i="1" s="1"/>
  <c r="J1045" i="1" a="1"/>
  <c r="J1045" i="1" s="1"/>
  <c r="I1045" i="1" a="1"/>
  <c r="I1045" i="1" s="1"/>
  <c r="K1045" i="1" s="1" a="1"/>
  <c r="K1045" i="1" s="1"/>
  <c r="N1045" i="1" s="1" a="1"/>
  <c r="N1045" i="1" s="1"/>
  <c r="F1045" i="1" a="1"/>
  <c r="F1045" i="1" s="1"/>
  <c r="E1045" i="1" a="1"/>
  <c r="E1045" i="1" s="1"/>
  <c r="L1044" i="1" a="1"/>
  <c r="L1044" i="1" s="1"/>
  <c r="J1044" i="1" a="1"/>
  <c r="J1044" i="1" s="1"/>
  <c r="I1044" i="1" a="1"/>
  <c r="I1044" i="1"/>
  <c r="K1044" i="1" s="1" a="1"/>
  <c r="K1044" i="1" s="1"/>
  <c r="O1044" i="1" s="1" a="1"/>
  <c r="O1044" i="1" s="1"/>
  <c r="F1044" i="1" a="1"/>
  <c r="F1044" i="1" s="1"/>
  <c r="E1044" i="1" a="1"/>
  <c r="E1044" i="1" s="1"/>
  <c r="L1043" i="1" a="1"/>
  <c r="L1043" i="1" s="1"/>
  <c r="J1043" i="1" a="1"/>
  <c r="J1043" i="1" s="1"/>
  <c r="I1043" i="1" a="1"/>
  <c r="I1043" i="1"/>
  <c r="F1043" i="1" a="1"/>
  <c r="F1043" i="1" s="1"/>
  <c r="E1043" i="1" a="1"/>
  <c r="E1043" i="1" s="1"/>
  <c r="L1042" i="1" a="1"/>
  <c r="L1042" i="1" s="1"/>
  <c r="J1042" i="1" a="1"/>
  <c r="J1042" i="1" s="1"/>
  <c r="K1042" i="1" s="1" a="1"/>
  <c r="K1042" i="1" s="1"/>
  <c r="N1042" i="1" s="1" a="1"/>
  <c r="N1042" i="1" s="1"/>
  <c r="I1042" i="1" a="1"/>
  <c r="I1042" i="1" s="1"/>
  <c r="F1042" i="1" a="1"/>
  <c r="F1042" i="1" s="1"/>
  <c r="E1042" i="1" a="1"/>
  <c r="E1042" i="1" s="1"/>
  <c r="L1041" i="1" a="1"/>
  <c r="L1041" i="1" s="1"/>
  <c r="O1041" i="1" s="1" a="1"/>
  <c r="O1041" i="1" s="1"/>
  <c r="J1041" i="1" a="1"/>
  <c r="J1041" i="1" s="1"/>
  <c r="I1041" i="1" a="1"/>
  <c r="I1041" i="1" s="1"/>
  <c r="K1041" i="1" s="1" a="1"/>
  <c r="K1041" i="1" s="1"/>
  <c r="N1041" i="1" s="1" a="1"/>
  <c r="N1041" i="1" s="1"/>
  <c r="F1041" i="1" a="1"/>
  <c r="F1041" i="1" s="1"/>
  <c r="E1041" i="1" a="1"/>
  <c r="E1041" i="1" s="1"/>
  <c r="L1040" i="1" a="1"/>
  <c r="L1040" i="1" s="1"/>
  <c r="J1040" i="1" a="1"/>
  <c r="J1040" i="1" s="1"/>
  <c r="I1040" i="1" a="1"/>
  <c r="I1040" i="1"/>
  <c r="K1040" i="1" s="1" a="1"/>
  <c r="K1040" i="1" s="1"/>
  <c r="O1040" i="1" s="1" a="1"/>
  <c r="O1040" i="1" s="1"/>
  <c r="F1040" i="1" a="1"/>
  <c r="F1040" i="1" s="1"/>
  <c r="E1040" i="1" a="1"/>
  <c r="E1040" i="1" s="1"/>
  <c r="L1039" i="1" a="1"/>
  <c r="L1039" i="1" s="1"/>
  <c r="J1039" i="1" a="1"/>
  <c r="J1039" i="1" s="1"/>
  <c r="I1039" i="1" a="1"/>
  <c r="I1039" i="1"/>
  <c r="F1039" i="1" a="1"/>
  <c r="F1039" i="1" s="1"/>
  <c r="E1039" i="1" a="1"/>
  <c r="E1039" i="1" s="1"/>
  <c r="L1038" i="1" a="1"/>
  <c r="L1038" i="1" s="1"/>
  <c r="J1038" i="1" a="1"/>
  <c r="J1038" i="1" s="1"/>
  <c r="I1038" i="1" a="1"/>
  <c r="I1038" i="1" s="1"/>
  <c r="F1038" i="1" a="1"/>
  <c r="F1038" i="1" s="1"/>
  <c r="E1038" i="1" a="1"/>
  <c r="E1038" i="1" s="1"/>
  <c r="L1037" i="1" a="1"/>
  <c r="L1037" i="1" s="1"/>
  <c r="O1037" i="1" s="1" a="1"/>
  <c r="O1037" i="1" s="1"/>
  <c r="J1037" i="1" a="1"/>
  <c r="J1037" i="1" s="1"/>
  <c r="I1037" i="1" a="1"/>
  <c r="I1037" i="1" s="1"/>
  <c r="K1037" i="1" s="1" a="1"/>
  <c r="K1037" i="1" s="1"/>
  <c r="N1037" i="1" s="1" a="1"/>
  <c r="N1037" i="1" s="1"/>
  <c r="F1037" i="1" a="1"/>
  <c r="F1037" i="1" s="1"/>
  <c r="E1037" i="1" a="1"/>
  <c r="E1037" i="1" s="1"/>
  <c r="N1036" i="1" a="1"/>
  <c r="N1036" i="1" s="1"/>
  <c r="L1036" i="1" a="1"/>
  <c r="L1036" i="1" s="1"/>
  <c r="J1036" i="1" a="1"/>
  <c r="J1036" i="1" s="1"/>
  <c r="I1036" i="1" a="1"/>
  <c r="I1036" i="1"/>
  <c r="K1036" i="1" s="1" a="1"/>
  <c r="K1036" i="1" s="1"/>
  <c r="O1036" i="1" s="1" a="1"/>
  <c r="O1036" i="1" s="1"/>
  <c r="F1036" i="1" a="1"/>
  <c r="F1036" i="1" s="1"/>
  <c r="E1036" i="1" a="1"/>
  <c r="E1036" i="1" s="1"/>
  <c r="L1035" i="1" a="1"/>
  <c r="L1035" i="1" s="1"/>
  <c r="J1035" i="1" a="1"/>
  <c r="J1035" i="1" s="1"/>
  <c r="K1035" i="1" s="1" a="1"/>
  <c r="K1035" i="1" s="1"/>
  <c r="I1035" i="1" a="1"/>
  <c r="I1035" i="1"/>
  <c r="F1035" i="1" a="1"/>
  <c r="F1035" i="1" s="1"/>
  <c r="E1035" i="1" a="1"/>
  <c r="E1035" i="1" s="1"/>
  <c r="L1034" i="1" a="1"/>
  <c r="L1034" i="1" s="1"/>
  <c r="J1034" i="1" a="1"/>
  <c r="J1034" i="1" s="1"/>
  <c r="I1034" i="1" a="1"/>
  <c r="I1034" i="1" s="1"/>
  <c r="F1034" i="1" a="1"/>
  <c r="F1034" i="1" s="1"/>
  <c r="E1034" i="1" a="1"/>
  <c r="E1034" i="1" s="1"/>
  <c r="L1033" i="1" a="1"/>
  <c r="L1033" i="1" s="1"/>
  <c r="J1033" i="1" a="1"/>
  <c r="J1033" i="1" s="1"/>
  <c r="I1033" i="1" a="1"/>
  <c r="I1033" i="1" s="1"/>
  <c r="K1033" i="1" s="1" a="1"/>
  <c r="K1033" i="1" s="1"/>
  <c r="N1033" i="1" s="1" a="1"/>
  <c r="N1033" i="1" s="1"/>
  <c r="F1033" i="1" a="1"/>
  <c r="F1033" i="1" s="1"/>
  <c r="E1033" i="1" a="1"/>
  <c r="E1033" i="1" s="1"/>
  <c r="N1032" i="1" a="1"/>
  <c r="N1032" i="1" s="1"/>
  <c r="L1032" i="1" a="1"/>
  <c r="L1032" i="1" s="1"/>
  <c r="J1032" i="1" a="1"/>
  <c r="J1032" i="1" s="1"/>
  <c r="I1032" i="1" a="1"/>
  <c r="I1032" i="1"/>
  <c r="K1032" i="1" s="1" a="1"/>
  <c r="K1032" i="1" s="1"/>
  <c r="O1032" i="1" s="1" a="1"/>
  <c r="O1032" i="1" s="1"/>
  <c r="F1032" i="1" a="1"/>
  <c r="F1032" i="1" s="1"/>
  <c r="E1032" i="1" a="1"/>
  <c r="E1032" i="1" s="1"/>
  <c r="L1031" i="1" a="1"/>
  <c r="L1031" i="1" s="1"/>
  <c r="J1031" i="1" a="1"/>
  <c r="J1031" i="1" s="1"/>
  <c r="K1031" i="1" s="1" a="1"/>
  <c r="K1031" i="1" s="1"/>
  <c r="I1031" i="1" a="1"/>
  <c r="I1031" i="1"/>
  <c r="F1031" i="1" a="1"/>
  <c r="F1031" i="1" s="1"/>
  <c r="E1031" i="1" a="1"/>
  <c r="E1031" i="1" s="1"/>
  <c r="L1030" i="1" a="1"/>
  <c r="L1030" i="1" s="1"/>
  <c r="J1030" i="1" a="1"/>
  <c r="J1030" i="1" s="1"/>
  <c r="K1030" i="1" s="1" a="1"/>
  <c r="K1030" i="1" s="1"/>
  <c r="N1030" i="1" s="1" a="1"/>
  <c r="N1030" i="1" s="1"/>
  <c r="I1030" i="1" a="1"/>
  <c r="I1030" i="1" s="1"/>
  <c r="F1030" i="1" a="1"/>
  <c r="F1030" i="1" s="1"/>
  <c r="E1030" i="1" a="1"/>
  <c r="E1030" i="1" s="1"/>
  <c r="L1029" i="1" a="1"/>
  <c r="L1029" i="1" s="1"/>
  <c r="J1029" i="1" a="1"/>
  <c r="J1029" i="1" s="1"/>
  <c r="I1029" i="1" a="1"/>
  <c r="I1029" i="1" s="1"/>
  <c r="K1029" i="1" s="1" a="1"/>
  <c r="K1029" i="1" s="1"/>
  <c r="N1029" i="1" s="1" a="1"/>
  <c r="N1029" i="1" s="1"/>
  <c r="F1029" i="1" a="1"/>
  <c r="F1029" i="1" s="1"/>
  <c r="E1029" i="1" a="1"/>
  <c r="E1029" i="1" s="1"/>
  <c r="N1028" i="1" a="1"/>
  <c r="N1028" i="1" s="1"/>
  <c r="L1028" i="1" a="1"/>
  <c r="L1028" i="1" s="1"/>
  <c r="J1028" i="1" a="1"/>
  <c r="J1028" i="1" s="1"/>
  <c r="I1028" i="1" a="1"/>
  <c r="I1028" i="1"/>
  <c r="K1028" i="1" s="1" a="1"/>
  <c r="K1028" i="1" s="1"/>
  <c r="O1028" i="1" s="1" a="1"/>
  <c r="O1028" i="1" s="1"/>
  <c r="F1028" i="1" a="1"/>
  <c r="F1028" i="1" s="1"/>
  <c r="E1028" i="1" a="1"/>
  <c r="E1028" i="1" s="1"/>
  <c r="L1027" i="1" a="1"/>
  <c r="L1027" i="1" s="1"/>
  <c r="J1027" i="1" a="1"/>
  <c r="J1027" i="1" s="1"/>
  <c r="I1027" i="1" a="1"/>
  <c r="I1027" i="1"/>
  <c r="F1027" i="1" a="1"/>
  <c r="F1027" i="1" s="1"/>
  <c r="E1027" i="1" a="1"/>
  <c r="E1027" i="1" s="1"/>
  <c r="L1026" i="1" a="1"/>
  <c r="L1026" i="1" s="1"/>
  <c r="J1026" i="1" a="1"/>
  <c r="J1026" i="1" s="1"/>
  <c r="I1026" i="1" a="1"/>
  <c r="I1026" i="1" s="1"/>
  <c r="F1026" i="1" a="1"/>
  <c r="F1026" i="1" s="1"/>
  <c r="E1026" i="1" a="1"/>
  <c r="E1026" i="1" s="1"/>
  <c r="L1025" i="1" a="1"/>
  <c r="L1025" i="1" s="1"/>
  <c r="O1025" i="1" s="1" a="1"/>
  <c r="O1025" i="1" s="1"/>
  <c r="J1025" i="1" a="1"/>
  <c r="J1025" i="1" s="1"/>
  <c r="I1025" i="1" a="1"/>
  <c r="I1025" i="1" s="1"/>
  <c r="K1025" i="1" s="1" a="1"/>
  <c r="K1025" i="1" s="1"/>
  <c r="N1025" i="1" s="1" a="1"/>
  <c r="N1025" i="1" s="1"/>
  <c r="F1025" i="1" a="1"/>
  <c r="F1025" i="1" s="1"/>
  <c r="E1025" i="1" a="1"/>
  <c r="E1025" i="1" s="1"/>
  <c r="N1024" i="1" a="1"/>
  <c r="N1024" i="1" s="1"/>
  <c r="L1024" i="1" a="1"/>
  <c r="L1024" i="1" s="1"/>
  <c r="J1024" i="1" a="1"/>
  <c r="J1024" i="1" s="1"/>
  <c r="I1024" i="1" a="1"/>
  <c r="I1024" i="1"/>
  <c r="K1024" i="1" s="1" a="1"/>
  <c r="K1024" i="1" s="1"/>
  <c r="O1024" i="1" s="1" a="1"/>
  <c r="O1024" i="1" s="1"/>
  <c r="F1024" i="1" a="1"/>
  <c r="F1024" i="1" s="1"/>
  <c r="E1024" i="1" a="1"/>
  <c r="E1024" i="1" s="1"/>
  <c r="L1023" i="1" a="1"/>
  <c r="L1023" i="1" s="1"/>
  <c r="J1023" i="1" a="1"/>
  <c r="J1023" i="1" s="1"/>
  <c r="I1023" i="1" a="1"/>
  <c r="I1023" i="1"/>
  <c r="F1023" i="1" a="1"/>
  <c r="F1023" i="1" s="1"/>
  <c r="E1023" i="1" a="1"/>
  <c r="E1023" i="1" s="1"/>
  <c r="L1022" i="1" a="1"/>
  <c r="L1022" i="1" s="1"/>
  <c r="J1022" i="1" a="1"/>
  <c r="J1022" i="1" s="1"/>
  <c r="K1022" i="1" s="1" a="1"/>
  <c r="K1022" i="1" s="1"/>
  <c r="N1022" i="1" s="1" a="1"/>
  <c r="N1022" i="1" s="1"/>
  <c r="I1022" i="1" a="1"/>
  <c r="I1022" i="1" s="1"/>
  <c r="F1022" i="1" a="1"/>
  <c r="F1022" i="1" s="1"/>
  <c r="E1022" i="1" a="1"/>
  <c r="E1022" i="1" s="1"/>
  <c r="L1021" i="1" a="1"/>
  <c r="L1021" i="1" s="1"/>
  <c r="O1021" i="1" s="1" a="1"/>
  <c r="O1021" i="1" s="1"/>
  <c r="J1021" i="1" a="1"/>
  <c r="J1021" i="1" s="1"/>
  <c r="I1021" i="1" a="1"/>
  <c r="I1021" i="1" s="1"/>
  <c r="K1021" i="1" s="1" a="1"/>
  <c r="K1021" i="1" s="1"/>
  <c r="N1021" i="1" s="1" a="1"/>
  <c r="N1021" i="1" s="1"/>
  <c r="F1021" i="1" a="1"/>
  <c r="F1021" i="1" s="1"/>
  <c r="E1021" i="1" a="1"/>
  <c r="E1021" i="1" s="1"/>
  <c r="L1020" i="1" a="1"/>
  <c r="L1020" i="1" s="1"/>
  <c r="J1020" i="1" a="1"/>
  <c r="J1020" i="1" s="1"/>
  <c r="I1020" i="1" a="1"/>
  <c r="I1020" i="1"/>
  <c r="K1020" i="1" s="1" a="1"/>
  <c r="K1020" i="1" s="1"/>
  <c r="F1020" i="1" a="1"/>
  <c r="F1020" i="1" s="1"/>
  <c r="E1020" i="1" a="1"/>
  <c r="E1020" i="1" s="1"/>
  <c r="L1019" i="1" a="1"/>
  <c r="L1019" i="1" s="1"/>
  <c r="J1019" i="1" a="1"/>
  <c r="J1019" i="1" s="1"/>
  <c r="K1019" i="1" s="1" a="1"/>
  <c r="K1019" i="1" s="1"/>
  <c r="I1019" i="1" a="1"/>
  <c r="I1019" i="1"/>
  <c r="F1019" i="1" a="1"/>
  <c r="F1019" i="1" s="1"/>
  <c r="E1019" i="1" a="1"/>
  <c r="E1019" i="1" s="1"/>
  <c r="L1018" i="1" a="1"/>
  <c r="L1018" i="1" s="1"/>
  <c r="J1018" i="1" a="1"/>
  <c r="J1018" i="1" s="1"/>
  <c r="I1018" i="1" a="1"/>
  <c r="I1018" i="1" s="1"/>
  <c r="F1018" i="1" a="1"/>
  <c r="F1018" i="1" s="1"/>
  <c r="E1018" i="1" a="1"/>
  <c r="E1018" i="1" s="1"/>
  <c r="L1017" i="1" a="1"/>
  <c r="L1017" i="1" s="1"/>
  <c r="J1017" i="1" a="1"/>
  <c r="J1017" i="1" s="1"/>
  <c r="I1017" i="1" a="1"/>
  <c r="I1017" i="1" s="1"/>
  <c r="K1017" i="1" s="1" a="1"/>
  <c r="K1017" i="1" s="1"/>
  <c r="N1017" i="1" s="1" a="1"/>
  <c r="N1017" i="1" s="1"/>
  <c r="F1017" i="1" a="1"/>
  <c r="F1017" i="1" s="1"/>
  <c r="E1017" i="1" a="1"/>
  <c r="E1017" i="1" s="1"/>
  <c r="N1016" i="1" a="1"/>
  <c r="N1016" i="1" s="1"/>
  <c r="L1016" i="1" a="1"/>
  <c r="L1016" i="1" s="1"/>
  <c r="J1016" i="1" a="1"/>
  <c r="J1016" i="1" s="1"/>
  <c r="I1016" i="1" a="1"/>
  <c r="I1016" i="1"/>
  <c r="K1016" i="1" s="1" a="1"/>
  <c r="K1016" i="1" s="1"/>
  <c r="O1016" i="1" s="1" a="1"/>
  <c r="O1016" i="1" s="1"/>
  <c r="F1016" i="1" a="1"/>
  <c r="F1016" i="1" s="1"/>
  <c r="E1016" i="1" a="1"/>
  <c r="E1016" i="1" s="1"/>
  <c r="L1015" i="1" a="1"/>
  <c r="L1015" i="1" s="1"/>
  <c r="J1015" i="1" a="1"/>
  <c r="J1015" i="1" s="1"/>
  <c r="K1015" i="1" s="1" a="1"/>
  <c r="K1015" i="1" s="1"/>
  <c r="I1015" i="1" a="1"/>
  <c r="I1015" i="1"/>
  <c r="F1015" i="1" a="1"/>
  <c r="F1015" i="1" s="1"/>
  <c r="E1015" i="1" a="1"/>
  <c r="E1015" i="1" s="1"/>
  <c r="L1014" i="1" a="1"/>
  <c r="L1014" i="1" s="1"/>
  <c r="O1014" i="1" s="1" a="1"/>
  <c r="O1014" i="1" s="1"/>
  <c r="J1014" i="1" a="1"/>
  <c r="J1014" i="1" s="1"/>
  <c r="K1014" i="1" s="1" a="1"/>
  <c r="K1014" i="1" s="1"/>
  <c r="N1014" i="1" s="1" a="1"/>
  <c r="N1014" i="1" s="1"/>
  <c r="I1014" i="1" a="1"/>
  <c r="I1014" i="1" s="1"/>
  <c r="F1014" i="1" a="1"/>
  <c r="F1014" i="1" s="1"/>
  <c r="E1014" i="1" a="1"/>
  <c r="E1014" i="1" s="1"/>
  <c r="L1013" i="1" a="1"/>
  <c r="L1013" i="1" s="1"/>
  <c r="J1013" i="1" a="1"/>
  <c r="J1013" i="1" s="1"/>
  <c r="I1013" i="1" a="1"/>
  <c r="I1013" i="1" s="1"/>
  <c r="K1013" i="1" s="1" a="1"/>
  <c r="K1013" i="1" s="1"/>
  <c r="N1013" i="1" s="1" a="1"/>
  <c r="N1013" i="1" s="1"/>
  <c r="F1013" i="1" a="1"/>
  <c r="F1013" i="1" s="1"/>
  <c r="E1013" i="1" a="1"/>
  <c r="E1013" i="1" s="1"/>
  <c r="L1012" i="1" a="1"/>
  <c r="L1012" i="1" s="1"/>
  <c r="J1012" i="1" a="1"/>
  <c r="J1012" i="1" s="1"/>
  <c r="I1012" i="1" a="1"/>
  <c r="I1012" i="1"/>
  <c r="K1012" i="1" s="1" a="1"/>
  <c r="K1012" i="1" s="1"/>
  <c r="O1012" i="1" s="1" a="1"/>
  <c r="O1012" i="1" s="1"/>
  <c r="F1012" i="1" a="1"/>
  <c r="F1012" i="1" s="1"/>
  <c r="E1012" i="1" a="1"/>
  <c r="E1012" i="1" s="1"/>
  <c r="L1011" i="1" a="1"/>
  <c r="L1011" i="1" s="1"/>
  <c r="J1011" i="1" a="1"/>
  <c r="J1011" i="1" s="1"/>
  <c r="I1011" i="1" a="1"/>
  <c r="I1011" i="1"/>
  <c r="F1011" i="1" a="1"/>
  <c r="F1011" i="1" s="1"/>
  <c r="E1011" i="1" a="1"/>
  <c r="E1011" i="1" s="1"/>
  <c r="L1010" i="1" a="1"/>
  <c r="L1010" i="1" s="1"/>
  <c r="J1010" i="1" a="1"/>
  <c r="J1010" i="1" s="1"/>
  <c r="K1010" i="1" s="1" a="1"/>
  <c r="K1010" i="1" s="1"/>
  <c r="N1010" i="1" s="1" a="1"/>
  <c r="N1010" i="1" s="1"/>
  <c r="I1010" i="1" a="1"/>
  <c r="I1010" i="1" s="1"/>
  <c r="F1010" i="1" a="1"/>
  <c r="F1010" i="1" s="1"/>
  <c r="E1010" i="1" a="1"/>
  <c r="E1010" i="1" s="1"/>
  <c r="L1009" i="1" a="1"/>
  <c r="L1009" i="1" s="1"/>
  <c r="O1009" i="1" s="1" a="1"/>
  <c r="O1009" i="1" s="1"/>
  <c r="J1009" i="1" a="1"/>
  <c r="J1009" i="1" s="1"/>
  <c r="I1009" i="1" a="1"/>
  <c r="I1009" i="1" s="1"/>
  <c r="K1009" i="1" s="1" a="1"/>
  <c r="K1009" i="1" s="1"/>
  <c r="N1009" i="1" s="1" a="1"/>
  <c r="N1009" i="1" s="1"/>
  <c r="F1009" i="1" a="1"/>
  <c r="F1009" i="1" s="1"/>
  <c r="E1009" i="1" a="1"/>
  <c r="E1009" i="1" s="1"/>
  <c r="L1008" i="1" a="1"/>
  <c r="L1008" i="1" s="1"/>
  <c r="J1008" i="1" a="1"/>
  <c r="J1008" i="1" s="1"/>
  <c r="I1008" i="1" a="1"/>
  <c r="I1008" i="1"/>
  <c r="K1008" i="1" s="1" a="1"/>
  <c r="K1008" i="1" s="1"/>
  <c r="O1008" i="1" s="1" a="1"/>
  <c r="O1008" i="1" s="1"/>
  <c r="F1008" i="1" a="1"/>
  <c r="F1008" i="1" s="1"/>
  <c r="E1008" i="1" a="1"/>
  <c r="E1008" i="1" s="1"/>
  <c r="L1007" i="1" a="1"/>
  <c r="L1007" i="1" s="1"/>
  <c r="J1007" i="1" a="1"/>
  <c r="J1007" i="1" s="1"/>
  <c r="I1007" i="1" a="1"/>
  <c r="I1007" i="1"/>
  <c r="F1007" i="1" a="1"/>
  <c r="F1007" i="1" s="1"/>
  <c r="E1007" i="1" a="1"/>
  <c r="E1007" i="1" s="1"/>
  <c r="L1006" i="1" a="1"/>
  <c r="L1006" i="1" s="1"/>
  <c r="J1006" i="1" a="1"/>
  <c r="J1006" i="1" s="1"/>
  <c r="I1006" i="1" a="1"/>
  <c r="I1006" i="1" s="1"/>
  <c r="F1006" i="1" a="1"/>
  <c r="F1006" i="1" s="1"/>
  <c r="E1006" i="1" a="1"/>
  <c r="E1006" i="1" s="1"/>
  <c r="L1005" i="1" a="1"/>
  <c r="L1005" i="1" s="1"/>
  <c r="O1005" i="1" s="1" a="1"/>
  <c r="O1005" i="1" s="1"/>
  <c r="J1005" i="1" a="1"/>
  <c r="J1005" i="1" s="1"/>
  <c r="I1005" i="1" a="1"/>
  <c r="I1005" i="1" s="1"/>
  <c r="K1005" i="1" s="1" a="1"/>
  <c r="K1005" i="1" s="1"/>
  <c r="N1005" i="1" s="1" a="1"/>
  <c r="N1005" i="1" s="1"/>
  <c r="F1005" i="1" a="1"/>
  <c r="F1005" i="1" s="1"/>
  <c r="E1005" i="1" a="1"/>
  <c r="E1005" i="1" s="1"/>
  <c r="N1004" i="1" a="1"/>
  <c r="N1004" i="1" s="1"/>
  <c r="L1004" i="1" a="1"/>
  <c r="L1004" i="1" s="1"/>
  <c r="J1004" i="1" a="1"/>
  <c r="J1004" i="1" s="1"/>
  <c r="I1004" i="1" a="1"/>
  <c r="I1004" i="1"/>
  <c r="K1004" i="1" s="1" a="1"/>
  <c r="K1004" i="1" s="1"/>
  <c r="O1004" i="1" s="1" a="1"/>
  <c r="O1004" i="1" s="1"/>
  <c r="F1004" i="1" a="1"/>
  <c r="F1004" i="1" s="1"/>
  <c r="E1004" i="1" a="1"/>
  <c r="E1004" i="1" s="1"/>
  <c r="L1003" i="1" a="1"/>
  <c r="L1003" i="1" s="1"/>
  <c r="J1003" i="1" a="1"/>
  <c r="J1003" i="1" s="1"/>
  <c r="K1003" i="1" s="1" a="1"/>
  <c r="K1003" i="1" s="1"/>
  <c r="I1003" i="1" a="1"/>
  <c r="I1003" i="1"/>
  <c r="F1003" i="1" a="1"/>
  <c r="F1003" i="1" s="1"/>
  <c r="E1003" i="1" a="1"/>
  <c r="E1003" i="1" s="1"/>
  <c r="L1002" i="1" a="1"/>
  <c r="L1002" i="1" s="1"/>
  <c r="J1002" i="1" a="1"/>
  <c r="J1002" i="1" s="1"/>
  <c r="I1002" i="1" a="1"/>
  <c r="I1002" i="1" s="1"/>
  <c r="F1002" i="1" a="1"/>
  <c r="F1002" i="1" s="1"/>
  <c r="E1002" i="1" a="1"/>
  <c r="E1002" i="1" s="1"/>
  <c r="L1001" i="1" a="1"/>
  <c r="L1001" i="1" s="1"/>
  <c r="J1001" i="1" a="1"/>
  <c r="J1001" i="1" s="1"/>
  <c r="I1001" i="1" a="1"/>
  <c r="I1001" i="1" s="1"/>
  <c r="K1001" i="1" s="1" a="1"/>
  <c r="K1001" i="1" s="1"/>
  <c r="N1001" i="1" s="1" a="1"/>
  <c r="N1001" i="1" s="1"/>
  <c r="F1001" i="1" a="1"/>
  <c r="F1001" i="1" s="1"/>
  <c r="E1001" i="1" a="1"/>
  <c r="E1001" i="1" s="1"/>
  <c r="L1000" i="1" a="1"/>
  <c r="L1000" i="1" s="1"/>
  <c r="J1000" i="1" a="1"/>
  <c r="J1000" i="1" s="1"/>
  <c r="I1000" i="1" a="1"/>
  <c r="I1000" i="1"/>
  <c r="K1000" i="1" s="1" a="1"/>
  <c r="K1000" i="1" s="1"/>
  <c r="O1000" i="1" s="1" a="1"/>
  <c r="O1000" i="1" s="1"/>
  <c r="F1000" i="1" a="1"/>
  <c r="F1000" i="1" s="1"/>
  <c r="E1000" i="1" a="1"/>
  <c r="E1000" i="1" s="1"/>
  <c r="L999" i="1" a="1"/>
  <c r="L999" i="1" s="1"/>
  <c r="J999" i="1" a="1"/>
  <c r="J999" i="1" s="1"/>
  <c r="K999" i="1" s="1" a="1"/>
  <c r="K999" i="1" s="1"/>
  <c r="I999" i="1" a="1"/>
  <c r="I999" i="1"/>
  <c r="F999" i="1" a="1"/>
  <c r="F999" i="1" s="1"/>
  <c r="E999" i="1" a="1"/>
  <c r="E999" i="1" s="1"/>
  <c r="L998" i="1" a="1"/>
  <c r="L998" i="1" s="1"/>
  <c r="J998" i="1" a="1"/>
  <c r="J998" i="1" s="1"/>
  <c r="K998" i="1" s="1" a="1"/>
  <c r="K998" i="1" s="1"/>
  <c r="N998" i="1" s="1" a="1"/>
  <c r="N998" i="1" s="1"/>
  <c r="I998" i="1" a="1"/>
  <c r="I998" i="1" s="1"/>
  <c r="F998" i="1" a="1"/>
  <c r="F998" i="1" s="1"/>
  <c r="E998" i="1" a="1"/>
  <c r="E998" i="1" s="1"/>
  <c r="L997" i="1" a="1"/>
  <c r="L997" i="1" s="1"/>
  <c r="J997" i="1" a="1"/>
  <c r="J997" i="1" s="1"/>
  <c r="I997" i="1" a="1"/>
  <c r="I997" i="1" s="1"/>
  <c r="K997" i="1" s="1" a="1"/>
  <c r="K997" i="1" s="1"/>
  <c r="N997" i="1" s="1" a="1"/>
  <c r="N997" i="1" s="1"/>
  <c r="F997" i="1" a="1"/>
  <c r="F997" i="1" s="1"/>
  <c r="E997" i="1" a="1"/>
  <c r="E997" i="1" s="1"/>
  <c r="N996" i="1" a="1"/>
  <c r="N996" i="1" s="1"/>
  <c r="L996" i="1" a="1"/>
  <c r="L996" i="1" s="1"/>
  <c r="J996" i="1" a="1"/>
  <c r="J996" i="1" s="1"/>
  <c r="I996" i="1" a="1"/>
  <c r="I996" i="1"/>
  <c r="K996" i="1" s="1" a="1"/>
  <c r="K996" i="1" s="1"/>
  <c r="O996" i="1" s="1" a="1"/>
  <c r="O996" i="1" s="1"/>
  <c r="F996" i="1" a="1"/>
  <c r="F996" i="1" s="1"/>
  <c r="E996" i="1" a="1"/>
  <c r="E996" i="1" s="1"/>
  <c r="L995" i="1" a="1"/>
  <c r="L995" i="1" s="1"/>
  <c r="J995" i="1" a="1"/>
  <c r="J995" i="1" s="1"/>
  <c r="I995" i="1" a="1"/>
  <c r="I995" i="1"/>
  <c r="F995" i="1" a="1"/>
  <c r="F995" i="1" s="1"/>
  <c r="E995" i="1" a="1"/>
  <c r="E995" i="1" s="1"/>
  <c r="L994" i="1" a="1"/>
  <c r="L994" i="1" s="1"/>
  <c r="J994" i="1" a="1"/>
  <c r="J994" i="1" s="1"/>
  <c r="I994" i="1" a="1"/>
  <c r="I994" i="1" s="1"/>
  <c r="F994" i="1" a="1"/>
  <c r="F994" i="1" s="1"/>
  <c r="E994" i="1" a="1"/>
  <c r="E994" i="1" s="1"/>
  <c r="L993" i="1" a="1"/>
  <c r="L993" i="1" s="1"/>
  <c r="O993" i="1" s="1" a="1"/>
  <c r="O993" i="1" s="1"/>
  <c r="J993" i="1" a="1"/>
  <c r="J993" i="1" s="1"/>
  <c r="I993" i="1" a="1"/>
  <c r="I993" i="1" s="1"/>
  <c r="K993" i="1" s="1" a="1"/>
  <c r="K993" i="1" s="1"/>
  <c r="N993" i="1" s="1" a="1"/>
  <c r="N993" i="1" s="1"/>
  <c r="F993" i="1" a="1"/>
  <c r="F993" i="1" s="1"/>
  <c r="E993" i="1" a="1"/>
  <c r="E993" i="1" s="1"/>
  <c r="N992" i="1" a="1"/>
  <c r="N992" i="1" s="1"/>
  <c r="L992" i="1" a="1"/>
  <c r="L992" i="1" s="1"/>
  <c r="J992" i="1" a="1"/>
  <c r="J992" i="1" s="1"/>
  <c r="I992" i="1" a="1"/>
  <c r="I992" i="1"/>
  <c r="K992" i="1" s="1" a="1"/>
  <c r="K992" i="1" s="1"/>
  <c r="O992" i="1" s="1" a="1"/>
  <c r="O992" i="1" s="1"/>
  <c r="F992" i="1" a="1"/>
  <c r="F992" i="1" s="1"/>
  <c r="E992" i="1" a="1"/>
  <c r="E992" i="1" s="1"/>
  <c r="L991" i="1" a="1"/>
  <c r="L991" i="1" s="1"/>
  <c r="J991" i="1" a="1"/>
  <c r="J991" i="1" s="1"/>
  <c r="I991" i="1" a="1"/>
  <c r="I991" i="1"/>
  <c r="F991" i="1" a="1"/>
  <c r="F991" i="1" s="1"/>
  <c r="E991" i="1" a="1"/>
  <c r="E991" i="1" s="1"/>
  <c r="L990" i="1" a="1"/>
  <c r="L990" i="1" s="1"/>
  <c r="J990" i="1" a="1"/>
  <c r="J990" i="1" s="1"/>
  <c r="K990" i="1" s="1" a="1"/>
  <c r="K990" i="1" s="1"/>
  <c r="N990" i="1" s="1" a="1"/>
  <c r="N990" i="1" s="1"/>
  <c r="I990" i="1" a="1"/>
  <c r="I990" i="1" s="1"/>
  <c r="F990" i="1" a="1"/>
  <c r="F990" i="1" s="1"/>
  <c r="E990" i="1" a="1"/>
  <c r="E990" i="1" s="1"/>
  <c r="L989" i="1" a="1"/>
  <c r="L989" i="1" s="1"/>
  <c r="O989" i="1" s="1" a="1"/>
  <c r="O989" i="1" s="1"/>
  <c r="J989" i="1" a="1"/>
  <c r="J989" i="1" s="1"/>
  <c r="I989" i="1" a="1"/>
  <c r="I989" i="1" s="1"/>
  <c r="K989" i="1" s="1" a="1"/>
  <c r="K989" i="1" s="1"/>
  <c r="N989" i="1" s="1" a="1"/>
  <c r="N989" i="1" s="1"/>
  <c r="F989" i="1" a="1"/>
  <c r="F989" i="1" s="1"/>
  <c r="E989" i="1" a="1"/>
  <c r="E989" i="1" s="1"/>
  <c r="L988" i="1" a="1"/>
  <c r="L988" i="1" s="1"/>
  <c r="J988" i="1" a="1"/>
  <c r="J988" i="1" s="1"/>
  <c r="I988" i="1" a="1"/>
  <c r="I988" i="1"/>
  <c r="K988" i="1" s="1" a="1"/>
  <c r="K988" i="1" s="1"/>
  <c r="F988" i="1" a="1"/>
  <c r="F988" i="1" s="1"/>
  <c r="E988" i="1" a="1"/>
  <c r="E988" i="1" s="1"/>
  <c r="L987" i="1" a="1"/>
  <c r="L987" i="1" s="1"/>
  <c r="J987" i="1" a="1"/>
  <c r="J987" i="1" s="1"/>
  <c r="K987" i="1" s="1" a="1"/>
  <c r="K987" i="1" s="1"/>
  <c r="I987" i="1" a="1"/>
  <c r="I987" i="1"/>
  <c r="F987" i="1" a="1"/>
  <c r="F987" i="1" s="1"/>
  <c r="E987" i="1" a="1"/>
  <c r="E987" i="1" s="1"/>
  <c r="L986" i="1" a="1"/>
  <c r="L986" i="1" s="1"/>
  <c r="J986" i="1" a="1"/>
  <c r="J986" i="1" s="1"/>
  <c r="I986" i="1" a="1"/>
  <c r="I986" i="1" s="1"/>
  <c r="F986" i="1" a="1"/>
  <c r="F986" i="1" s="1"/>
  <c r="E986" i="1" a="1"/>
  <c r="E986" i="1" s="1"/>
  <c r="L985" i="1" a="1"/>
  <c r="L985" i="1" s="1"/>
  <c r="J985" i="1" a="1"/>
  <c r="J985" i="1" s="1"/>
  <c r="I985" i="1" a="1"/>
  <c r="I985" i="1" s="1"/>
  <c r="K985" i="1" s="1" a="1"/>
  <c r="K985" i="1" s="1"/>
  <c r="N985" i="1" s="1" a="1"/>
  <c r="N985" i="1" s="1"/>
  <c r="F985" i="1" a="1"/>
  <c r="F985" i="1" s="1"/>
  <c r="E985" i="1" a="1"/>
  <c r="E985" i="1" s="1"/>
  <c r="N984" i="1" a="1"/>
  <c r="N984" i="1" s="1"/>
  <c r="L984" i="1" a="1"/>
  <c r="L984" i="1" s="1"/>
  <c r="J984" i="1" a="1"/>
  <c r="J984" i="1" s="1"/>
  <c r="I984" i="1" a="1"/>
  <c r="I984" i="1"/>
  <c r="K984" i="1" s="1" a="1"/>
  <c r="K984" i="1" s="1"/>
  <c r="O984" i="1" s="1" a="1"/>
  <c r="O984" i="1" s="1"/>
  <c r="F984" i="1" a="1"/>
  <c r="F984" i="1" s="1"/>
  <c r="E984" i="1" a="1"/>
  <c r="E984" i="1" s="1"/>
  <c r="L983" i="1" a="1"/>
  <c r="L983" i="1" s="1"/>
  <c r="J983" i="1" a="1"/>
  <c r="J983" i="1" s="1"/>
  <c r="K983" i="1" s="1" a="1"/>
  <c r="K983" i="1" s="1"/>
  <c r="I983" i="1" a="1"/>
  <c r="I983" i="1"/>
  <c r="F983" i="1" a="1"/>
  <c r="F983" i="1" s="1"/>
  <c r="E983" i="1" a="1"/>
  <c r="E983" i="1" s="1"/>
  <c r="L982" i="1" a="1"/>
  <c r="L982" i="1" s="1"/>
  <c r="O982" i="1" s="1" a="1"/>
  <c r="O982" i="1" s="1"/>
  <c r="J982" i="1" a="1"/>
  <c r="J982" i="1" s="1"/>
  <c r="K982" i="1" s="1" a="1"/>
  <c r="K982" i="1" s="1"/>
  <c r="N982" i="1" s="1" a="1"/>
  <c r="N982" i="1" s="1"/>
  <c r="I982" i="1" a="1"/>
  <c r="I982" i="1" s="1"/>
  <c r="F982" i="1" a="1"/>
  <c r="F982" i="1" s="1"/>
  <c r="E982" i="1" a="1"/>
  <c r="E982" i="1" s="1"/>
  <c r="L981" i="1" a="1"/>
  <c r="L981" i="1" s="1"/>
  <c r="J981" i="1" a="1"/>
  <c r="J981" i="1" s="1"/>
  <c r="I981" i="1" a="1"/>
  <c r="I981" i="1" s="1"/>
  <c r="K981" i="1" s="1" a="1"/>
  <c r="K981" i="1" s="1"/>
  <c r="N981" i="1" s="1" a="1"/>
  <c r="N981" i="1" s="1"/>
  <c r="F981" i="1" a="1"/>
  <c r="F981" i="1" s="1"/>
  <c r="E981" i="1" a="1"/>
  <c r="E981" i="1" s="1"/>
  <c r="L980" i="1" a="1"/>
  <c r="L980" i="1" s="1"/>
  <c r="J980" i="1" a="1"/>
  <c r="J980" i="1" s="1"/>
  <c r="I980" i="1" a="1"/>
  <c r="I980" i="1"/>
  <c r="K980" i="1" s="1" a="1"/>
  <c r="K980" i="1" s="1"/>
  <c r="O980" i="1" s="1" a="1"/>
  <c r="O980" i="1" s="1"/>
  <c r="F980" i="1" a="1"/>
  <c r="F980" i="1" s="1"/>
  <c r="E980" i="1" a="1"/>
  <c r="E980" i="1" s="1"/>
  <c r="L979" i="1" a="1"/>
  <c r="L979" i="1" s="1"/>
  <c r="J979" i="1" a="1"/>
  <c r="J979" i="1" s="1"/>
  <c r="I979" i="1" a="1"/>
  <c r="I979" i="1"/>
  <c r="F979" i="1" a="1"/>
  <c r="F979" i="1" s="1"/>
  <c r="E979" i="1" a="1"/>
  <c r="E979" i="1" s="1"/>
  <c r="L978" i="1" a="1"/>
  <c r="L978" i="1" s="1"/>
  <c r="J978" i="1" a="1"/>
  <c r="J978" i="1" s="1"/>
  <c r="K978" i="1" s="1" a="1"/>
  <c r="K978" i="1" s="1"/>
  <c r="N978" i="1" s="1" a="1"/>
  <c r="N978" i="1" s="1"/>
  <c r="I978" i="1" a="1"/>
  <c r="I978" i="1" s="1"/>
  <c r="F978" i="1" a="1"/>
  <c r="F978" i="1" s="1"/>
  <c r="E978" i="1" a="1"/>
  <c r="E978" i="1" s="1"/>
  <c r="L977" i="1" a="1"/>
  <c r="L977" i="1" s="1"/>
  <c r="O977" i="1" s="1" a="1"/>
  <c r="O977" i="1" s="1"/>
  <c r="J977" i="1" a="1"/>
  <c r="J977" i="1" s="1"/>
  <c r="I977" i="1" a="1"/>
  <c r="I977" i="1" s="1"/>
  <c r="K977" i="1" s="1" a="1"/>
  <c r="K977" i="1" s="1"/>
  <c r="N977" i="1" s="1" a="1"/>
  <c r="N977" i="1" s="1"/>
  <c r="F977" i="1" a="1"/>
  <c r="F977" i="1" s="1"/>
  <c r="E977" i="1" a="1"/>
  <c r="E977" i="1" s="1"/>
  <c r="L976" i="1" a="1"/>
  <c r="L976" i="1" s="1"/>
  <c r="J976" i="1" a="1"/>
  <c r="J976" i="1" s="1"/>
  <c r="I976" i="1" a="1"/>
  <c r="I976" i="1"/>
  <c r="K976" i="1" s="1" a="1"/>
  <c r="K976" i="1" s="1"/>
  <c r="O976" i="1" s="1" a="1"/>
  <c r="O976" i="1" s="1"/>
  <c r="F976" i="1" a="1"/>
  <c r="F976" i="1" s="1"/>
  <c r="E976" i="1" a="1"/>
  <c r="E976" i="1" s="1"/>
  <c r="L975" i="1" a="1"/>
  <c r="L975" i="1" s="1"/>
  <c r="J975" i="1" a="1"/>
  <c r="J975" i="1" s="1"/>
  <c r="I975" i="1" a="1"/>
  <c r="I975" i="1"/>
  <c r="F975" i="1" a="1"/>
  <c r="F975" i="1" s="1"/>
  <c r="E975" i="1" a="1"/>
  <c r="E975" i="1" s="1"/>
  <c r="L974" i="1" a="1"/>
  <c r="L974" i="1" s="1"/>
  <c r="J974" i="1" a="1"/>
  <c r="J974" i="1" s="1"/>
  <c r="I974" i="1" a="1"/>
  <c r="I974" i="1" s="1"/>
  <c r="F974" i="1" a="1"/>
  <c r="F974" i="1" s="1"/>
  <c r="E974" i="1" a="1"/>
  <c r="E974" i="1" s="1"/>
  <c r="L973" i="1" a="1"/>
  <c r="L973" i="1" s="1"/>
  <c r="O973" i="1" s="1" a="1"/>
  <c r="O973" i="1" s="1"/>
  <c r="J973" i="1" a="1"/>
  <c r="J973" i="1" s="1"/>
  <c r="I973" i="1" a="1"/>
  <c r="I973" i="1" s="1"/>
  <c r="K973" i="1" s="1" a="1"/>
  <c r="K973" i="1" s="1"/>
  <c r="N973" i="1" s="1" a="1"/>
  <c r="N973" i="1" s="1"/>
  <c r="F973" i="1" a="1"/>
  <c r="F973" i="1" s="1"/>
  <c r="E973" i="1" a="1"/>
  <c r="E973" i="1" s="1"/>
  <c r="N972" i="1" a="1"/>
  <c r="N972" i="1" s="1"/>
  <c r="L972" i="1" a="1"/>
  <c r="L972" i="1" s="1"/>
  <c r="J972" i="1" a="1"/>
  <c r="J972" i="1" s="1"/>
  <c r="I972" i="1" a="1"/>
  <c r="I972" i="1"/>
  <c r="K972" i="1" s="1" a="1"/>
  <c r="K972" i="1" s="1"/>
  <c r="O972" i="1" s="1" a="1"/>
  <c r="O972" i="1" s="1"/>
  <c r="F972" i="1" a="1"/>
  <c r="F972" i="1" s="1"/>
  <c r="E972" i="1" a="1"/>
  <c r="E972" i="1" s="1"/>
  <c r="L971" i="1" a="1"/>
  <c r="L971" i="1" s="1"/>
  <c r="J971" i="1" a="1"/>
  <c r="J971" i="1" s="1"/>
  <c r="K971" i="1" s="1" a="1"/>
  <c r="K971" i="1" s="1"/>
  <c r="I971" i="1" a="1"/>
  <c r="I971" i="1"/>
  <c r="F971" i="1" a="1"/>
  <c r="F971" i="1" s="1"/>
  <c r="E971" i="1" a="1"/>
  <c r="E971" i="1" s="1"/>
  <c r="L970" i="1" a="1"/>
  <c r="L970" i="1" s="1"/>
  <c r="J970" i="1" a="1"/>
  <c r="J970" i="1" s="1"/>
  <c r="I970" i="1" a="1"/>
  <c r="I970" i="1" s="1"/>
  <c r="F970" i="1" a="1"/>
  <c r="F970" i="1" s="1"/>
  <c r="E970" i="1" a="1"/>
  <c r="E970" i="1" s="1"/>
  <c r="L969" i="1" a="1"/>
  <c r="L969" i="1" s="1"/>
  <c r="J969" i="1" a="1"/>
  <c r="J969" i="1" s="1"/>
  <c r="I969" i="1" a="1"/>
  <c r="I969" i="1" s="1"/>
  <c r="K969" i="1" s="1" a="1"/>
  <c r="K969" i="1" s="1"/>
  <c r="N969" i="1" s="1" a="1"/>
  <c r="N969" i="1" s="1"/>
  <c r="F969" i="1" a="1"/>
  <c r="F969" i="1" s="1"/>
  <c r="E969" i="1" a="1"/>
  <c r="E969" i="1" s="1"/>
  <c r="L968" i="1" a="1"/>
  <c r="L968" i="1" s="1"/>
  <c r="J968" i="1" a="1"/>
  <c r="J968" i="1" s="1"/>
  <c r="I968" i="1" a="1"/>
  <c r="I968" i="1"/>
  <c r="K968" i="1" s="1" a="1"/>
  <c r="K968" i="1" s="1"/>
  <c r="O968" i="1" s="1" a="1"/>
  <c r="O968" i="1" s="1"/>
  <c r="F968" i="1" a="1"/>
  <c r="F968" i="1" s="1"/>
  <c r="E968" i="1" a="1"/>
  <c r="E968" i="1" s="1"/>
  <c r="L967" i="1" a="1"/>
  <c r="L967" i="1" s="1"/>
  <c r="J967" i="1" a="1"/>
  <c r="J967" i="1" s="1"/>
  <c r="K967" i="1" s="1" a="1"/>
  <c r="K967" i="1" s="1"/>
  <c r="I967" i="1" a="1"/>
  <c r="I967" i="1"/>
  <c r="F967" i="1" a="1"/>
  <c r="F967" i="1" s="1"/>
  <c r="E967" i="1" a="1"/>
  <c r="E967" i="1" s="1"/>
  <c r="L966" i="1" a="1"/>
  <c r="L966" i="1" s="1"/>
  <c r="J966" i="1" a="1"/>
  <c r="J966" i="1" s="1"/>
  <c r="K966" i="1" s="1" a="1"/>
  <c r="K966" i="1" s="1"/>
  <c r="N966" i="1" s="1" a="1"/>
  <c r="N966" i="1" s="1"/>
  <c r="I966" i="1" a="1"/>
  <c r="I966" i="1" s="1"/>
  <c r="F966" i="1" a="1"/>
  <c r="F966" i="1" s="1"/>
  <c r="E966" i="1" a="1"/>
  <c r="E966" i="1" s="1"/>
  <c r="L965" i="1" a="1"/>
  <c r="L965" i="1" s="1"/>
  <c r="J965" i="1" a="1"/>
  <c r="J965" i="1" s="1"/>
  <c r="I965" i="1" a="1"/>
  <c r="I965" i="1" s="1"/>
  <c r="K965" i="1" s="1" a="1"/>
  <c r="K965" i="1" s="1"/>
  <c r="N965" i="1" s="1" a="1"/>
  <c r="N965" i="1" s="1"/>
  <c r="F965" i="1" a="1"/>
  <c r="F965" i="1" s="1"/>
  <c r="E965" i="1" a="1"/>
  <c r="E965" i="1" s="1"/>
  <c r="N964" i="1" a="1"/>
  <c r="N964" i="1" s="1"/>
  <c r="L964" i="1" a="1"/>
  <c r="L964" i="1" s="1"/>
  <c r="J964" i="1" a="1"/>
  <c r="J964" i="1" s="1"/>
  <c r="I964" i="1" a="1"/>
  <c r="I964" i="1"/>
  <c r="K964" i="1" s="1" a="1"/>
  <c r="K964" i="1" s="1"/>
  <c r="O964" i="1" s="1" a="1"/>
  <c r="O964" i="1" s="1"/>
  <c r="F964" i="1" a="1"/>
  <c r="F964" i="1" s="1"/>
  <c r="E964" i="1" a="1"/>
  <c r="E964" i="1" s="1"/>
  <c r="L963" i="1" a="1"/>
  <c r="L963" i="1" s="1"/>
  <c r="J963" i="1" a="1"/>
  <c r="J963" i="1" s="1"/>
  <c r="I963" i="1" a="1"/>
  <c r="I963" i="1"/>
  <c r="F963" i="1" a="1"/>
  <c r="F963" i="1" s="1"/>
  <c r="E963" i="1" a="1"/>
  <c r="E963" i="1" s="1"/>
  <c r="L962" i="1" a="1"/>
  <c r="L962" i="1" s="1"/>
  <c r="J962" i="1" a="1"/>
  <c r="J962" i="1" s="1"/>
  <c r="I962" i="1" a="1"/>
  <c r="I962" i="1" s="1"/>
  <c r="F962" i="1" a="1"/>
  <c r="F962" i="1" s="1"/>
  <c r="E962" i="1" a="1"/>
  <c r="E962" i="1" s="1"/>
  <c r="L961" i="1" a="1"/>
  <c r="L961" i="1" s="1"/>
  <c r="O961" i="1" s="1" a="1"/>
  <c r="O961" i="1" s="1"/>
  <c r="J961" i="1" a="1"/>
  <c r="J961" i="1" s="1"/>
  <c r="I961" i="1" a="1"/>
  <c r="I961" i="1" s="1"/>
  <c r="K961" i="1" s="1" a="1"/>
  <c r="K961" i="1" s="1"/>
  <c r="N961" i="1" s="1" a="1"/>
  <c r="N961" i="1" s="1"/>
  <c r="F961" i="1" a="1"/>
  <c r="F961" i="1" s="1"/>
  <c r="E961" i="1" a="1"/>
  <c r="E961" i="1" s="1"/>
  <c r="N960" i="1" a="1"/>
  <c r="N960" i="1" s="1"/>
  <c r="L960" i="1" a="1"/>
  <c r="L960" i="1" s="1"/>
  <c r="J960" i="1" a="1"/>
  <c r="J960" i="1" s="1"/>
  <c r="I960" i="1" a="1"/>
  <c r="I960" i="1"/>
  <c r="K960" i="1" s="1" a="1"/>
  <c r="K960" i="1" s="1"/>
  <c r="O960" i="1" s="1" a="1"/>
  <c r="O960" i="1" s="1"/>
  <c r="F960" i="1" a="1"/>
  <c r="F960" i="1" s="1"/>
  <c r="E960" i="1" a="1"/>
  <c r="E960" i="1" s="1"/>
  <c r="L959" i="1" a="1"/>
  <c r="L959" i="1" s="1"/>
  <c r="J959" i="1" a="1"/>
  <c r="J959" i="1" s="1"/>
  <c r="I959" i="1" a="1"/>
  <c r="I959" i="1"/>
  <c r="F959" i="1" a="1"/>
  <c r="F959" i="1" s="1"/>
  <c r="E959" i="1" a="1"/>
  <c r="E959" i="1" s="1"/>
  <c r="L958" i="1" a="1"/>
  <c r="L958" i="1" s="1"/>
  <c r="J958" i="1" a="1"/>
  <c r="J958" i="1" s="1"/>
  <c r="K958" i="1" s="1" a="1"/>
  <c r="K958" i="1" s="1"/>
  <c r="N958" i="1" s="1" a="1"/>
  <c r="N958" i="1" s="1"/>
  <c r="I958" i="1" a="1"/>
  <c r="I958" i="1" s="1"/>
  <c r="F958" i="1" a="1"/>
  <c r="F958" i="1" s="1"/>
  <c r="E958" i="1" a="1"/>
  <c r="E958" i="1" s="1"/>
  <c r="L957" i="1" a="1"/>
  <c r="L957" i="1" s="1"/>
  <c r="O957" i="1" s="1" a="1"/>
  <c r="O957" i="1" s="1"/>
  <c r="J957" i="1" a="1"/>
  <c r="J957" i="1" s="1"/>
  <c r="I957" i="1" a="1"/>
  <c r="I957" i="1" s="1"/>
  <c r="K957" i="1" s="1" a="1"/>
  <c r="K957" i="1" s="1"/>
  <c r="N957" i="1" s="1" a="1"/>
  <c r="N957" i="1" s="1"/>
  <c r="F957" i="1" a="1"/>
  <c r="F957" i="1" s="1"/>
  <c r="E957" i="1" a="1"/>
  <c r="E957" i="1" s="1"/>
  <c r="L956" i="1" a="1"/>
  <c r="L956" i="1" s="1"/>
  <c r="J956" i="1" a="1"/>
  <c r="J956" i="1" s="1"/>
  <c r="I956" i="1" a="1"/>
  <c r="I956" i="1"/>
  <c r="K956" i="1" s="1" a="1"/>
  <c r="K956" i="1" s="1"/>
  <c r="F956" i="1" a="1"/>
  <c r="F956" i="1" s="1"/>
  <c r="E956" i="1" a="1"/>
  <c r="E956" i="1" s="1"/>
  <c r="L955" i="1" a="1"/>
  <c r="L955" i="1" s="1"/>
  <c r="J955" i="1" a="1"/>
  <c r="J955" i="1" s="1"/>
  <c r="K955" i="1" s="1" a="1"/>
  <c r="K955" i="1" s="1"/>
  <c r="I955" i="1" a="1"/>
  <c r="I955" i="1"/>
  <c r="F955" i="1" a="1"/>
  <c r="F955" i="1" s="1"/>
  <c r="E955" i="1" a="1"/>
  <c r="E955" i="1" s="1"/>
  <c r="L954" i="1" a="1"/>
  <c r="L954" i="1" s="1"/>
  <c r="J954" i="1" a="1"/>
  <c r="J954" i="1" s="1"/>
  <c r="I954" i="1" a="1"/>
  <c r="I954" i="1" s="1"/>
  <c r="F954" i="1" a="1"/>
  <c r="F954" i="1" s="1"/>
  <c r="E954" i="1" a="1"/>
  <c r="E954" i="1" s="1"/>
  <c r="L953" i="1" a="1"/>
  <c r="L953" i="1" s="1"/>
  <c r="O953" i="1" s="1" a="1"/>
  <c r="O953" i="1" s="1"/>
  <c r="J953" i="1" a="1"/>
  <c r="J953" i="1" s="1"/>
  <c r="I953" i="1" a="1"/>
  <c r="I953" i="1" s="1"/>
  <c r="K953" i="1" s="1" a="1"/>
  <c r="K953" i="1" s="1"/>
  <c r="N953" i="1" s="1" a="1"/>
  <c r="N953" i="1" s="1"/>
  <c r="F953" i="1" a="1"/>
  <c r="F953" i="1" s="1"/>
  <c r="E953" i="1" a="1"/>
  <c r="E953" i="1" s="1"/>
  <c r="L952" i="1" a="1"/>
  <c r="L952" i="1" s="1"/>
  <c r="J952" i="1" a="1"/>
  <c r="J952" i="1" s="1"/>
  <c r="I952" i="1" a="1"/>
  <c r="I952" i="1"/>
  <c r="K952" i="1" s="1" a="1"/>
  <c r="K952" i="1" s="1"/>
  <c r="F952" i="1" a="1"/>
  <c r="F952" i="1" s="1"/>
  <c r="E952" i="1" a="1"/>
  <c r="E952" i="1" s="1"/>
  <c r="L951" i="1" a="1"/>
  <c r="L951" i="1" s="1"/>
  <c r="J951" i="1" a="1"/>
  <c r="J951" i="1" s="1"/>
  <c r="K951" i="1" s="1" a="1"/>
  <c r="K951" i="1" s="1"/>
  <c r="I951" i="1" a="1"/>
  <c r="I951" i="1"/>
  <c r="F951" i="1" a="1"/>
  <c r="F951" i="1" s="1"/>
  <c r="E951" i="1" a="1"/>
  <c r="E951" i="1" s="1"/>
  <c r="L950" i="1" a="1"/>
  <c r="L950" i="1" s="1"/>
  <c r="J950" i="1" a="1"/>
  <c r="J950" i="1" s="1"/>
  <c r="I950" i="1" a="1"/>
  <c r="I950" i="1" s="1"/>
  <c r="F950" i="1" a="1"/>
  <c r="F950" i="1" s="1"/>
  <c r="E950" i="1" a="1"/>
  <c r="E950" i="1" s="1"/>
  <c r="L949" i="1" a="1"/>
  <c r="L949" i="1" s="1"/>
  <c r="O949" i="1" s="1" a="1"/>
  <c r="O949" i="1" s="1"/>
  <c r="J949" i="1" a="1"/>
  <c r="J949" i="1" s="1"/>
  <c r="I949" i="1" a="1"/>
  <c r="I949" i="1" s="1"/>
  <c r="K949" i="1" s="1" a="1"/>
  <c r="K949" i="1" s="1"/>
  <c r="N949" i="1" s="1" a="1"/>
  <c r="N949" i="1" s="1"/>
  <c r="F949" i="1" a="1"/>
  <c r="F949" i="1" s="1"/>
  <c r="E949" i="1" a="1"/>
  <c r="E949" i="1" s="1"/>
  <c r="L948" i="1" a="1"/>
  <c r="L948" i="1" s="1"/>
  <c r="J948" i="1" a="1"/>
  <c r="J948" i="1" s="1"/>
  <c r="I948" i="1" a="1"/>
  <c r="I948" i="1"/>
  <c r="K948" i="1" s="1" a="1"/>
  <c r="K948" i="1" s="1"/>
  <c r="O948" i="1" s="1" a="1"/>
  <c r="O948" i="1" s="1"/>
  <c r="F948" i="1" a="1"/>
  <c r="F948" i="1" s="1"/>
  <c r="E948" i="1" a="1"/>
  <c r="E948" i="1" s="1"/>
  <c r="L947" i="1" a="1"/>
  <c r="L947" i="1" s="1"/>
  <c r="J947" i="1" a="1"/>
  <c r="J947" i="1" s="1"/>
  <c r="I947" i="1" a="1"/>
  <c r="I947" i="1"/>
  <c r="F947" i="1" a="1"/>
  <c r="F947" i="1" s="1"/>
  <c r="E947" i="1" a="1"/>
  <c r="E947" i="1" s="1"/>
  <c r="L946" i="1" a="1"/>
  <c r="L946" i="1" s="1"/>
  <c r="J946" i="1" a="1"/>
  <c r="J946" i="1" s="1"/>
  <c r="I946" i="1" a="1"/>
  <c r="I946" i="1" s="1"/>
  <c r="F946" i="1" a="1"/>
  <c r="F946" i="1" s="1"/>
  <c r="E946" i="1" a="1"/>
  <c r="E946" i="1" s="1"/>
  <c r="L945" i="1" a="1"/>
  <c r="L945" i="1" s="1"/>
  <c r="J945" i="1" a="1"/>
  <c r="J945" i="1" s="1"/>
  <c r="I945" i="1" a="1"/>
  <c r="I945" i="1" s="1"/>
  <c r="K945" i="1" s="1" a="1"/>
  <c r="K945" i="1" s="1"/>
  <c r="N945" i="1" s="1" a="1"/>
  <c r="N945" i="1" s="1"/>
  <c r="F945" i="1" a="1"/>
  <c r="F945" i="1" s="1"/>
  <c r="E945" i="1" a="1"/>
  <c r="E945" i="1" s="1"/>
  <c r="N944" i="1" a="1"/>
  <c r="N944" i="1"/>
  <c r="L944" i="1" a="1"/>
  <c r="L944" i="1" s="1"/>
  <c r="J944" i="1" a="1"/>
  <c r="J944" i="1" s="1"/>
  <c r="I944" i="1" a="1"/>
  <c r="I944" i="1"/>
  <c r="K944" i="1" s="1" a="1"/>
  <c r="K944" i="1" s="1"/>
  <c r="O944" i="1" s="1" a="1"/>
  <c r="O944" i="1" s="1"/>
  <c r="F944" i="1" a="1"/>
  <c r="F944" i="1" s="1"/>
  <c r="E944" i="1" a="1"/>
  <c r="E944" i="1" s="1"/>
  <c r="L943" i="1" a="1"/>
  <c r="L943" i="1" s="1"/>
  <c r="J943" i="1" a="1"/>
  <c r="J943" i="1" s="1"/>
  <c r="I943" i="1" a="1"/>
  <c r="I943" i="1"/>
  <c r="F943" i="1" a="1"/>
  <c r="F943" i="1" s="1"/>
  <c r="E943" i="1" a="1"/>
  <c r="E943" i="1" s="1"/>
  <c r="L942" i="1" a="1"/>
  <c r="L942" i="1" s="1"/>
  <c r="J942" i="1" a="1"/>
  <c r="J942" i="1" s="1"/>
  <c r="I942" i="1" a="1"/>
  <c r="I942" i="1" s="1"/>
  <c r="F942" i="1" a="1"/>
  <c r="F942" i="1" s="1"/>
  <c r="E942" i="1" a="1"/>
  <c r="E942" i="1" s="1"/>
  <c r="L941" i="1" a="1"/>
  <c r="L941" i="1" s="1"/>
  <c r="J941" i="1" a="1"/>
  <c r="J941" i="1" s="1"/>
  <c r="I941" i="1" a="1"/>
  <c r="I941" i="1" s="1"/>
  <c r="K941" i="1" s="1" a="1"/>
  <c r="K941" i="1" s="1"/>
  <c r="N941" i="1" s="1" a="1"/>
  <c r="N941" i="1" s="1"/>
  <c r="F941" i="1" a="1"/>
  <c r="F941" i="1" s="1"/>
  <c r="E941" i="1" a="1"/>
  <c r="E941" i="1" s="1"/>
  <c r="L940" i="1" a="1"/>
  <c r="L940" i="1" s="1"/>
  <c r="J940" i="1" a="1"/>
  <c r="J940" i="1" s="1"/>
  <c r="I940" i="1" a="1"/>
  <c r="I940" i="1"/>
  <c r="K940" i="1" s="1" a="1"/>
  <c r="K940" i="1" s="1"/>
  <c r="O940" i="1" s="1" a="1"/>
  <c r="O940" i="1" s="1"/>
  <c r="F940" i="1" a="1"/>
  <c r="F940" i="1" s="1"/>
  <c r="E940" i="1" a="1"/>
  <c r="E940" i="1" s="1"/>
  <c r="L939" i="1" a="1"/>
  <c r="L939" i="1" s="1"/>
  <c r="J939" i="1" a="1"/>
  <c r="J939" i="1" s="1"/>
  <c r="K939" i="1" s="1" a="1"/>
  <c r="K939" i="1" s="1"/>
  <c r="N939" i="1" s="1" a="1"/>
  <c r="N939" i="1" s="1"/>
  <c r="I939" i="1" a="1"/>
  <c r="I939" i="1"/>
  <c r="F939" i="1" a="1"/>
  <c r="F939" i="1" s="1"/>
  <c r="E939" i="1" a="1"/>
  <c r="E939" i="1" s="1"/>
  <c r="L938" i="1" a="1"/>
  <c r="L938" i="1" s="1"/>
  <c r="J938" i="1" a="1"/>
  <c r="J938" i="1" s="1"/>
  <c r="I938" i="1" a="1"/>
  <c r="I938" i="1" s="1"/>
  <c r="F938" i="1" a="1"/>
  <c r="F938" i="1" s="1"/>
  <c r="E938" i="1" a="1"/>
  <c r="E938" i="1" s="1"/>
  <c r="L937" i="1" a="1"/>
  <c r="L937" i="1" s="1"/>
  <c r="K937" i="1" a="1"/>
  <c r="K937" i="1" s="1"/>
  <c r="N937" i="1" s="1" a="1"/>
  <c r="N937" i="1" s="1"/>
  <c r="J937" i="1" a="1"/>
  <c r="J937" i="1" s="1"/>
  <c r="I937" i="1" a="1"/>
  <c r="I937" i="1" s="1"/>
  <c r="F937" i="1" a="1"/>
  <c r="F937" i="1" s="1"/>
  <c r="E937" i="1" a="1"/>
  <c r="E937" i="1" s="1"/>
  <c r="N936" i="1" a="1"/>
  <c r="N936" i="1" s="1"/>
  <c r="L936" i="1" a="1"/>
  <c r="L936" i="1" s="1"/>
  <c r="J936" i="1" a="1"/>
  <c r="J936" i="1" s="1"/>
  <c r="I936" i="1" a="1"/>
  <c r="I936" i="1"/>
  <c r="K936" i="1" s="1" a="1"/>
  <c r="K936" i="1" s="1"/>
  <c r="O936" i="1" s="1" a="1"/>
  <c r="O936" i="1" s="1"/>
  <c r="F936" i="1" a="1"/>
  <c r="F936" i="1" s="1"/>
  <c r="E936" i="1" a="1"/>
  <c r="E936" i="1" s="1"/>
  <c r="L935" i="1" a="1"/>
  <c r="L935" i="1" s="1"/>
  <c r="J935" i="1" a="1"/>
  <c r="J935" i="1" s="1"/>
  <c r="K935" i="1" s="1" a="1"/>
  <c r="K935" i="1" s="1"/>
  <c r="N935" i="1" s="1" a="1"/>
  <c r="N935" i="1" s="1"/>
  <c r="I935" i="1" a="1"/>
  <c r="I935" i="1"/>
  <c r="F935" i="1" a="1"/>
  <c r="F935" i="1" s="1"/>
  <c r="E935" i="1" a="1"/>
  <c r="E935" i="1" s="1"/>
  <c r="L934" i="1" a="1"/>
  <c r="L934" i="1" s="1"/>
  <c r="J934" i="1" a="1"/>
  <c r="J934" i="1" s="1"/>
  <c r="I934" i="1" a="1"/>
  <c r="I934" i="1" s="1"/>
  <c r="K934" i="1" s="1" a="1"/>
  <c r="K934" i="1" s="1"/>
  <c r="N934" i="1" s="1" a="1"/>
  <c r="N934" i="1" s="1"/>
  <c r="F934" i="1" a="1"/>
  <c r="F934" i="1" s="1"/>
  <c r="E934" i="1" a="1"/>
  <c r="E934" i="1" s="1"/>
  <c r="L933" i="1" a="1"/>
  <c r="L933" i="1" s="1"/>
  <c r="J933" i="1" a="1"/>
  <c r="J933" i="1" s="1"/>
  <c r="I933" i="1" a="1"/>
  <c r="I933" i="1" s="1"/>
  <c r="K933" i="1" s="1" a="1"/>
  <c r="K933" i="1" s="1"/>
  <c r="N933" i="1" s="1" a="1"/>
  <c r="N933" i="1" s="1"/>
  <c r="F933" i="1" a="1"/>
  <c r="F933" i="1" s="1"/>
  <c r="E933" i="1" a="1"/>
  <c r="E933" i="1" s="1"/>
  <c r="L932" i="1" a="1"/>
  <c r="L932" i="1" s="1"/>
  <c r="J932" i="1" a="1"/>
  <c r="J932" i="1" s="1"/>
  <c r="I932" i="1" a="1"/>
  <c r="I932" i="1"/>
  <c r="K932" i="1" s="1" a="1"/>
  <c r="K932" i="1" s="1"/>
  <c r="F932" i="1" a="1"/>
  <c r="F932" i="1" s="1"/>
  <c r="E932" i="1" a="1"/>
  <c r="E932" i="1" s="1"/>
  <c r="L931" i="1" a="1"/>
  <c r="L931" i="1" s="1"/>
  <c r="J931" i="1" a="1"/>
  <c r="J931" i="1" s="1"/>
  <c r="I931" i="1" a="1"/>
  <c r="I931" i="1"/>
  <c r="F931" i="1" a="1"/>
  <c r="F931" i="1" s="1"/>
  <c r="E931" i="1" a="1"/>
  <c r="E931" i="1" s="1"/>
  <c r="L930" i="1" a="1"/>
  <c r="L930" i="1" s="1"/>
  <c r="J930" i="1" a="1"/>
  <c r="J930" i="1" s="1"/>
  <c r="I930" i="1" a="1"/>
  <c r="I930" i="1" s="1"/>
  <c r="K930" i="1" s="1" a="1"/>
  <c r="K930" i="1" s="1"/>
  <c r="N930" i="1" s="1" a="1"/>
  <c r="N930" i="1" s="1"/>
  <c r="F930" i="1" a="1"/>
  <c r="F930" i="1" s="1"/>
  <c r="E930" i="1" a="1"/>
  <c r="E930" i="1"/>
  <c r="L929" i="1" a="1"/>
  <c r="L929" i="1" s="1"/>
  <c r="J929" i="1" a="1"/>
  <c r="J929" i="1" s="1"/>
  <c r="K929" i="1" s="1" a="1"/>
  <c r="K929" i="1" s="1"/>
  <c r="I929" i="1" a="1"/>
  <c r="I929" i="1"/>
  <c r="F929" i="1" a="1"/>
  <c r="F929" i="1" s="1"/>
  <c r="E929" i="1" a="1"/>
  <c r="E929" i="1" s="1"/>
  <c r="L928" i="1" a="1"/>
  <c r="L928" i="1" s="1"/>
  <c r="J928" i="1" a="1"/>
  <c r="J928" i="1"/>
  <c r="K928" i="1" s="1" a="1"/>
  <c r="K928" i="1" s="1"/>
  <c r="I928" i="1" a="1"/>
  <c r="I928" i="1"/>
  <c r="F928" i="1" a="1"/>
  <c r="F928" i="1" s="1"/>
  <c r="E928" i="1" a="1"/>
  <c r="E928" i="1" s="1"/>
  <c r="L927" i="1" a="1"/>
  <c r="L927" i="1" s="1"/>
  <c r="J927" i="1" a="1"/>
  <c r="J927" i="1" s="1"/>
  <c r="K927" i="1" s="1" a="1"/>
  <c r="K927" i="1" s="1"/>
  <c r="I927" i="1" a="1"/>
  <c r="I927" i="1"/>
  <c r="F927" i="1" a="1"/>
  <c r="F927" i="1" s="1"/>
  <c r="E927" i="1" a="1"/>
  <c r="E927" i="1" s="1"/>
  <c r="L926" i="1" a="1"/>
  <c r="L926" i="1" s="1"/>
  <c r="J926" i="1" a="1"/>
  <c r="J926" i="1"/>
  <c r="K926" i="1" s="1" a="1"/>
  <c r="K926" i="1" s="1"/>
  <c r="I926" i="1" a="1"/>
  <c r="I926" i="1"/>
  <c r="F926" i="1" a="1"/>
  <c r="F926" i="1" s="1"/>
  <c r="E926" i="1" a="1"/>
  <c r="E926" i="1" s="1"/>
  <c r="L925" i="1" a="1"/>
  <c r="L925" i="1" s="1"/>
  <c r="J925" i="1" a="1"/>
  <c r="J925" i="1" s="1"/>
  <c r="K925" i="1" s="1" a="1"/>
  <c r="K925" i="1" s="1"/>
  <c r="I925" i="1" a="1"/>
  <c r="I925" i="1"/>
  <c r="F925" i="1" a="1"/>
  <c r="F925" i="1" s="1"/>
  <c r="E925" i="1" a="1"/>
  <c r="E925" i="1" s="1"/>
  <c r="L924" i="1" a="1"/>
  <c r="L924" i="1" s="1"/>
  <c r="J924" i="1" a="1"/>
  <c r="J924" i="1"/>
  <c r="K924" i="1" s="1" a="1"/>
  <c r="K924" i="1" s="1"/>
  <c r="I924" i="1" a="1"/>
  <c r="I924" i="1"/>
  <c r="F924" i="1" a="1"/>
  <c r="F924" i="1" s="1"/>
  <c r="E924" i="1" a="1"/>
  <c r="E924" i="1" s="1"/>
  <c r="L923" i="1" a="1"/>
  <c r="L923" i="1" s="1"/>
  <c r="J923" i="1" a="1"/>
  <c r="J923" i="1" s="1"/>
  <c r="K923" i="1" s="1" a="1"/>
  <c r="K923" i="1" s="1"/>
  <c r="I923" i="1" a="1"/>
  <c r="I923" i="1"/>
  <c r="F923" i="1" a="1"/>
  <c r="F923" i="1" s="1"/>
  <c r="E923" i="1" a="1"/>
  <c r="E923" i="1" s="1"/>
  <c r="L922" i="1" a="1"/>
  <c r="L922" i="1" s="1"/>
  <c r="J922" i="1" a="1"/>
  <c r="J922" i="1"/>
  <c r="K922" i="1" s="1" a="1"/>
  <c r="K922" i="1" s="1"/>
  <c r="I922" i="1" a="1"/>
  <c r="I922" i="1"/>
  <c r="F922" i="1" a="1"/>
  <c r="F922" i="1" s="1"/>
  <c r="E922" i="1" a="1"/>
  <c r="E922" i="1" s="1"/>
  <c r="L921" i="1" a="1"/>
  <c r="L921" i="1" s="1"/>
  <c r="J921" i="1" a="1"/>
  <c r="J921" i="1" s="1"/>
  <c r="K921" i="1" s="1" a="1"/>
  <c r="K921" i="1" s="1"/>
  <c r="I921" i="1" a="1"/>
  <c r="I921" i="1"/>
  <c r="F921" i="1" a="1"/>
  <c r="F921" i="1" s="1"/>
  <c r="E921" i="1" a="1"/>
  <c r="E921" i="1" s="1"/>
  <c r="L920" i="1" a="1"/>
  <c r="L920" i="1" s="1"/>
  <c r="J920" i="1" a="1"/>
  <c r="J920" i="1"/>
  <c r="K920" i="1" s="1" a="1"/>
  <c r="K920" i="1" s="1"/>
  <c r="I920" i="1" a="1"/>
  <c r="I920" i="1"/>
  <c r="F920" i="1" a="1"/>
  <c r="F920" i="1" s="1"/>
  <c r="E920" i="1" a="1"/>
  <c r="E920" i="1" s="1"/>
  <c r="L919" i="1" a="1"/>
  <c r="L919" i="1" s="1"/>
  <c r="J919" i="1" a="1"/>
  <c r="J919" i="1" s="1"/>
  <c r="K919" i="1" s="1" a="1"/>
  <c r="K919" i="1" s="1"/>
  <c r="I919" i="1" a="1"/>
  <c r="I919" i="1"/>
  <c r="F919" i="1" a="1"/>
  <c r="F919" i="1" s="1"/>
  <c r="E919" i="1" a="1"/>
  <c r="E919" i="1"/>
  <c r="L918" i="1" a="1"/>
  <c r="L918" i="1" s="1"/>
  <c r="J918" i="1" a="1"/>
  <c r="J918" i="1"/>
  <c r="K918" i="1" s="1" a="1"/>
  <c r="K918" i="1" s="1"/>
  <c r="N918" i="1" s="1" a="1"/>
  <c r="N918" i="1" s="1"/>
  <c r="I918" i="1" a="1"/>
  <c r="I918" i="1"/>
  <c r="F918" i="1" a="1"/>
  <c r="F918" i="1" s="1"/>
  <c r="E918" i="1" a="1"/>
  <c r="E918" i="1" s="1"/>
  <c r="L917" i="1" a="1"/>
  <c r="L917" i="1" s="1"/>
  <c r="O917" i="1" s="1" a="1"/>
  <c r="O917" i="1" s="1"/>
  <c r="J917" i="1" a="1"/>
  <c r="J917" i="1" s="1"/>
  <c r="K917" i="1" s="1" a="1"/>
  <c r="K917" i="1" s="1"/>
  <c r="N917" i="1" s="1" a="1"/>
  <c r="N917" i="1" s="1"/>
  <c r="I917" i="1" a="1"/>
  <c r="I917" i="1"/>
  <c r="F917" i="1" a="1"/>
  <c r="F917" i="1" s="1"/>
  <c r="E917" i="1" a="1"/>
  <c r="E917" i="1" s="1"/>
  <c r="L916" i="1" a="1"/>
  <c r="L916" i="1" s="1"/>
  <c r="J916" i="1" a="1"/>
  <c r="J916" i="1" s="1"/>
  <c r="K916" i="1" s="1" a="1"/>
  <c r="K916" i="1" s="1"/>
  <c r="N916" i="1" s="1" a="1"/>
  <c r="N916" i="1" s="1"/>
  <c r="I916" i="1" a="1"/>
  <c r="I916" i="1"/>
  <c r="F916" i="1" a="1"/>
  <c r="F916" i="1" s="1"/>
  <c r="E916" i="1" a="1"/>
  <c r="E916" i="1" s="1"/>
  <c r="L915" i="1" a="1"/>
  <c r="L915" i="1" s="1"/>
  <c r="J915" i="1" a="1"/>
  <c r="J915" i="1" s="1"/>
  <c r="K915" i="1" s="1" a="1"/>
  <c r="K915" i="1" s="1"/>
  <c r="I915" i="1" a="1"/>
  <c r="I915" i="1"/>
  <c r="F915" i="1" a="1"/>
  <c r="F915" i="1" s="1"/>
  <c r="E915" i="1" a="1"/>
  <c r="E915" i="1"/>
  <c r="L914" i="1" a="1"/>
  <c r="L914" i="1" s="1"/>
  <c r="K914" i="1" a="1"/>
  <c r="K914" i="1" s="1"/>
  <c r="N914" i="1" s="1" a="1"/>
  <c r="N914" i="1" s="1"/>
  <c r="J914" i="1" a="1"/>
  <c r="J914" i="1"/>
  <c r="I914" i="1" a="1"/>
  <c r="I914" i="1"/>
  <c r="F914" i="1" a="1"/>
  <c r="F914" i="1" s="1"/>
  <c r="E914" i="1" a="1"/>
  <c r="E914" i="1"/>
  <c r="L913" i="1" a="1"/>
  <c r="L913" i="1" s="1"/>
  <c r="J913" i="1" a="1"/>
  <c r="J913" i="1"/>
  <c r="K913" i="1" s="1" a="1"/>
  <c r="K913" i="1" s="1"/>
  <c r="I913" i="1" a="1"/>
  <c r="I913" i="1"/>
  <c r="F913" i="1" a="1"/>
  <c r="F913" i="1" s="1"/>
  <c r="E913" i="1" a="1"/>
  <c r="E913" i="1"/>
  <c r="N912" i="1"/>
  <c r="L912" i="1" a="1"/>
  <c r="L912" i="1" s="1"/>
  <c r="O912" i="1" s="1" a="1"/>
  <c r="O912" i="1" s="1"/>
  <c r="J912" i="1" a="1"/>
  <c r="J912" i="1"/>
  <c r="K912" i="1" s="1" a="1"/>
  <c r="K912" i="1" s="1"/>
  <c r="N912" i="1" s="1" a="1"/>
  <c r="I912" i="1" a="1"/>
  <c r="I912" i="1"/>
  <c r="F912" i="1" a="1"/>
  <c r="F912" i="1" s="1"/>
  <c r="E912" i="1" a="1"/>
  <c r="E912" i="1" s="1"/>
  <c r="L911" i="1" a="1"/>
  <c r="L911" i="1" s="1"/>
  <c r="J911" i="1" a="1"/>
  <c r="J911" i="1" s="1"/>
  <c r="K911" i="1" s="1" a="1"/>
  <c r="K911" i="1" s="1"/>
  <c r="I911" i="1" a="1"/>
  <c r="I911" i="1"/>
  <c r="F911" i="1" a="1"/>
  <c r="F911" i="1" s="1"/>
  <c r="E911" i="1" a="1"/>
  <c r="E911" i="1"/>
  <c r="L910" i="1" a="1"/>
  <c r="L910" i="1" s="1"/>
  <c r="J910" i="1" a="1"/>
  <c r="J910" i="1"/>
  <c r="K910" i="1" s="1" a="1"/>
  <c r="K910" i="1" s="1"/>
  <c r="N910" i="1" s="1" a="1"/>
  <c r="N910" i="1" s="1"/>
  <c r="I910" i="1" a="1"/>
  <c r="I910" i="1"/>
  <c r="F910" i="1" a="1"/>
  <c r="F910" i="1" s="1"/>
  <c r="E910" i="1" a="1"/>
  <c r="E910" i="1" s="1"/>
  <c r="L909" i="1" a="1"/>
  <c r="L909" i="1" s="1"/>
  <c r="O909" i="1" s="1" a="1"/>
  <c r="O909" i="1" s="1"/>
  <c r="J909" i="1" a="1"/>
  <c r="J909" i="1" s="1"/>
  <c r="K909" i="1" s="1" a="1"/>
  <c r="K909" i="1" s="1"/>
  <c r="N909" i="1" s="1" a="1"/>
  <c r="N909" i="1" s="1"/>
  <c r="I909" i="1" a="1"/>
  <c r="I909" i="1"/>
  <c r="F909" i="1" a="1"/>
  <c r="F909" i="1" s="1"/>
  <c r="E909" i="1" a="1"/>
  <c r="E909" i="1" s="1"/>
  <c r="L908" i="1" a="1"/>
  <c r="L908" i="1" s="1"/>
  <c r="O908" i="1" s="1" a="1"/>
  <c r="O908" i="1" s="1"/>
  <c r="J908" i="1" a="1"/>
  <c r="J908" i="1" s="1"/>
  <c r="K908" i="1" s="1" a="1"/>
  <c r="K908" i="1" s="1"/>
  <c r="N908" i="1" s="1" a="1"/>
  <c r="N908" i="1" s="1"/>
  <c r="I908" i="1" a="1"/>
  <c r="I908" i="1"/>
  <c r="F908" i="1" a="1"/>
  <c r="F908" i="1" s="1"/>
  <c r="E908" i="1" a="1"/>
  <c r="E908" i="1" s="1"/>
  <c r="L907" i="1" a="1"/>
  <c r="L907" i="1" s="1"/>
  <c r="J907" i="1" a="1"/>
  <c r="J907" i="1" s="1"/>
  <c r="I907" i="1" a="1"/>
  <c r="I907" i="1"/>
  <c r="F907" i="1" a="1"/>
  <c r="F907" i="1" s="1"/>
  <c r="E907" i="1" a="1"/>
  <c r="E907" i="1"/>
  <c r="L906" i="1" a="1"/>
  <c r="L906" i="1" s="1"/>
  <c r="K906" i="1" a="1"/>
  <c r="K906" i="1" s="1"/>
  <c r="N906" i="1" s="1" a="1"/>
  <c r="N906" i="1" s="1"/>
  <c r="J906" i="1" a="1"/>
  <c r="J906" i="1"/>
  <c r="I906" i="1" a="1"/>
  <c r="I906" i="1"/>
  <c r="F906" i="1" a="1"/>
  <c r="F906" i="1" s="1"/>
  <c r="E906" i="1" a="1"/>
  <c r="E906" i="1"/>
  <c r="L905" i="1" a="1"/>
  <c r="L905" i="1" s="1"/>
  <c r="J905" i="1" a="1"/>
  <c r="J905" i="1"/>
  <c r="K905" i="1" s="1" a="1"/>
  <c r="K905" i="1" s="1"/>
  <c r="I905" i="1" a="1"/>
  <c r="I905" i="1"/>
  <c r="F905" i="1" a="1"/>
  <c r="F905" i="1" s="1"/>
  <c r="E905" i="1" a="1"/>
  <c r="E905" i="1"/>
  <c r="L904" i="1" a="1"/>
  <c r="L904" i="1" s="1"/>
  <c r="J904" i="1" a="1"/>
  <c r="J904" i="1"/>
  <c r="K904" i="1" s="1" a="1"/>
  <c r="K904" i="1" s="1"/>
  <c r="N904" i="1" s="1" a="1"/>
  <c r="N904" i="1" s="1"/>
  <c r="I904" i="1" a="1"/>
  <c r="I904" i="1"/>
  <c r="F904" i="1" a="1"/>
  <c r="F904" i="1" s="1"/>
  <c r="E904" i="1" a="1"/>
  <c r="E904" i="1" s="1"/>
  <c r="L903" i="1" a="1"/>
  <c r="L903" i="1" s="1"/>
  <c r="K903" i="1"/>
  <c r="J903" i="1" a="1"/>
  <c r="J903" i="1" s="1"/>
  <c r="K903" i="1" s="1" a="1"/>
  <c r="I903" i="1" a="1"/>
  <c r="I903" i="1"/>
  <c r="F903" i="1" a="1"/>
  <c r="F903" i="1" s="1"/>
  <c r="E903" i="1" a="1"/>
  <c r="E903" i="1"/>
  <c r="L902" i="1" a="1"/>
  <c r="L902" i="1" s="1"/>
  <c r="J902" i="1" a="1"/>
  <c r="J902" i="1"/>
  <c r="K902" i="1" s="1" a="1"/>
  <c r="K902" i="1" s="1"/>
  <c r="N902" i="1" s="1" a="1"/>
  <c r="N902" i="1" s="1"/>
  <c r="I902" i="1" a="1"/>
  <c r="I902" i="1"/>
  <c r="F902" i="1" a="1"/>
  <c r="F902" i="1" s="1"/>
  <c r="E902" i="1" a="1"/>
  <c r="E902" i="1" s="1"/>
  <c r="L901" i="1" a="1"/>
  <c r="L901" i="1" s="1"/>
  <c r="J901" i="1" a="1"/>
  <c r="J901" i="1" s="1"/>
  <c r="K901" i="1" s="1" a="1"/>
  <c r="K901" i="1" s="1"/>
  <c r="N901" i="1" s="1" a="1"/>
  <c r="N901" i="1" s="1"/>
  <c r="I901" i="1" a="1"/>
  <c r="I901" i="1"/>
  <c r="F901" i="1" a="1"/>
  <c r="F901" i="1" s="1"/>
  <c r="E901" i="1" a="1"/>
  <c r="E901" i="1" s="1"/>
  <c r="L900" i="1" a="1"/>
  <c r="L900" i="1" s="1"/>
  <c r="O900" i="1" s="1" a="1"/>
  <c r="O900" i="1" s="1"/>
  <c r="J900" i="1" a="1"/>
  <c r="J900" i="1" s="1"/>
  <c r="K900" i="1" s="1" a="1"/>
  <c r="K900" i="1" s="1"/>
  <c r="N900" i="1" s="1" a="1"/>
  <c r="N900" i="1" s="1"/>
  <c r="I900" i="1" a="1"/>
  <c r="I900" i="1"/>
  <c r="F900" i="1" a="1"/>
  <c r="F900" i="1" s="1"/>
  <c r="E900" i="1" a="1"/>
  <c r="E900" i="1" s="1"/>
  <c r="L899" i="1" a="1"/>
  <c r="L899" i="1" s="1"/>
  <c r="J899" i="1" a="1"/>
  <c r="J899" i="1" s="1"/>
  <c r="K899" i="1" s="1" a="1"/>
  <c r="K899" i="1" s="1"/>
  <c r="I899" i="1" a="1"/>
  <c r="I899" i="1"/>
  <c r="F899" i="1" a="1"/>
  <c r="F899" i="1" s="1"/>
  <c r="E899" i="1" a="1"/>
  <c r="E899" i="1"/>
  <c r="L898" i="1" a="1"/>
  <c r="L898" i="1" s="1"/>
  <c r="K898" i="1" a="1"/>
  <c r="K898" i="1" s="1"/>
  <c r="N898" i="1" s="1" a="1"/>
  <c r="N898" i="1" s="1"/>
  <c r="J898" i="1" a="1"/>
  <c r="J898" i="1"/>
  <c r="I898" i="1" a="1"/>
  <c r="I898" i="1"/>
  <c r="F898" i="1" a="1"/>
  <c r="F898" i="1" s="1"/>
  <c r="E898" i="1" a="1"/>
  <c r="E898" i="1"/>
  <c r="L897" i="1" a="1"/>
  <c r="L897" i="1" s="1"/>
  <c r="J897" i="1" a="1"/>
  <c r="J897" i="1"/>
  <c r="K897" i="1" s="1" a="1"/>
  <c r="K897" i="1" s="1"/>
  <c r="I897" i="1" a="1"/>
  <c r="I897" i="1"/>
  <c r="F897" i="1" a="1"/>
  <c r="F897" i="1" s="1"/>
  <c r="E897" i="1" a="1"/>
  <c r="E897" i="1"/>
  <c r="N896" i="1"/>
  <c r="L896" i="1" a="1"/>
  <c r="L896" i="1" s="1"/>
  <c r="O896" i="1" s="1" a="1"/>
  <c r="O896" i="1" s="1"/>
  <c r="J896" i="1" a="1"/>
  <c r="J896" i="1"/>
  <c r="K896" i="1" s="1" a="1"/>
  <c r="K896" i="1" s="1"/>
  <c r="N896" i="1" s="1" a="1"/>
  <c r="I896" i="1" a="1"/>
  <c r="I896" i="1"/>
  <c r="F896" i="1" a="1"/>
  <c r="F896" i="1" s="1"/>
  <c r="E896" i="1" a="1"/>
  <c r="E896" i="1" s="1"/>
  <c r="L895" i="1" a="1"/>
  <c r="L895" i="1" s="1"/>
  <c r="K895" i="1"/>
  <c r="J895" i="1" a="1"/>
  <c r="J895" i="1" s="1"/>
  <c r="K895" i="1" s="1" a="1"/>
  <c r="I895" i="1" a="1"/>
  <c r="I895" i="1"/>
  <c r="F895" i="1" a="1"/>
  <c r="F895" i="1" s="1"/>
  <c r="E895" i="1" a="1"/>
  <c r="E895" i="1"/>
  <c r="O894" i="1" a="1"/>
  <c r="O894" i="1" s="1"/>
  <c r="L894" i="1" a="1"/>
  <c r="L894" i="1" s="1"/>
  <c r="J894" i="1" a="1"/>
  <c r="J894" i="1"/>
  <c r="K894" i="1" s="1" a="1"/>
  <c r="K894" i="1" s="1"/>
  <c r="N894" i="1" s="1" a="1"/>
  <c r="N894" i="1" s="1"/>
  <c r="I894" i="1" a="1"/>
  <c r="I894" i="1"/>
  <c r="F894" i="1" a="1"/>
  <c r="F894" i="1" s="1"/>
  <c r="E894" i="1" a="1"/>
  <c r="E894" i="1" s="1"/>
  <c r="L893" i="1" a="1"/>
  <c r="L893" i="1" s="1"/>
  <c r="O893" i="1" s="1" a="1"/>
  <c r="O893" i="1" s="1"/>
  <c r="J893" i="1" a="1"/>
  <c r="J893" i="1" s="1"/>
  <c r="K893" i="1" s="1" a="1"/>
  <c r="K893" i="1" s="1"/>
  <c r="N893" i="1" s="1" a="1"/>
  <c r="N893" i="1" s="1"/>
  <c r="I893" i="1" a="1"/>
  <c r="I893" i="1"/>
  <c r="F893" i="1" a="1"/>
  <c r="F893" i="1" s="1"/>
  <c r="E893" i="1" a="1"/>
  <c r="E893" i="1" s="1"/>
  <c r="L892" i="1" a="1"/>
  <c r="L892" i="1" s="1"/>
  <c r="O892" i="1" s="1" a="1"/>
  <c r="O892" i="1" s="1"/>
  <c r="J892" i="1" a="1"/>
  <c r="J892" i="1" s="1"/>
  <c r="K892" i="1" s="1" a="1"/>
  <c r="K892" i="1" s="1"/>
  <c r="N892" i="1" s="1" a="1"/>
  <c r="N892" i="1" s="1"/>
  <c r="I892" i="1" a="1"/>
  <c r="I892" i="1"/>
  <c r="F892" i="1" a="1"/>
  <c r="F892" i="1" s="1"/>
  <c r="E892" i="1" a="1"/>
  <c r="E892" i="1" s="1"/>
  <c r="L891" i="1" a="1"/>
  <c r="L891" i="1" s="1"/>
  <c r="J891" i="1" a="1"/>
  <c r="J891" i="1" s="1"/>
  <c r="I891" i="1" a="1"/>
  <c r="I891" i="1"/>
  <c r="F891" i="1" a="1"/>
  <c r="F891" i="1" s="1"/>
  <c r="E891" i="1" a="1"/>
  <c r="E891" i="1"/>
  <c r="L890" i="1" a="1"/>
  <c r="L890" i="1" s="1"/>
  <c r="O890" i="1" s="1" a="1"/>
  <c r="O890" i="1" s="1"/>
  <c r="K890" i="1" a="1"/>
  <c r="K890" i="1" s="1"/>
  <c r="N890" i="1" s="1" a="1"/>
  <c r="N890" i="1" s="1"/>
  <c r="J890" i="1" a="1"/>
  <c r="J890" i="1"/>
  <c r="I890" i="1" a="1"/>
  <c r="I890" i="1"/>
  <c r="F890" i="1" a="1"/>
  <c r="F890" i="1" s="1"/>
  <c r="E890" i="1" a="1"/>
  <c r="E890" i="1"/>
  <c r="L889" i="1" a="1"/>
  <c r="L889" i="1" s="1"/>
  <c r="J889" i="1" a="1"/>
  <c r="J889" i="1"/>
  <c r="K889" i="1" s="1" a="1"/>
  <c r="K889" i="1" s="1"/>
  <c r="I889" i="1" a="1"/>
  <c r="I889" i="1"/>
  <c r="F889" i="1" a="1"/>
  <c r="F889" i="1" s="1"/>
  <c r="E889" i="1" a="1"/>
  <c r="E889" i="1"/>
  <c r="L888" i="1" a="1"/>
  <c r="L888" i="1" s="1"/>
  <c r="J888" i="1" a="1"/>
  <c r="J888" i="1"/>
  <c r="K888" i="1" s="1" a="1"/>
  <c r="K888" i="1" s="1"/>
  <c r="N888" i="1" s="1" a="1"/>
  <c r="N888" i="1" s="1"/>
  <c r="I888" i="1" a="1"/>
  <c r="I888" i="1"/>
  <c r="F888" i="1" a="1"/>
  <c r="F888" i="1" s="1"/>
  <c r="E888" i="1" a="1"/>
  <c r="E888" i="1" s="1"/>
  <c r="L887" i="1" a="1"/>
  <c r="L887" i="1" s="1"/>
  <c r="K887" i="1"/>
  <c r="J887" i="1" a="1"/>
  <c r="J887" i="1" s="1"/>
  <c r="K887" i="1" s="1" a="1"/>
  <c r="I887" i="1" a="1"/>
  <c r="I887" i="1"/>
  <c r="F887" i="1" a="1"/>
  <c r="F887" i="1" s="1"/>
  <c r="E887" i="1" a="1"/>
  <c r="E887" i="1"/>
  <c r="L886" i="1" a="1"/>
  <c r="L886" i="1" s="1"/>
  <c r="J886" i="1" a="1"/>
  <c r="J886" i="1"/>
  <c r="K886" i="1" s="1" a="1"/>
  <c r="K886" i="1" s="1"/>
  <c r="I886" i="1" a="1"/>
  <c r="I886" i="1"/>
  <c r="F886" i="1" a="1"/>
  <c r="F886" i="1" s="1"/>
  <c r="E886" i="1" a="1"/>
  <c r="E886" i="1" s="1"/>
  <c r="L885" i="1" a="1"/>
  <c r="L885" i="1" s="1"/>
  <c r="J885" i="1" a="1"/>
  <c r="J885" i="1" s="1"/>
  <c r="K885" i="1" s="1" a="1"/>
  <c r="K885" i="1" s="1"/>
  <c r="N885" i="1" s="1" a="1"/>
  <c r="N885" i="1" s="1"/>
  <c r="I885" i="1" a="1"/>
  <c r="I885" i="1"/>
  <c r="F885" i="1" a="1"/>
  <c r="F885" i="1" s="1"/>
  <c r="E885" i="1" a="1"/>
  <c r="E885" i="1" s="1"/>
  <c r="L884" i="1" a="1"/>
  <c r="L884" i="1" s="1"/>
  <c r="O884" i="1" s="1" a="1"/>
  <c r="O884" i="1" s="1"/>
  <c r="J884" i="1" a="1"/>
  <c r="J884" i="1" s="1"/>
  <c r="K884" i="1" s="1" a="1"/>
  <c r="K884" i="1" s="1"/>
  <c r="N884" i="1" s="1" a="1"/>
  <c r="N884" i="1" s="1"/>
  <c r="I884" i="1" a="1"/>
  <c r="I884" i="1"/>
  <c r="F884" i="1" a="1"/>
  <c r="F884" i="1" s="1"/>
  <c r="E884" i="1" a="1"/>
  <c r="E884" i="1" s="1"/>
  <c r="L883" i="1" a="1"/>
  <c r="L883" i="1" s="1"/>
  <c r="J883" i="1" a="1"/>
  <c r="J883" i="1" s="1"/>
  <c r="K883" i="1" s="1" a="1"/>
  <c r="K883" i="1" s="1"/>
  <c r="I883" i="1" a="1"/>
  <c r="I883" i="1"/>
  <c r="F883" i="1" a="1"/>
  <c r="F883" i="1" s="1"/>
  <c r="E883" i="1" a="1"/>
  <c r="E883" i="1"/>
  <c r="L882" i="1" a="1"/>
  <c r="L882" i="1" s="1"/>
  <c r="O882" i="1" s="1" a="1"/>
  <c r="O882" i="1" s="1"/>
  <c r="K882" i="1" a="1"/>
  <c r="K882" i="1" s="1"/>
  <c r="N882" i="1" s="1" a="1"/>
  <c r="N882" i="1" s="1"/>
  <c r="J882" i="1" a="1"/>
  <c r="J882" i="1"/>
  <c r="I882" i="1" a="1"/>
  <c r="I882" i="1"/>
  <c r="F882" i="1" a="1"/>
  <c r="F882" i="1" s="1"/>
  <c r="E882" i="1" a="1"/>
  <c r="E882" i="1"/>
  <c r="L881" i="1" a="1"/>
  <c r="L881" i="1" s="1"/>
  <c r="J881" i="1" a="1"/>
  <c r="J881" i="1"/>
  <c r="K881" i="1" s="1" a="1"/>
  <c r="K881" i="1" s="1"/>
  <c r="I881" i="1" a="1"/>
  <c r="I881" i="1"/>
  <c r="F881" i="1" a="1"/>
  <c r="F881" i="1" s="1"/>
  <c r="E881" i="1" a="1"/>
  <c r="E881" i="1"/>
  <c r="L880" i="1" a="1"/>
  <c r="L880" i="1" s="1"/>
  <c r="O880" i="1" s="1" a="1"/>
  <c r="O880" i="1" s="1"/>
  <c r="J880" i="1" a="1"/>
  <c r="J880" i="1"/>
  <c r="K880" i="1" s="1" a="1"/>
  <c r="K880" i="1" s="1"/>
  <c r="N880" i="1" s="1" a="1"/>
  <c r="N880" i="1" s="1"/>
  <c r="I880" i="1" a="1"/>
  <c r="I880" i="1"/>
  <c r="F880" i="1" a="1"/>
  <c r="F880" i="1" s="1"/>
  <c r="E880" i="1" a="1"/>
  <c r="E880" i="1" s="1"/>
  <c r="L879" i="1" a="1"/>
  <c r="L879" i="1" s="1"/>
  <c r="K879" i="1"/>
  <c r="J879" i="1" a="1"/>
  <c r="J879" i="1" s="1"/>
  <c r="K879" i="1" s="1" a="1"/>
  <c r="I879" i="1" a="1"/>
  <c r="I879" i="1"/>
  <c r="F879" i="1" a="1"/>
  <c r="F879" i="1" s="1"/>
  <c r="E879" i="1" a="1"/>
  <c r="E879" i="1"/>
  <c r="L878" i="1" a="1"/>
  <c r="L878" i="1" s="1"/>
  <c r="J878" i="1" a="1"/>
  <c r="J878" i="1"/>
  <c r="K878" i="1" s="1" a="1"/>
  <c r="K878" i="1" s="1"/>
  <c r="N878" i="1" s="1" a="1"/>
  <c r="N878" i="1" s="1"/>
  <c r="I878" i="1" a="1"/>
  <c r="I878" i="1"/>
  <c r="F878" i="1" a="1"/>
  <c r="F878" i="1" s="1"/>
  <c r="E878" i="1" a="1"/>
  <c r="E878" i="1" s="1"/>
  <c r="L877" i="1" a="1"/>
  <c r="L877" i="1" s="1"/>
  <c r="J877" i="1" a="1"/>
  <c r="J877" i="1" s="1"/>
  <c r="K877" i="1" s="1" a="1"/>
  <c r="K877" i="1" s="1"/>
  <c r="N877" i="1" s="1" a="1"/>
  <c r="N877" i="1" s="1"/>
  <c r="I877" i="1" a="1"/>
  <c r="I877" i="1"/>
  <c r="F877" i="1" a="1"/>
  <c r="F877" i="1" s="1"/>
  <c r="E877" i="1" a="1"/>
  <c r="E877" i="1" s="1"/>
  <c r="L876" i="1" a="1"/>
  <c r="L876" i="1" s="1"/>
  <c r="O876" i="1" s="1" a="1"/>
  <c r="O876" i="1" s="1"/>
  <c r="J876" i="1" a="1"/>
  <c r="J876" i="1" s="1"/>
  <c r="K876" i="1" s="1" a="1"/>
  <c r="K876" i="1" s="1"/>
  <c r="N876" i="1" s="1" a="1"/>
  <c r="N876" i="1" s="1"/>
  <c r="I876" i="1" a="1"/>
  <c r="I876" i="1"/>
  <c r="F876" i="1" a="1"/>
  <c r="F876" i="1" s="1"/>
  <c r="E876" i="1" a="1"/>
  <c r="E876" i="1" s="1"/>
  <c r="L875" i="1" a="1"/>
  <c r="L875" i="1" s="1"/>
  <c r="J875" i="1" a="1"/>
  <c r="J875" i="1" s="1"/>
  <c r="K875" i="1" s="1" a="1"/>
  <c r="K875" i="1" s="1"/>
  <c r="I875" i="1" a="1"/>
  <c r="I875" i="1"/>
  <c r="F875" i="1" a="1"/>
  <c r="F875" i="1" s="1"/>
  <c r="E875" i="1" a="1"/>
  <c r="E875" i="1"/>
  <c r="L874" i="1" a="1"/>
  <c r="L874" i="1" s="1"/>
  <c r="O874" i="1" s="1" a="1"/>
  <c r="O874" i="1" s="1"/>
  <c r="K874" i="1" a="1"/>
  <c r="K874" i="1" s="1"/>
  <c r="N874" i="1" s="1" a="1"/>
  <c r="N874" i="1" s="1"/>
  <c r="J874" i="1" a="1"/>
  <c r="J874" i="1"/>
  <c r="I874" i="1" a="1"/>
  <c r="I874" i="1"/>
  <c r="F874" i="1" a="1"/>
  <c r="F874" i="1" s="1"/>
  <c r="E874" i="1" a="1"/>
  <c r="E874" i="1"/>
  <c r="L873" i="1" a="1"/>
  <c r="L873" i="1" s="1"/>
  <c r="J873" i="1" a="1"/>
  <c r="J873" i="1"/>
  <c r="K873" i="1" s="1" a="1"/>
  <c r="K873" i="1" s="1"/>
  <c r="I873" i="1" a="1"/>
  <c r="I873" i="1"/>
  <c r="F873" i="1" a="1"/>
  <c r="F873" i="1" s="1"/>
  <c r="E873" i="1" a="1"/>
  <c r="E873" i="1"/>
  <c r="N872" i="1"/>
  <c r="L872" i="1" a="1"/>
  <c r="L872" i="1" s="1"/>
  <c r="O872" i="1" s="1" a="1"/>
  <c r="O872" i="1" s="1"/>
  <c r="J872" i="1" a="1"/>
  <c r="J872" i="1"/>
  <c r="K872" i="1" s="1" a="1"/>
  <c r="K872" i="1" s="1"/>
  <c r="N872" i="1" s="1" a="1"/>
  <c r="I872" i="1" a="1"/>
  <c r="I872" i="1"/>
  <c r="F872" i="1" a="1"/>
  <c r="F872" i="1" s="1"/>
  <c r="E872" i="1" a="1"/>
  <c r="E872" i="1" s="1"/>
  <c r="L871" i="1" a="1"/>
  <c r="L871" i="1" s="1"/>
  <c r="K871" i="1" a="1"/>
  <c r="K871" i="1" s="1"/>
  <c r="N871" i="1" s="1" a="1"/>
  <c r="N871" i="1" s="1"/>
  <c r="J871" i="1" a="1"/>
  <c r="J871" i="1"/>
  <c r="I871" i="1" a="1"/>
  <c r="I871" i="1"/>
  <c r="F871" i="1" a="1"/>
  <c r="F871" i="1" s="1"/>
  <c r="E871" i="1" a="1"/>
  <c r="E871" i="1"/>
  <c r="L870" i="1" a="1"/>
  <c r="L870" i="1" s="1"/>
  <c r="J870" i="1" a="1"/>
  <c r="J870" i="1" s="1"/>
  <c r="K870" i="1" s="1" a="1"/>
  <c r="K870" i="1" s="1"/>
  <c r="I870" i="1" a="1"/>
  <c r="I870" i="1"/>
  <c r="F870" i="1" a="1"/>
  <c r="F870" i="1" s="1"/>
  <c r="E870" i="1" a="1"/>
  <c r="E870" i="1" s="1"/>
  <c r="L869" i="1" a="1"/>
  <c r="L869" i="1" s="1"/>
  <c r="J869" i="1" a="1"/>
  <c r="J869" i="1"/>
  <c r="K869" i="1" s="1" a="1"/>
  <c r="K869" i="1" s="1"/>
  <c r="I869" i="1" a="1"/>
  <c r="I869" i="1" s="1"/>
  <c r="F869" i="1" a="1"/>
  <c r="F869" i="1" s="1"/>
  <c r="E869" i="1" a="1"/>
  <c r="E869" i="1" s="1"/>
  <c r="L868" i="1" a="1"/>
  <c r="L868" i="1" s="1"/>
  <c r="J868" i="1" a="1"/>
  <c r="J868" i="1"/>
  <c r="K868" i="1" s="1" a="1"/>
  <c r="K868" i="1" s="1"/>
  <c r="N868" i="1" s="1" a="1"/>
  <c r="N868" i="1" s="1"/>
  <c r="I868" i="1" a="1"/>
  <c r="I868" i="1"/>
  <c r="F868" i="1" a="1"/>
  <c r="F868" i="1" s="1"/>
  <c r="E868" i="1" a="1"/>
  <c r="E868" i="1" s="1"/>
  <c r="L867" i="1" a="1"/>
  <c r="L867" i="1" s="1"/>
  <c r="K867" i="1" a="1"/>
  <c r="K867" i="1" s="1"/>
  <c r="N867" i="1" s="1" a="1"/>
  <c r="N867" i="1" s="1"/>
  <c r="J867" i="1" a="1"/>
  <c r="J867" i="1"/>
  <c r="I867" i="1" a="1"/>
  <c r="I867" i="1"/>
  <c r="F867" i="1" a="1"/>
  <c r="F867" i="1" s="1"/>
  <c r="E867" i="1" a="1"/>
  <c r="E867" i="1"/>
  <c r="L866" i="1" a="1"/>
  <c r="L866" i="1" s="1"/>
  <c r="J866" i="1" a="1"/>
  <c r="J866" i="1" s="1"/>
  <c r="K866" i="1" s="1" a="1"/>
  <c r="K866" i="1" s="1"/>
  <c r="I866" i="1" a="1"/>
  <c r="I866" i="1"/>
  <c r="F866" i="1" a="1"/>
  <c r="F866" i="1" s="1"/>
  <c r="E866" i="1" a="1"/>
  <c r="E866" i="1" s="1"/>
  <c r="L865" i="1" a="1"/>
  <c r="L865" i="1" s="1"/>
  <c r="J865" i="1" a="1"/>
  <c r="J865" i="1"/>
  <c r="I865" i="1" a="1"/>
  <c r="I865" i="1" s="1"/>
  <c r="F865" i="1" a="1"/>
  <c r="F865" i="1" s="1"/>
  <c r="E865" i="1" a="1"/>
  <c r="E865" i="1" s="1"/>
  <c r="L864" i="1" a="1"/>
  <c r="L864" i="1" s="1"/>
  <c r="J864" i="1" a="1"/>
  <c r="J864" i="1"/>
  <c r="K864" i="1" s="1" a="1"/>
  <c r="K864" i="1" s="1"/>
  <c r="N864" i="1" s="1" a="1"/>
  <c r="N864" i="1" s="1"/>
  <c r="I864" i="1" a="1"/>
  <c r="I864" i="1"/>
  <c r="F864" i="1" a="1"/>
  <c r="F864" i="1" s="1"/>
  <c r="E864" i="1" a="1"/>
  <c r="E864" i="1" s="1"/>
  <c r="L863" i="1" a="1"/>
  <c r="L863" i="1" s="1"/>
  <c r="O863" i="1" s="1" a="1"/>
  <c r="O863" i="1" s="1"/>
  <c r="K863" i="1" a="1"/>
  <c r="K863" i="1" s="1"/>
  <c r="N863" i="1" s="1" a="1"/>
  <c r="N863" i="1" s="1"/>
  <c r="J863" i="1" a="1"/>
  <c r="J863" i="1"/>
  <c r="I863" i="1" a="1"/>
  <c r="I863" i="1"/>
  <c r="F863" i="1" a="1"/>
  <c r="F863" i="1" s="1"/>
  <c r="E863" i="1" a="1"/>
  <c r="E863" i="1"/>
  <c r="L862" i="1" a="1"/>
  <c r="L862" i="1" s="1"/>
  <c r="J862" i="1" a="1"/>
  <c r="J862" i="1" s="1"/>
  <c r="K862" i="1" s="1" a="1"/>
  <c r="K862" i="1" s="1"/>
  <c r="I862" i="1" a="1"/>
  <c r="I862" i="1"/>
  <c r="F862" i="1" a="1"/>
  <c r="F862" i="1" s="1"/>
  <c r="E862" i="1" a="1"/>
  <c r="E862" i="1" s="1"/>
  <c r="L861" i="1" a="1"/>
  <c r="L861" i="1" s="1"/>
  <c r="J861" i="1" a="1"/>
  <c r="J861" i="1"/>
  <c r="I861" i="1" a="1"/>
  <c r="I861" i="1" s="1"/>
  <c r="F861" i="1" a="1"/>
  <c r="F861" i="1" s="1"/>
  <c r="E861" i="1" a="1"/>
  <c r="E861" i="1" s="1"/>
  <c r="N860" i="1"/>
  <c r="L860" i="1" a="1"/>
  <c r="L860" i="1" s="1"/>
  <c r="J860" i="1" a="1"/>
  <c r="J860" i="1"/>
  <c r="K860" i="1" s="1" a="1"/>
  <c r="K860" i="1" s="1"/>
  <c r="N860" i="1" s="1" a="1"/>
  <c r="I860" i="1" a="1"/>
  <c r="I860" i="1"/>
  <c r="F860" i="1" a="1"/>
  <c r="F860" i="1" s="1"/>
  <c r="E860" i="1" a="1"/>
  <c r="E860" i="1" s="1"/>
  <c r="L859" i="1" a="1"/>
  <c r="L859" i="1" s="1"/>
  <c r="O859" i="1" s="1" a="1"/>
  <c r="O859" i="1" s="1"/>
  <c r="K859" i="1" a="1"/>
  <c r="K859" i="1" s="1"/>
  <c r="N859" i="1" s="1" a="1"/>
  <c r="N859" i="1" s="1"/>
  <c r="J859" i="1" a="1"/>
  <c r="J859" i="1"/>
  <c r="I859" i="1" a="1"/>
  <c r="I859" i="1"/>
  <c r="F859" i="1" a="1"/>
  <c r="F859" i="1" s="1"/>
  <c r="E859" i="1" a="1"/>
  <c r="E859" i="1"/>
  <c r="L858" i="1" a="1"/>
  <c r="L858" i="1" s="1"/>
  <c r="J858" i="1" a="1"/>
  <c r="J858" i="1" s="1"/>
  <c r="K858" i="1" s="1" a="1"/>
  <c r="K858" i="1" s="1"/>
  <c r="I858" i="1" a="1"/>
  <c r="I858" i="1"/>
  <c r="F858" i="1" a="1"/>
  <c r="F858" i="1" s="1"/>
  <c r="E858" i="1" a="1"/>
  <c r="E858" i="1" s="1"/>
  <c r="L857" i="1" a="1"/>
  <c r="L857" i="1" s="1"/>
  <c r="J857" i="1" a="1"/>
  <c r="J857" i="1"/>
  <c r="K857" i="1" s="1" a="1"/>
  <c r="K857" i="1" s="1"/>
  <c r="I857" i="1" a="1"/>
  <c r="I857" i="1" s="1"/>
  <c r="F857" i="1" a="1"/>
  <c r="F857" i="1" s="1"/>
  <c r="E857" i="1" a="1"/>
  <c r="E857" i="1" s="1"/>
  <c r="N856" i="1"/>
  <c r="L856" i="1" a="1"/>
  <c r="L856" i="1" s="1"/>
  <c r="O856" i="1" s="1" a="1"/>
  <c r="O856" i="1" s="1"/>
  <c r="J856" i="1" a="1"/>
  <c r="J856" i="1"/>
  <c r="K856" i="1" s="1" a="1"/>
  <c r="K856" i="1" s="1"/>
  <c r="N856" i="1" s="1" a="1"/>
  <c r="I856" i="1" a="1"/>
  <c r="I856" i="1"/>
  <c r="F856" i="1" a="1"/>
  <c r="F856" i="1" s="1"/>
  <c r="E856" i="1" a="1"/>
  <c r="E856" i="1" s="1"/>
  <c r="L855" i="1" a="1"/>
  <c r="L855" i="1" s="1"/>
  <c r="K855" i="1" a="1"/>
  <c r="K855" i="1" s="1"/>
  <c r="N855" i="1" s="1" a="1"/>
  <c r="N855" i="1" s="1"/>
  <c r="J855" i="1" a="1"/>
  <c r="J855" i="1"/>
  <c r="I855" i="1" a="1"/>
  <c r="I855" i="1"/>
  <c r="F855" i="1" a="1"/>
  <c r="F855" i="1" s="1"/>
  <c r="E855" i="1" a="1"/>
  <c r="E855" i="1"/>
  <c r="L854" i="1" a="1"/>
  <c r="L854" i="1" s="1"/>
  <c r="J854" i="1" a="1"/>
  <c r="J854" i="1" s="1"/>
  <c r="K854" i="1" s="1" a="1"/>
  <c r="K854" i="1" s="1"/>
  <c r="I854" i="1" a="1"/>
  <c r="I854" i="1"/>
  <c r="F854" i="1" a="1"/>
  <c r="F854" i="1" s="1"/>
  <c r="E854" i="1" a="1"/>
  <c r="E854" i="1" s="1"/>
  <c r="L853" i="1" a="1"/>
  <c r="L853" i="1" s="1"/>
  <c r="J853" i="1" a="1"/>
  <c r="J853" i="1"/>
  <c r="K853" i="1" s="1" a="1"/>
  <c r="K853" i="1" s="1"/>
  <c r="I853" i="1" a="1"/>
  <c r="I853" i="1" s="1"/>
  <c r="F853" i="1" a="1"/>
  <c r="F853" i="1" s="1"/>
  <c r="E853" i="1" a="1"/>
  <c r="E853" i="1" s="1"/>
  <c r="L852" i="1" a="1"/>
  <c r="L852" i="1" s="1"/>
  <c r="J852" i="1" a="1"/>
  <c r="J852" i="1"/>
  <c r="K852" i="1" s="1" a="1"/>
  <c r="K852" i="1" s="1"/>
  <c r="N852" i="1" s="1" a="1"/>
  <c r="N852" i="1" s="1"/>
  <c r="I852" i="1" a="1"/>
  <c r="I852" i="1"/>
  <c r="F852" i="1" a="1"/>
  <c r="F852" i="1" s="1"/>
  <c r="E852" i="1" a="1"/>
  <c r="E852" i="1" s="1"/>
  <c r="L851" i="1" a="1"/>
  <c r="L851" i="1" s="1"/>
  <c r="K851" i="1" a="1"/>
  <c r="K851" i="1" s="1"/>
  <c r="N851" i="1" s="1" a="1"/>
  <c r="N851" i="1" s="1"/>
  <c r="J851" i="1" a="1"/>
  <c r="J851" i="1"/>
  <c r="I851" i="1" a="1"/>
  <c r="I851" i="1"/>
  <c r="F851" i="1" a="1"/>
  <c r="F851" i="1" s="1"/>
  <c r="E851" i="1" a="1"/>
  <c r="E851" i="1"/>
  <c r="L850" i="1" a="1"/>
  <c r="L850" i="1" s="1"/>
  <c r="J850" i="1" a="1"/>
  <c r="J850" i="1" s="1"/>
  <c r="K850" i="1" s="1" a="1"/>
  <c r="K850" i="1" s="1"/>
  <c r="I850" i="1" a="1"/>
  <c r="I850" i="1"/>
  <c r="F850" i="1" a="1"/>
  <c r="F850" i="1" s="1"/>
  <c r="E850" i="1" a="1"/>
  <c r="E850" i="1" s="1"/>
  <c r="L849" i="1" a="1"/>
  <c r="L849" i="1" s="1"/>
  <c r="J849" i="1" a="1"/>
  <c r="J849" i="1"/>
  <c r="I849" i="1" a="1"/>
  <c r="I849" i="1" s="1"/>
  <c r="F849" i="1" a="1"/>
  <c r="F849" i="1" s="1"/>
  <c r="E849" i="1" a="1"/>
  <c r="E849" i="1" s="1"/>
  <c r="L848" i="1" a="1"/>
  <c r="L848" i="1" s="1"/>
  <c r="J848" i="1" a="1"/>
  <c r="J848" i="1"/>
  <c r="K848" i="1" s="1" a="1"/>
  <c r="K848" i="1" s="1"/>
  <c r="N848" i="1" s="1" a="1"/>
  <c r="N848" i="1" s="1"/>
  <c r="I848" i="1" a="1"/>
  <c r="I848" i="1"/>
  <c r="F848" i="1" a="1"/>
  <c r="F848" i="1" s="1"/>
  <c r="E848" i="1" a="1"/>
  <c r="E848" i="1" s="1"/>
  <c r="L847" i="1" a="1"/>
  <c r="L847" i="1" s="1"/>
  <c r="K847" i="1" a="1"/>
  <c r="K847" i="1" s="1"/>
  <c r="N847" i="1" s="1" a="1"/>
  <c r="N847" i="1" s="1"/>
  <c r="J847" i="1" a="1"/>
  <c r="J847" i="1"/>
  <c r="I847" i="1" a="1"/>
  <c r="I847" i="1"/>
  <c r="F847" i="1" a="1"/>
  <c r="F847" i="1" s="1"/>
  <c r="E847" i="1" a="1"/>
  <c r="E847" i="1"/>
  <c r="L846" i="1" a="1"/>
  <c r="L846" i="1" s="1"/>
  <c r="J846" i="1" a="1"/>
  <c r="J846" i="1" s="1"/>
  <c r="K846" i="1" s="1" a="1"/>
  <c r="K846" i="1" s="1"/>
  <c r="I846" i="1" a="1"/>
  <c r="I846" i="1"/>
  <c r="F846" i="1" a="1"/>
  <c r="F846" i="1" s="1"/>
  <c r="E846" i="1" a="1"/>
  <c r="E846" i="1" s="1"/>
  <c r="L845" i="1" a="1"/>
  <c r="L845" i="1" s="1"/>
  <c r="J845" i="1" a="1"/>
  <c r="J845" i="1"/>
  <c r="I845" i="1" a="1"/>
  <c r="I845" i="1" s="1"/>
  <c r="F845" i="1" a="1"/>
  <c r="F845" i="1" s="1"/>
  <c r="E845" i="1" a="1"/>
  <c r="E845" i="1" s="1"/>
  <c r="N844" i="1"/>
  <c r="L844" i="1" a="1"/>
  <c r="L844" i="1" s="1"/>
  <c r="J844" i="1" a="1"/>
  <c r="J844" i="1"/>
  <c r="K844" i="1" s="1" a="1"/>
  <c r="K844" i="1" s="1"/>
  <c r="N844" i="1" s="1" a="1"/>
  <c r="I844" i="1" a="1"/>
  <c r="I844" i="1"/>
  <c r="F844" i="1" a="1"/>
  <c r="F844" i="1" s="1"/>
  <c r="E844" i="1" a="1"/>
  <c r="E844" i="1" s="1"/>
  <c r="L843" i="1" a="1"/>
  <c r="L843" i="1" s="1"/>
  <c r="O843" i="1" s="1" a="1"/>
  <c r="O843" i="1" s="1"/>
  <c r="K843" i="1" a="1"/>
  <c r="K843" i="1" s="1"/>
  <c r="N843" i="1" s="1" a="1"/>
  <c r="N843" i="1" s="1"/>
  <c r="J843" i="1" a="1"/>
  <c r="J843" i="1"/>
  <c r="I843" i="1" a="1"/>
  <c r="I843" i="1"/>
  <c r="F843" i="1" a="1"/>
  <c r="F843" i="1" s="1"/>
  <c r="E843" i="1" a="1"/>
  <c r="E843" i="1"/>
  <c r="L842" i="1" a="1"/>
  <c r="L842" i="1" s="1"/>
  <c r="J842" i="1" a="1"/>
  <c r="J842" i="1" s="1"/>
  <c r="K842" i="1" s="1" a="1"/>
  <c r="K842" i="1" s="1"/>
  <c r="I842" i="1" a="1"/>
  <c r="I842" i="1"/>
  <c r="F842" i="1" a="1"/>
  <c r="F842" i="1" s="1"/>
  <c r="E842" i="1" a="1"/>
  <c r="E842" i="1" s="1"/>
  <c r="L841" i="1" a="1"/>
  <c r="L841" i="1" s="1"/>
  <c r="J841" i="1" a="1"/>
  <c r="J841" i="1"/>
  <c r="I841" i="1" a="1"/>
  <c r="I841" i="1" s="1"/>
  <c r="F841" i="1" a="1"/>
  <c r="F841" i="1" s="1"/>
  <c r="E841" i="1" a="1"/>
  <c r="E841" i="1" s="1"/>
  <c r="N840" i="1"/>
  <c r="L840" i="1" a="1"/>
  <c r="L840" i="1" s="1"/>
  <c r="O840" i="1" s="1" a="1"/>
  <c r="O840" i="1" s="1"/>
  <c r="J840" i="1" a="1"/>
  <c r="J840" i="1"/>
  <c r="K840" i="1" s="1" a="1"/>
  <c r="K840" i="1" s="1"/>
  <c r="N840" i="1" s="1" a="1"/>
  <c r="I840" i="1" a="1"/>
  <c r="I840" i="1"/>
  <c r="F840" i="1" a="1"/>
  <c r="F840" i="1" s="1"/>
  <c r="E840" i="1" a="1"/>
  <c r="E840" i="1" s="1"/>
  <c r="L839" i="1" a="1"/>
  <c r="L839" i="1" s="1"/>
  <c r="K839" i="1" a="1"/>
  <c r="K839" i="1" s="1"/>
  <c r="N839" i="1" s="1" a="1"/>
  <c r="N839" i="1" s="1"/>
  <c r="J839" i="1" a="1"/>
  <c r="J839" i="1"/>
  <c r="I839" i="1" a="1"/>
  <c r="I839" i="1"/>
  <c r="F839" i="1" a="1"/>
  <c r="F839" i="1" s="1"/>
  <c r="E839" i="1" a="1"/>
  <c r="E839" i="1"/>
  <c r="L838" i="1" a="1"/>
  <c r="L838" i="1" s="1"/>
  <c r="J838" i="1" a="1"/>
  <c r="J838" i="1" s="1"/>
  <c r="K838" i="1" s="1" a="1"/>
  <c r="K838" i="1" s="1"/>
  <c r="I838" i="1" a="1"/>
  <c r="I838" i="1"/>
  <c r="F838" i="1" a="1"/>
  <c r="F838" i="1" s="1"/>
  <c r="E838" i="1" a="1"/>
  <c r="E838" i="1" s="1"/>
  <c r="L837" i="1" a="1"/>
  <c r="L837" i="1" s="1"/>
  <c r="J837" i="1" a="1"/>
  <c r="J837" i="1"/>
  <c r="K837" i="1" s="1" a="1"/>
  <c r="K837" i="1" s="1"/>
  <c r="I837" i="1" a="1"/>
  <c r="I837" i="1" s="1"/>
  <c r="F837" i="1" a="1"/>
  <c r="F837" i="1" s="1"/>
  <c r="E837" i="1" a="1"/>
  <c r="E837" i="1" s="1"/>
  <c r="L836" i="1" a="1"/>
  <c r="L836" i="1" s="1"/>
  <c r="J836" i="1" a="1"/>
  <c r="J836" i="1"/>
  <c r="K836" i="1" s="1" a="1"/>
  <c r="K836" i="1" s="1"/>
  <c r="N836" i="1" s="1" a="1"/>
  <c r="N836" i="1" s="1"/>
  <c r="I836" i="1" a="1"/>
  <c r="I836" i="1"/>
  <c r="F836" i="1" a="1"/>
  <c r="F836" i="1" s="1"/>
  <c r="E836" i="1" a="1"/>
  <c r="E836" i="1" s="1"/>
  <c r="L835" i="1" a="1"/>
  <c r="L835" i="1" s="1"/>
  <c r="K835" i="1" a="1"/>
  <c r="K835" i="1" s="1"/>
  <c r="N835" i="1" s="1" a="1"/>
  <c r="N835" i="1" s="1"/>
  <c r="J835" i="1" a="1"/>
  <c r="J835" i="1"/>
  <c r="I835" i="1" a="1"/>
  <c r="I835" i="1"/>
  <c r="F835" i="1" a="1"/>
  <c r="F835" i="1" s="1"/>
  <c r="E835" i="1" a="1"/>
  <c r="E835" i="1"/>
  <c r="L834" i="1" a="1"/>
  <c r="L834" i="1" s="1"/>
  <c r="J834" i="1" a="1"/>
  <c r="J834" i="1" s="1"/>
  <c r="K834" i="1" s="1" a="1"/>
  <c r="K834" i="1" s="1"/>
  <c r="I834" i="1" a="1"/>
  <c r="I834" i="1"/>
  <c r="F834" i="1" a="1"/>
  <c r="F834" i="1" s="1"/>
  <c r="E834" i="1" a="1"/>
  <c r="E834" i="1" s="1"/>
  <c r="O833" i="1" a="1"/>
  <c r="O833" i="1"/>
  <c r="N833" i="1" a="1"/>
  <c r="N833" i="1" s="1"/>
  <c r="L833" i="1" a="1"/>
  <c r="L833" i="1" s="1"/>
  <c r="K833" i="1" a="1"/>
  <c r="K833" i="1"/>
  <c r="J833" i="1" a="1"/>
  <c r="J833" i="1"/>
  <c r="I833" i="1" a="1"/>
  <c r="I833" i="1" s="1"/>
  <c r="F833" i="1" a="1"/>
  <c r="F833" i="1" s="1"/>
  <c r="E833" i="1" a="1"/>
  <c r="E833" i="1" s="1"/>
  <c r="L832" i="1" a="1"/>
  <c r="L832" i="1"/>
  <c r="J832" i="1" a="1"/>
  <c r="J832" i="1"/>
  <c r="I832" i="1" a="1"/>
  <c r="I832" i="1" s="1"/>
  <c r="F832" i="1" a="1"/>
  <c r="F832" i="1" s="1"/>
  <c r="E832" i="1" a="1"/>
  <c r="E832" i="1" s="1"/>
  <c r="L831" i="1" a="1"/>
  <c r="L831" i="1" s="1"/>
  <c r="J831" i="1" a="1"/>
  <c r="J831" i="1"/>
  <c r="K831" i="1" s="1" a="1"/>
  <c r="K831" i="1" s="1"/>
  <c r="N831" i="1" s="1" a="1"/>
  <c r="N831" i="1" s="1"/>
  <c r="I831" i="1" a="1"/>
  <c r="I831" i="1" s="1"/>
  <c r="F831" i="1" a="1"/>
  <c r="F831" i="1"/>
  <c r="E831" i="1" a="1"/>
  <c r="E831" i="1" s="1"/>
  <c r="L830" i="1" a="1"/>
  <c r="L830" i="1"/>
  <c r="K830" i="1" a="1"/>
  <c r="K830" i="1" s="1"/>
  <c r="N830" i="1" s="1" a="1"/>
  <c r="N830" i="1" s="1"/>
  <c r="J830" i="1" a="1"/>
  <c r="J830" i="1"/>
  <c r="I830" i="1" a="1"/>
  <c r="I830" i="1" s="1"/>
  <c r="F830" i="1" a="1"/>
  <c r="F830" i="1" s="1"/>
  <c r="E830" i="1" a="1"/>
  <c r="E830" i="1"/>
  <c r="L829" i="1" a="1"/>
  <c r="L829" i="1"/>
  <c r="J829" i="1" a="1"/>
  <c r="J829" i="1" s="1"/>
  <c r="K829" i="1" s="1" a="1"/>
  <c r="K829" i="1" s="1"/>
  <c r="I829" i="1" a="1"/>
  <c r="I829" i="1" s="1"/>
  <c r="F829" i="1" a="1"/>
  <c r="F829" i="1" s="1"/>
  <c r="E829" i="1" a="1"/>
  <c r="E829" i="1" s="1"/>
  <c r="L828" i="1" a="1"/>
  <c r="L828" i="1"/>
  <c r="J828" i="1" a="1"/>
  <c r="J828" i="1"/>
  <c r="K828" i="1" s="1" a="1"/>
  <c r="K828" i="1" s="1"/>
  <c r="I828" i="1" a="1"/>
  <c r="I828" i="1" s="1"/>
  <c r="F828" i="1" a="1"/>
  <c r="F828" i="1" s="1"/>
  <c r="E828" i="1" a="1"/>
  <c r="E828" i="1" s="1"/>
  <c r="L827" i="1" a="1"/>
  <c r="L827" i="1" s="1"/>
  <c r="J827" i="1" a="1"/>
  <c r="J827" i="1"/>
  <c r="K827" i="1" s="1" a="1"/>
  <c r="K827" i="1" s="1"/>
  <c r="N827" i="1" s="1" a="1"/>
  <c r="N827" i="1" s="1"/>
  <c r="I827" i="1" a="1"/>
  <c r="I827" i="1" s="1"/>
  <c r="F827" i="1" a="1"/>
  <c r="F827" i="1"/>
  <c r="E827" i="1" a="1"/>
  <c r="E827" i="1" s="1"/>
  <c r="L826" i="1" a="1"/>
  <c r="L826" i="1"/>
  <c r="K826" i="1" a="1"/>
  <c r="K826" i="1" s="1"/>
  <c r="N826" i="1" s="1" a="1"/>
  <c r="N826" i="1" s="1"/>
  <c r="J826" i="1" a="1"/>
  <c r="J826" i="1"/>
  <c r="I826" i="1" a="1"/>
  <c r="I826" i="1" s="1"/>
  <c r="F826" i="1" a="1"/>
  <c r="F826" i="1" s="1"/>
  <c r="E826" i="1" a="1"/>
  <c r="E826" i="1"/>
  <c r="L825" i="1" a="1"/>
  <c r="L825" i="1"/>
  <c r="J825" i="1" a="1"/>
  <c r="J825" i="1" s="1"/>
  <c r="K825" i="1" s="1" a="1"/>
  <c r="K825" i="1" s="1"/>
  <c r="I825" i="1" a="1"/>
  <c r="I825" i="1" s="1"/>
  <c r="F825" i="1" a="1"/>
  <c r="F825" i="1" s="1"/>
  <c r="E825" i="1" a="1"/>
  <c r="E825" i="1" s="1"/>
  <c r="L824" i="1" a="1"/>
  <c r="L824" i="1"/>
  <c r="J824" i="1" a="1"/>
  <c r="J824" i="1"/>
  <c r="I824" i="1" a="1"/>
  <c r="I824" i="1" s="1"/>
  <c r="F824" i="1" a="1"/>
  <c r="F824" i="1" s="1"/>
  <c r="E824" i="1" a="1"/>
  <c r="E824" i="1" s="1"/>
  <c r="L823" i="1" a="1"/>
  <c r="L823" i="1" s="1"/>
  <c r="O823" i="1" s="1" a="1"/>
  <c r="O823" i="1" s="1"/>
  <c r="J823" i="1" a="1"/>
  <c r="J823" i="1"/>
  <c r="K823" i="1" s="1" a="1"/>
  <c r="K823" i="1" s="1"/>
  <c r="N823" i="1" s="1" a="1"/>
  <c r="N823" i="1" s="1"/>
  <c r="I823" i="1" a="1"/>
  <c r="I823" i="1" s="1"/>
  <c r="F823" i="1" a="1"/>
  <c r="F823" i="1"/>
  <c r="E823" i="1" a="1"/>
  <c r="E823" i="1" s="1"/>
  <c r="L822" i="1" a="1"/>
  <c r="L822" i="1"/>
  <c r="K822" i="1" a="1"/>
  <c r="K822" i="1" s="1"/>
  <c r="N822" i="1" s="1" a="1"/>
  <c r="N822" i="1" s="1"/>
  <c r="J822" i="1" a="1"/>
  <c r="J822" i="1"/>
  <c r="I822" i="1" a="1"/>
  <c r="I822" i="1" s="1"/>
  <c r="F822" i="1" a="1"/>
  <c r="F822" i="1" s="1"/>
  <c r="E822" i="1" a="1"/>
  <c r="E822" i="1"/>
  <c r="L821" i="1" a="1"/>
  <c r="L821" i="1"/>
  <c r="J821" i="1" a="1"/>
  <c r="J821" i="1" s="1"/>
  <c r="K821" i="1" s="1" a="1"/>
  <c r="K821" i="1" s="1"/>
  <c r="I821" i="1" a="1"/>
  <c r="I821" i="1" s="1"/>
  <c r="F821" i="1" a="1"/>
  <c r="F821" i="1" s="1"/>
  <c r="E821" i="1" a="1"/>
  <c r="E821" i="1" s="1"/>
  <c r="L820" i="1" a="1"/>
  <c r="L820" i="1"/>
  <c r="J820" i="1" a="1"/>
  <c r="J820" i="1"/>
  <c r="I820" i="1" a="1"/>
  <c r="I820" i="1" s="1"/>
  <c r="F820" i="1" a="1"/>
  <c r="F820" i="1" s="1"/>
  <c r="E820" i="1" a="1"/>
  <c r="E820" i="1" s="1"/>
  <c r="L819" i="1" a="1"/>
  <c r="L819" i="1" s="1"/>
  <c r="O819" i="1" s="1" a="1"/>
  <c r="O819" i="1" s="1"/>
  <c r="J819" i="1" a="1"/>
  <c r="J819" i="1"/>
  <c r="K819" i="1" s="1" a="1"/>
  <c r="K819" i="1" s="1"/>
  <c r="N819" i="1" s="1" a="1"/>
  <c r="N819" i="1" s="1"/>
  <c r="I819" i="1" a="1"/>
  <c r="I819" i="1" s="1"/>
  <c r="F819" i="1" a="1"/>
  <c r="F819" i="1"/>
  <c r="E819" i="1" a="1"/>
  <c r="E819" i="1" s="1"/>
  <c r="L818" i="1" a="1"/>
  <c r="L818" i="1"/>
  <c r="O818" i="1" s="1" a="1"/>
  <c r="O818" i="1" s="1"/>
  <c r="K818" i="1" a="1"/>
  <c r="K818" i="1" s="1"/>
  <c r="N818" i="1" s="1" a="1"/>
  <c r="N818" i="1" s="1"/>
  <c r="J818" i="1" a="1"/>
  <c r="J818" i="1"/>
  <c r="I818" i="1" a="1"/>
  <c r="I818" i="1" s="1"/>
  <c r="F818" i="1" a="1"/>
  <c r="F818" i="1" s="1"/>
  <c r="E818" i="1" a="1"/>
  <c r="E818" i="1"/>
  <c r="L817" i="1" a="1"/>
  <c r="L817" i="1" s="1"/>
  <c r="J817" i="1" a="1"/>
  <c r="J817" i="1" s="1"/>
  <c r="K817" i="1" s="1" a="1"/>
  <c r="K817" i="1" s="1"/>
  <c r="N817" i="1" s="1" a="1"/>
  <c r="N817" i="1" s="1"/>
  <c r="I817" i="1" a="1"/>
  <c r="I817" i="1" s="1"/>
  <c r="F817" i="1" a="1"/>
  <c r="F817" i="1" s="1"/>
  <c r="E817" i="1" a="1"/>
  <c r="E817" i="1"/>
  <c r="L816" i="1" a="1"/>
  <c r="L816" i="1" s="1"/>
  <c r="J816" i="1" a="1"/>
  <c r="J816" i="1" s="1"/>
  <c r="K816" i="1" s="1" a="1"/>
  <c r="K816" i="1" s="1"/>
  <c r="N816" i="1" s="1" a="1"/>
  <c r="N816" i="1" s="1"/>
  <c r="I816" i="1" a="1"/>
  <c r="I816" i="1" s="1"/>
  <c r="F816" i="1" a="1"/>
  <c r="F816" i="1" s="1"/>
  <c r="E816" i="1" a="1"/>
  <c r="E816" i="1"/>
  <c r="O815" i="1" a="1"/>
  <c r="O815" i="1" s="1"/>
  <c r="L815" i="1" a="1"/>
  <c r="L815" i="1" s="1"/>
  <c r="J815" i="1" a="1"/>
  <c r="J815" i="1" s="1"/>
  <c r="K815" i="1" s="1" a="1"/>
  <c r="K815" i="1" s="1"/>
  <c r="N815" i="1" s="1" a="1"/>
  <c r="N815" i="1" s="1"/>
  <c r="I815" i="1" a="1"/>
  <c r="I815" i="1" s="1"/>
  <c r="F815" i="1" a="1"/>
  <c r="F815" i="1" s="1"/>
  <c r="E815" i="1" a="1"/>
  <c r="E815" i="1"/>
  <c r="O814" i="1" a="1"/>
  <c r="O814" i="1" s="1"/>
  <c r="L814" i="1" a="1"/>
  <c r="L814" i="1" s="1"/>
  <c r="J814" i="1" a="1"/>
  <c r="J814" i="1" s="1"/>
  <c r="K814" i="1" s="1" a="1"/>
  <c r="K814" i="1" s="1"/>
  <c r="N814" i="1" s="1" a="1"/>
  <c r="N814" i="1" s="1"/>
  <c r="I814" i="1" a="1"/>
  <c r="I814" i="1" s="1"/>
  <c r="F814" i="1" a="1"/>
  <c r="F814" i="1" s="1"/>
  <c r="E814" i="1" a="1"/>
  <c r="E814" i="1"/>
  <c r="L813" i="1" a="1"/>
  <c r="L813" i="1" s="1"/>
  <c r="J813" i="1" a="1"/>
  <c r="J813" i="1" s="1"/>
  <c r="K813" i="1" s="1" a="1"/>
  <c r="K813" i="1" s="1"/>
  <c r="I813" i="1" a="1"/>
  <c r="I813" i="1" s="1"/>
  <c r="F813" i="1" a="1"/>
  <c r="F813" i="1" s="1"/>
  <c r="E813" i="1" a="1"/>
  <c r="E813" i="1"/>
  <c r="L812" i="1" a="1"/>
  <c r="L812" i="1" s="1"/>
  <c r="J812" i="1" a="1"/>
  <c r="J812" i="1" s="1"/>
  <c r="K812" i="1" s="1" a="1"/>
  <c r="K812" i="1" s="1"/>
  <c r="N812" i="1" s="1" a="1"/>
  <c r="N812" i="1" s="1"/>
  <c r="I812" i="1" a="1"/>
  <c r="I812" i="1" s="1"/>
  <c r="F812" i="1" a="1"/>
  <c r="F812" i="1" s="1"/>
  <c r="E812" i="1" a="1"/>
  <c r="E812" i="1"/>
  <c r="O811" i="1" a="1"/>
  <c r="O811" i="1" s="1"/>
  <c r="L811" i="1" a="1"/>
  <c r="L811" i="1" s="1"/>
  <c r="J811" i="1" a="1"/>
  <c r="J811" i="1" s="1"/>
  <c r="K811" i="1" s="1" a="1"/>
  <c r="K811" i="1" s="1"/>
  <c r="N811" i="1" s="1" a="1"/>
  <c r="N811" i="1" s="1"/>
  <c r="I811" i="1" a="1"/>
  <c r="I811" i="1" s="1"/>
  <c r="F811" i="1" a="1"/>
  <c r="F811" i="1" s="1"/>
  <c r="E811" i="1" a="1"/>
  <c r="E811" i="1"/>
  <c r="O810" i="1" a="1"/>
  <c r="O810" i="1" s="1"/>
  <c r="L810" i="1" a="1"/>
  <c r="L810" i="1" s="1"/>
  <c r="J810" i="1" a="1"/>
  <c r="J810" i="1" s="1"/>
  <c r="K810" i="1" s="1" a="1"/>
  <c r="K810" i="1" s="1"/>
  <c r="N810" i="1" s="1" a="1"/>
  <c r="N810" i="1" s="1"/>
  <c r="I810" i="1" a="1"/>
  <c r="I810" i="1" s="1"/>
  <c r="F810" i="1" a="1"/>
  <c r="F810" i="1" s="1"/>
  <c r="E810" i="1" a="1"/>
  <c r="E810" i="1"/>
  <c r="L809" i="1" a="1"/>
  <c r="L809" i="1" s="1"/>
  <c r="J809" i="1" a="1"/>
  <c r="J809" i="1" s="1"/>
  <c r="K809" i="1" s="1" a="1"/>
  <c r="K809" i="1" s="1"/>
  <c r="N809" i="1" s="1" a="1"/>
  <c r="N809" i="1" s="1"/>
  <c r="I809" i="1" a="1"/>
  <c r="I809" i="1" s="1"/>
  <c r="F809" i="1" a="1"/>
  <c r="F809" i="1" s="1"/>
  <c r="E809" i="1" a="1"/>
  <c r="E809" i="1"/>
  <c r="L808" i="1" a="1"/>
  <c r="L808" i="1" s="1"/>
  <c r="J808" i="1" a="1"/>
  <c r="J808" i="1" s="1"/>
  <c r="K808" i="1" s="1" a="1"/>
  <c r="K808" i="1" s="1"/>
  <c r="N808" i="1" s="1" a="1"/>
  <c r="N808" i="1" s="1"/>
  <c r="I808" i="1" a="1"/>
  <c r="I808" i="1" s="1"/>
  <c r="F808" i="1" a="1"/>
  <c r="F808" i="1" s="1"/>
  <c r="E808" i="1" a="1"/>
  <c r="E808" i="1" s="1"/>
  <c r="L807" i="1" a="1"/>
  <c r="L807" i="1" s="1"/>
  <c r="J807" i="1" a="1"/>
  <c r="J807" i="1" s="1"/>
  <c r="K807" i="1" s="1" a="1"/>
  <c r="K807" i="1" s="1"/>
  <c r="N807" i="1" s="1" a="1"/>
  <c r="N807" i="1" s="1"/>
  <c r="I807" i="1" a="1"/>
  <c r="I807" i="1" s="1"/>
  <c r="F807" i="1" a="1"/>
  <c r="F807" i="1" s="1"/>
  <c r="E807" i="1" a="1"/>
  <c r="E807" i="1"/>
  <c r="L806" i="1" a="1"/>
  <c r="L806" i="1" s="1"/>
  <c r="J806" i="1" a="1"/>
  <c r="J806" i="1" s="1"/>
  <c r="K806" i="1" s="1" a="1"/>
  <c r="K806" i="1" s="1"/>
  <c r="N806" i="1" s="1" a="1"/>
  <c r="N806" i="1" s="1"/>
  <c r="I806" i="1" a="1"/>
  <c r="I806" i="1" s="1"/>
  <c r="F806" i="1" a="1"/>
  <c r="F806" i="1" s="1"/>
  <c r="E806" i="1" a="1"/>
  <c r="E806" i="1" s="1"/>
  <c r="L805" i="1" a="1"/>
  <c r="L805" i="1" s="1"/>
  <c r="J805" i="1" a="1"/>
  <c r="J805" i="1" s="1"/>
  <c r="K805" i="1" s="1" a="1"/>
  <c r="K805" i="1" s="1"/>
  <c r="I805" i="1" a="1"/>
  <c r="I805" i="1" s="1"/>
  <c r="F805" i="1" a="1"/>
  <c r="F805" i="1" s="1"/>
  <c r="E805" i="1" a="1"/>
  <c r="E805" i="1" s="1"/>
  <c r="L804" i="1" a="1"/>
  <c r="L804" i="1" s="1"/>
  <c r="O804" i="1" s="1" a="1"/>
  <c r="O804" i="1" s="1"/>
  <c r="K804" i="1" a="1"/>
  <c r="K804" i="1" s="1"/>
  <c r="N804" i="1" s="1" a="1"/>
  <c r="N804" i="1" s="1"/>
  <c r="J804" i="1" a="1"/>
  <c r="J804" i="1" s="1"/>
  <c r="I804" i="1" a="1"/>
  <c r="I804" i="1" s="1"/>
  <c r="F804" i="1" a="1"/>
  <c r="F804" i="1" s="1"/>
  <c r="E804" i="1" a="1"/>
  <c r="E804" i="1"/>
  <c r="L803" i="1" a="1"/>
  <c r="L803" i="1" s="1"/>
  <c r="O803" i="1" s="1" a="1"/>
  <c r="O803" i="1" s="1"/>
  <c r="J803" i="1" a="1"/>
  <c r="J803" i="1" s="1"/>
  <c r="K803" i="1" s="1" a="1"/>
  <c r="K803" i="1" s="1"/>
  <c r="N803" i="1" s="1" a="1"/>
  <c r="N803" i="1" s="1"/>
  <c r="I803" i="1" a="1"/>
  <c r="I803" i="1" s="1"/>
  <c r="F803" i="1" a="1"/>
  <c r="F803" i="1" s="1"/>
  <c r="E803" i="1" a="1"/>
  <c r="E803" i="1"/>
  <c r="L802" i="1" a="1"/>
  <c r="L802" i="1" s="1"/>
  <c r="J802" i="1" a="1"/>
  <c r="J802" i="1" s="1"/>
  <c r="K802" i="1" s="1" a="1"/>
  <c r="K802" i="1" s="1"/>
  <c r="N802" i="1" s="1" a="1"/>
  <c r="N802" i="1" s="1"/>
  <c r="I802" i="1" a="1"/>
  <c r="I802" i="1" s="1"/>
  <c r="F802" i="1" a="1"/>
  <c r="F802" i="1" s="1"/>
  <c r="E802" i="1" a="1"/>
  <c r="E802" i="1" s="1"/>
  <c r="L801" i="1" a="1"/>
  <c r="L801" i="1" s="1"/>
  <c r="J801" i="1" a="1"/>
  <c r="J801" i="1" s="1"/>
  <c r="K801" i="1" s="1" a="1"/>
  <c r="K801" i="1" s="1"/>
  <c r="I801" i="1" a="1"/>
  <c r="I801" i="1" s="1"/>
  <c r="F801" i="1" a="1"/>
  <c r="F801" i="1" s="1"/>
  <c r="E801" i="1" a="1"/>
  <c r="E801" i="1" s="1"/>
  <c r="L800" i="1" a="1"/>
  <c r="L800" i="1" s="1"/>
  <c r="O800" i="1" s="1" a="1"/>
  <c r="O800" i="1" s="1"/>
  <c r="K800" i="1" a="1"/>
  <c r="K800" i="1" s="1"/>
  <c r="N800" i="1" s="1" a="1"/>
  <c r="N800" i="1" s="1"/>
  <c r="J800" i="1" a="1"/>
  <c r="J800" i="1" s="1"/>
  <c r="I800" i="1" a="1"/>
  <c r="I800" i="1" s="1"/>
  <c r="F800" i="1" a="1"/>
  <c r="F800" i="1" s="1"/>
  <c r="E800" i="1" a="1"/>
  <c r="E800" i="1"/>
  <c r="L799" i="1" a="1"/>
  <c r="L799" i="1" s="1"/>
  <c r="O799" i="1" s="1" a="1"/>
  <c r="O799" i="1" s="1"/>
  <c r="J799" i="1" a="1"/>
  <c r="J799" i="1" s="1"/>
  <c r="K799" i="1" s="1" a="1"/>
  <c r="K799" i="1" s="1"/>
  <c r="N799" i="1" s="1" a="1"/>
  <c r="N799" i="1" s="1"/>
  <c r="I799" i="1" a="1"/>
  <c r="I799" i="1" s="1"/>
  <c r="F799" i="1" a="1"/>
  <c r="F799" i="1" s="1"/>
  <c r="E799" i="1" a="1"/>
  <c r="E799" i="1"/>
  <c r="L798" i="1" a="1"/>
  <c r="L798" i="1" s="1"/>
  <c r="J798" i="1" a="1"/>
  <c r="J798" i="1" s="1"/>
  <c r="K798" i="1" s="1" a="1"/>
  <c r="K798" i="1" s="1"/>
  <c r="N798" i="1" s="1" a="1"/>
  <c r="N798" i="1" s="1"/>
  <c r="I798" i="1" a="1"/>
  <c r="I798" i="1" s="1"/>
  <c r="F798" i="1" a="1"/>
  <c r="F798" i="1" s="1"/>
  <c r="E798" i="1" a="1"/>
  <c r="E798" i="1" s="1"/>
  <c r="L797" i="1" a="1"/>
  <c r="L797" i="1" s="1"/>
  <c r="J797" i="1" a="1"/>
  <c r="J797" i="1" s="1"/>
  <c r="K797" i="1" s="1" a="1"/>
  <c r="K797" i="1" s="1"/>
  <c r="I797" i="1" a="1"/>
  <c r="I797" i="1" s="1"/>
  <c r="F797" i="1" a="1"/>
  <c r="F797" i="1" s="1"/>
  <c r="E797" i="1" a="1"/>
  <c r="E797" i="1" s="1"/>
  <c r="L796" i="1" a="1"/>
  <c r="L796" i="1" s="1"/>
  <c r="O796" i="1" s="1" a="1"/>
  <c r="O796" i="1" s="1"/>
  <c r="K796" i="1" a="1"/>
  <c r="K796" i="1" s="1"/>
  <c r="N796" i="1" s="1" a="1"/>
  <c r="N796" i="1" s="1"/>
  <c r="J796" i="1" a="1"/>
  <c r="J796" i="1" s="1"/>
  <c r="I796" i="1" a="1"/>
  <c r="I796" i="1" s="1"/>
  <c r="F796" i="1" a="1"/>
  <c r="F796" i="1" s="1"/>
  <c r="E796" i="1" a="1"/>
  <c r="E796" i="1"/>
  <c r="L795" i="1" a="1"/>
  <c r="L795" i="1" s="1"/>
  <c r="O795" i="1" s="1" a="1"/>
  <c r="O795" i="1" s="1"/>
  <c r="J795" i="1" a="1"/>
  <c r="J795" i="1" s="1"/>
  <c r="K795" i="1" s="1" a="1"/>
  <c r="K795" i="1" s="1"/>
  <c r="N795" i="1" s="1" a="1"/>
  <c r="N795" i="1" s="1"/>
  <c r="I795" i="1" a="1"/>
  <c r="I795" i="1" s="1"/>
  <c r="F795" i="1" a="1"/>
  <c r="F795" i="1" s="1"/>
  <c r="E795" i="1" a="1"/>
  <c r="E795" i="1"/>
  <c r="L794" i="1" a="1"/>
  <c r="L794" i="1" s="1"/>
  <c r="J794" i="1" a="1"/>
  <c r="J794" i="1" s="1"/>
  <c r="K794" i="1" s="1" a="1"/>
  <c r="K794" i="1" s="1"/>
  <c r="N794" i="1" s="1" a="1"/>
  <c r="N794" i="1" s="1"/>
  <c r="I794" i="1" a="1"/>
  <c r="I794" i="1" s="1"/>
  <c r="F794" i="1" a="1"/>
  <c r="F794" i="1" s="1"/>
  <c r="E794" i="1" a="1"/>
  <c r="E794" i="1" s="1"/>
  <c r="L793" i="1" a="1"/>
  <c r="L793" i="1" s="1"/>
  <c r="J793" i="1" a="1"/>
  <c r="J793" i="1" s="1"/>
  <c r="K793" i="1" s="1" a="1"/>
  <c r="K793" i="1" s="1"/>
  <c r="I793" i="1" a="1"/>
  <c r="I793" i="1" s="1"/>
  <c r="F793" i="1" a="1"/>
  <c r="F793" i="1" s="1"/>
  <c r="E793" i="1" a="1"/>
  <c r="E793" i="1" s="1"/>
  <c r="L792" i="1" a="1"/>
  <c r="L792" i="1" s="1"/>
  <c r="O792" i="1" s="1" a="1"/>
  <c r="O792" i="1" s="1"/>
  <c r="K792" i="1" a="1"/>
  <c r="K792" i="1" s="1"/>
  <c r="N792" i="1" s="1" a="1"/>
  <c r="N792" i="1" s="1"/>
  <c r="J792" i="1" a="1"/>
  <c r="J792" i="1" s="1"/>
  <c r="I792" i="1" a="1"/>
  <c r="I792" i="1" s="1"/>
  <c r="F792" i="1" a="1"/>
  <c r="F792" i="1" s="1"/>
  <c r="E792" i="1" a="1"/>
  <c r="E792" i="1"/>
  <c r="L791" i="1" a="1"/>
  <c r="L791" i="1" s="1"/>
  <c r="O791" i="1" s="1" a="1"/>
  <c r="O791" i="1" s="1"/>
  <c r="J791" i="1" a="1"/>
  <c r="J791" i="1" s="1"/>
  <c r="K791" i="1" s="1" a="1"/>
  <c r="K791" i="1" s="1"/>
  <c r="N791" i="1" s="1" a="1"/>
  <c r="N791" i="1" s="1"/>
  <c r="I791" i="1" a="1"/>
  <c r="I791" i="1" s="1"/>
  <c r="F791" i="1" a="1"/>
  <c r="F791" i="1" s="1"/>
  <c r="E791" i="1" a="1"/>
  <c r="E791" i="1"/>
  <c r="L790" i="1" a="1"/>
  <c r="L790" i="1" s="1"/>
  <c r="J790" i="1" a="1"/>
  <c r="J790" i="1" s="1"/>
  <c r="K790" i="1" s="1" a="1"/>
  <c r="K790" i="1" s="1"/>
  <c r="N790" i="1" s="1" a="1"/>
  <c r="N790" i="1" s="1"/>
  <c r="I790" i="1" a="1"/>
  <c r="I790" i="1" s="1"/>
  <c r="F790" i="1" a="1"/>
  <c r="F790" i="1" s="1"/>
  <c r="E790" i="1" a="1"/>
  <c r="E790" i="1" s="1"/>
  <c r="L789" i="1" a="1"/>
  <c r="L789" i="1" s="1"/>
  <c r="J789" i="1" a="1"/>
  <c r="J789" i="1" s="1"/>
  <c r="K789" i="1" s="1" a="1"/>
  <c r="K789" i="1" s="1"/>
  <c r="I789" i="1" a="1"/>
  <c r="I789" i="1" s="1"/>
  <c r="F789" i="1" a="1"/>
  <c r="F789" i="1" s="1"/>
  <c r="E789" i="1" a="1"/>
  <c r="E789" i="1" s="1"/>
  <c r="L788" i="1" a="1"/>
  <c r="L788" i="1" s="1"/>
  <c r="O788" i="1" s="1" a="1"/>
  <c r="O788" i="1" s="1"/>
  <c r="K788" i="1" a="1"/>
  <c r="K788" i="1" s="1"/>
  <c r="N788" i="1" s="1" a="1"/>
  <c r="N788" i="1" s="1"/>
  <c r="J788" i="1" a="1"/>
  <c r="J788" i="1" s="1"/>
  <c r="I788" i="1" a="1"/>
  <c r="I788" i="1" s="1"/>
  <c r="F788" i="1" a="1"/>
  <c r="F788" i="1" s="1"/>
  <c r="E788" i="1" a="1"/>
  <c r="E788" i="1"/>
  <c r="N787" i="1" a="1"/>
  <c r="N787" i="1" s="1"/>
  <c r="L787" i="1" a="1"/>
  <c r="L787" i="1" s="1"/>
  <c r="J787" i="1" a="1"/>
  <c r="J787" i="1" s="1"/>
  <c r="I787" i="1" a="1"/>
  <c r="I787" i="1" s="1"/>
  <c r="K787" i="1" s="1" a="1"/>
  <c r="K787" i="1" s="1"/>
  <c r="O787" i="1" s="1" a="1"/>
  <c r="O787" i="1" s="1"/>
  <c r="F787" i="1" a="1"/>
  <c r="F787" i="1" s="1"/>
  <c r="E787" i="1" a="1"/>
  <c r="E787" i="1" s="1"/>
  <c r="L786" i="1" a="1"/>
  <c r="L786" i="1" s="1"/>
  <c r="J786" i="1" a="1"/>
  <c r="J786" i="1" s="1"/>
  <c r="K786" i="1" s="1" a="1"/>
  <c r="K786" i="1" s="1"/>
  <c r="I786" i="1" a="1"/>
  <c r="I786" i="1"/>
  <c r="F786" i="1" a="1"/>
  <c r="F786" i="1" s="1"/>
  <c r="E786" i="1" a="1"/>
  <c r="E786" i="1"/>
  <c r="L785" i="1" a="1"/>
  <c r="L785" i="1" s="1"/>
  <c r="J785" i="1" a="1"/>
  <c r="J785" i="1" s="1"/>
  <c r="I785" i="1" a="1"/>
  <c r="I785" i="1" s="1"/>
  <c r="K785" i="1" s="1" a="1"/>
  <c r="K785" i="1" s="1"/>
  <c r="F785" i="1" a="1"/>
  <c r="F785" i="1" s="1"/>
  <c r="E785" i="1" a="1"/>
  <c r="E785" i="1" s="1"/>
  <c r="L784" i="1" a="1"/>
  <c r="L784" i="1" s="1"/>
  <c r="K784" i="1"/>
  <c r="J784" i="1" a="1"/>
  <c r="J784" i="1" s="1"/>
  <c r="K784" i="1" s="1" a="1"/>
  <c r="I784" i="1" a="1"/>
  <c r="I784" i="1"/>
  <c r="F784" i="1" a="1"/>
  <c r="F784" i="1" s="1"/>
  <c r="E784" i="1" a="1"/>
  <c r="E784" i="1"/>
  <c r="N783" i="1" a="1"/>
  <c r="N783" i="1" s="1"/>
  <c r="L783" i="1" a="1"/>
  <c r="L783" i="1" s="1"/>
  <c r="J783" i="1" a="1"/>
  <c r="J783" i="1" s="1"/>
  <c r="I783" i="1" a="1"/>
  <c r="I783" i="1" s="1"/>
  <c r="K783" i="1" s="1" a="1"/>
  <c r="K783" i="1" s="1"/>
  <c r="O783" i="1" s="1" a="1"/>
  <c r="O783" i="1" s="1"/>
  <c r="F783" i="1" a="1"/>
  <c r="F783" i="1" s="1"/>
  <c r="E783" i="1" a="1"/>
  <c r="E783" i="1" s="1"/>
  <c r="L782" i="1" a="1"/>
  <c r="L782" i="1" s="1"/>
  <c r="J782" i="1" a="1"/>
  <c r="J782" i="1" s="1"/>
  <c r="K782" i="1" s="1" a="1"/>
  <c r="K782" i="1" s="1"/>
  <c r="I782" i="1" a="1"/>
  <c r="I782" i="1"/>
  <c r="F782" i="1" a="1"/>
  <c r="F782" i="1" s="1"/>
  <c r="E782" i="1" a="1"/>
  <c r="E782" i="1"/>
  <c r="N781" i="1" a="1"/>
  <c r="N781" i="1" s="1"/>
  <c r="L781" i="1" a="1"/>
  <c r="L781" i="1" s="1"/>
  <c r="J781" i="1" a="1"/>
  <c r="J781" i="1" s="1"/>
  <c r="I781" i="1" a="1"/>
  <c r="I781" i="1" s="1"/>
  <c r="K781" i="1" s="1" a="1"/>
  <c r="K781" i="1" s="1"/>
  <c r="O781" i="1" s="1" a="1"/>
  <c r="O781" i="1" s="1"/>
  <c r="F781" i="1" a="1"/>
  <c r="F781" i="1" s="1"/>
  <c r="E781" i="1" a="1"/>
  <c r="E781" i="1" s="1"/>
  <c r="L780" i="1" a="1"/>
  <c r="L780" i="1" s="1"/>
  <c r="K780" i="1"/>
  <c r="J780" i="1" a="1"/>
  <c r="J780" i="1" s="1"/>
  <c r="K780" i="1" s="1" a="1"/>
  <c r="I780" i="1" a="1"/>
  <c r="I780" i="1"/>
  <c r="F780" i="1" a="1"/>
  <c r="F780" i="1" s="1"/>
  <c r="E780" i="1" a="1"/>
  <c r="E780" i="1"/>
  <c r="N779" i="1" a="1"/>
  <c r="N779" i="1" s="1"/>
  <c r="L779" i="1" a="1"/>
  <c r="L779" i="1" s="1"/>
  <c r="J779" i="1" a="1"/>
  <c r="J779" i="1" s="1"/>
  <c r="I779" i="1" a="1"/>
  <c r="I779" i="1" s="1"/>
  <c r="K779" i="1" s="1" a="1"/>
  <c r="K779" i="1" s="1"/>
  <c r="O779" i="1" s="1" a="1"/>
  <c r="O779" i="1" s="1"/>
  <c r="F779" i="1" a="1"/>
  <c r="F779" i="1" s="1"/>
  <c r="E779" i="1" a="1"/>
  <c r="E779" i="1" s="1"/>
  <c r="L778" i="1" a="1"/>
  <c r="L778" i="1" s="1"/>
  <c r="J778" i="1" a="1"/>
  <c r="J778" i="1" s="1"/>
  <c r="K778" i="1" s="1" a="1"/>
  <c r="K778" i="1" s="1"/>
  <c r="I778" i="1" a="1"/>
  <c r="I778" i="1"/>
  <c r="F778" i="1" a="1"/>
  <c r="F778" i="1" s="1"/>
  <c r="E778" i="1" a="1"/>
  <c r="E778" i="1"/>
  <c r="L777" i="1" a="1"/>
  <c r="L777" i="1" s="1"/>
  <c r="J777" i="1" a="1"/>
  <c r="J777" i="1" s="1"/>
  <c r="I777" i="1" a="1"/>
  <c r="I777" i="1" s="1"/>
  <c r="K777" i="1" s="1" a="1"/>
  <c r="K777" i="1" s="1"/>
  <c r="F777" i="1" a="1"/>
  <c r="F777" i="1" s="1"/>
  <c r="E777" i="1" a="1"/>
  <c r="E777" i="1" s="1"/>
  <c r="L776" i="1" a="1"/>
  <c r="L776" i="1" s="1"/>
  <c r="K776" i="1"/>
  <c r="J776" i="1" a="1"/>
  <c r="J776" i="1" s="1"/>
  <c r="K776" i="1" s="1" a="1"/>
  <c r="I776" i="1" a="1"/>
  <c r="I776" i="1"/>
  <c r="F776" i="1" a="1"/>
  <c r="F776" i="1" s="1"/>
  <c r="E776" i="1" a="1"/>
  <c r="E776" i="1"/>
  <c r="N775" i="1" a="1"/>
  <c r="N775" i="1" s="1"/>
  <c r="L775" i="1" a="1"/>
  <c r="L775" i="1" s="1"/>
  <c r="J775" i="1" a="1"/>
  <c r="J775" i="1" s="1"/>
  <c r="I775" i="1" a="1"/>
  <c r="I775" i="1" s="1"/>
  <c r="K775" i="1" s="1" a="1"/>
  <c r="K775" i="1" s="1"/>
  <c r="O775" i="1" s="1" a="1"/>
  <c r="O775" i="1" s="1"/>
  <c r="F775" i="1" a="1"/>
  <c r="F775" i="1" s="1"/>
  <c r="E775" i="1" a="1"/>
  <c r="E775" i="1" s="1"/>
  <c r="L774" i="1" a="1"/>
  <c r="L774" i="1" s="1"/>
  <c r="J774" i="1" a="1"/>
  <c r="J774" i="1" s="1"/>
  <c r="K774" i="1" s="1" a="1"/>
  <c r="K774" i="1" s="1"/>
  <c r="I774" i="1" a="1"/>
  <c r="I774" i="1"/>
  <c r="F774" i="1" a="1"/>
  <c r="F774" i="1" s="1"/>
  <c r="E774" i="1" a="1"/>
  <c r="E774" i="1"/>
  <c r="N773" i="1" a="1"/>
  <c r="N773" i="1" s="1"/>
  <c r="L773" i="1" a="1"/>
  <c r="L773" i="1" s="1"/>
  <c r="J773" i="1" a="1"/>
  <c r="J773" i="1" s="1"/>
  <c r="I773" i="1" a="1"/>
  <c r="I773" i="1" s="1"/>
  <c r="K773" i="1" s="1" a="1"/>
  <c r="K773" i="1" s="1"/>
  <c r="O773" i="1" s="1" a="1"/>
  <c r="O773" i="1" s="1"/>
  <c r="F773" i="1" a="1"/>
  <c r="F773" i="1" s="1"/>
  <c r="E773" i="1" a="1"/>
  <c r="E773" i="1" s="1"/>
  <c r="L772" i="1" a="1"/>
  <c r="L772" i="1" s="1"/>
  <c r="K772" i="1"/>
  <c r="J772" i="1" a="1"/>
  <c r="J772" i="1" s="1"/>
  <c r="K772" i="1" s="1" a="1"/>
  <c r="I772" i="1" a="1"/>
  <c r="I772" i="1"/>
  <c r="F772" i="1" a="1"/>
  <c r="F772" i="1" s="1"/>
  <c r="E772" i="1" a="1"/>
  <c r="E772" i="1"/>
  <c r="N771" i="1" a="1"/>
  <c r="N771" i="1" s="1"/>
  <c r="L771" i="1" a="1"/>
  <c r="L771" i="1" s="1"/>
  <c r="J771" i="1" a="1"/>
  <c r="J771" i="1" s="1"/>
  <c r="I771" i="1" a="1"/>
  <c r="I771" i="1" s="1"/>
  <c r="K771" i="1" s="1" a="1"/>
  <c r="K771" i="1" s="1"/>
  <c r="O771" i="1" s="1" a="1"/>
  <c r="O771" i="1" s="1"/>
  <c r="F771" i="1" a="1"/>
  <c r="F771" i="1" s="1"/>
  <c r="E771" i="1" a="1"/>
  <c r="E771" i="1" s="1"/>
  <c r="L770" i="1" a="1"/>
  <c r="L770" i="1" s="1"/>
  <c r="J770" i="1" a="1"/>
  <c r="J770" i="1" s="1"/>
  <c r="K770" i="1" s="1" a="1"/>
  <c r="K770" i="1" s="1"/>
  <c r="I770" i="1" a="1"/>
  <c r="I770" i="1"/>
  <c r="F770" i="1" a="1"/>
  <c r="F770" i="1" s="1"/>
  <c r="E770" i="1" a="1"/>
  <c r="E770" i="1"/>
  <c r="L769" i="1" a="1"/>
  <c r="L769" i="1" s="1"/>
  <c r="J769" i="1" a="1"/>
  <c r="J769" i="1" s="1"/>
  <c r="I769" i="1" a="1"/>
  <c r="I769" i="1" s="1"/>
  <c r="K769" i="1" s="1" a="1"/>
  <c r="K769" i="1" s="1"/>
  <c r="F769" i="1" a="1"/>
  <c r="F769" i="1" s="1"/>
  <c r="E769" i="1" a="1"/>
  <c r="E769" i="1" s="1"/>
  <c r="L768" i="1" a="1"/>
  <c r="L768" i="1" s="1"/>
  <c r="K768" i="1"/>
  <c r="J768" i="1" a="1"/>
  <c r="J768" i="1" s="1"/>
  <c r="K768" i="1" s="1" a="1"/>
  <c r="I768" i="1" a="1"/>
  <c r="I768" i="1"/>
  <c r="F768" i="1" a="1"/>
  <c r="F768" i="1" s="1"/>
  <c r="E768" i="1" a="1"/>
  <c r="E768" i="1"/>
  <c r="N767" i="1" a="1"/>
  <c r="N767" i="1" s="1"/>
  <c r="L767" i="1" a="1"/>
  <c r="L767" i="1" s="1"/>
  <c r="J767" i="1" a="1"/>
  <c r="J767" i="1" s="1"/>
  <c r="I767" i="1" a="1"/>
  <c r="I767" i="1" s="1"/>
  <c r="K767" i="1" s="1" a="1"/>
  <c r="K767" i="1" s="1"/>
  <c r="O767" i="1" s="1" a="1"/>
  <c r="O767" i="1" s="1"/>
  <c r="F767" i="1" a="1"/>
  <c r="F767" i="1" s="1"/>
  <c r="E767" i="1" a="1"/>
  <c r="E767" i="1" s="1"/>
  <c r="L766" i="1" a="1"/>
  <c r="L766" i="1" s="1"/>
  <c r="J766" i="1" a="1"/>
  <c r="J766" i="1" s="1"/>
  <c r="K766" i="1" s="1" a="1"/>
  <c r="K766" i="1" s="1"/>
  <c r="N766" i="1" s="1" a="1"/>
  <c r="N766" i="1" s="1"/>
  <c r="I766" i="1" a="1"/>
  <c r="I766" i="1"/>
  <c r="F766" i="1" a="1"/>
  <c r="F766" i="1" s="1"/>
  <c r="E766" i="1" a="1"/>
  <c r="E766" i="1"/>
  <c r="N765" i="1" a="1"/>
  <c r="N765" i="1" s="1"/>
  <c r="L765" i="1" a="1"/>
  <c r="L765" i="1" s="1"/>
  <c r="J765" i="1" a="1"/>
  <c r="J765" i="1" s="1"/>
  <c r="I765" i="1" a="1"/>
  <c r="I765" i="1" s="1"/>
  <c r="K765" i="1" s="1" a="1"/>
  <c r="K765" i="1" s="1"/>
  <c r="O765" i="1" s="1" a="1"/>
  <c r="O765" i="1" s="1"/>
  <c r="F765" i="1" a="1"/>
  <c r="F765" i="1" s="1"/>
  <c r="E765" i="1" a="1"/>
  <c r="E765" i="1" s="1"/>
  <c r="L764" i="1" a="1"/>
  <c r="L764" i="1" s="1"/>
  <c r="K764" i="1"/>
  <c r="N764" i="1" s="1" a="1"/>
  <c r="N764" i="1" s="1"/>
  <c r="J764" i="1" a="1"/>
  <c r="J764" i="1" s="1"/>
  <c r="K764" i="1" s="1" a="1"/>
  <c r="I764" i="1" a="1"/>
  <c r="I764" i="1"/>
  <c r="F764" i="1" a="1"/>
  <c r="F764" i="1" s="1"/>
  <c r="E764" i="1" a="1"/>
  <c r="E764" i="1"/>
  <c r="N763" i="1" a="1"/>
  <c r="N763" i="1" s="1"/>
  <c r="L763" i="1" a="1"/>
  <c r="L763" i="1" s="1"/>
  <c r="J763" i="1" a="1"/>
  <c r="J763" i="1" s="1"/>
  <c r="I763" i="1" a="1"/>
  <c r="I763" i="1" s="1"/>
  <c r="K763" i="1" s="1" a="1"/>
  <c r="K763" i="1" s="1"/>
  <c r="O763" i="1" s="1" a="1"/>
  <c r="O763" i="1" s="1"/>
  <c r="F763" i="1" a="1"/>
  <c r="F763" i="1" s="1"/>
  <c r="E763" i="1" a="1"/>
  <c r="E763" i="1" s="1"/>
  <c r="L762" i="1" a="1"/>
  <c r="L762" i="1" s="1"/>
  <c r="J762" i="1" a="1"/>
  <c r="J762" i="1" s="1"/>
  <c r="K762" i="1" s="1" a="1"/>
  <c r="K762" i="1" s="1"/>
  <c r="N762" i="1" s="1" a="1"/>
  <c r="N762" i="1" s="1"/>
  <c r="I762" i="1" a="1"/>
  <c r="I762" i="1"/>
  <c r="F762" i="1" a="1"/>
  <c r="F762" i="1" s="1"/>
  <c r="E762" i="1" a="1"/>
  <c r="E762" i="1"/>
  <c r="L761" i="1" a="1"/>
  <c r="L761" i="1" s="1"/>
  <c r="J761" i="1" a="1"/>
  <c r="J761" i="1" s="1"/>
  <c r="I761" i="1" a="1"/>
  <c r="I761" i="1" s="1"/>
  <c r="K761" i="1" s="1" a="1"/>
  <c r="K761" i="1" s="1"/>
  <c r="F761" i="1" a="1"/>
  <c r="F761" i="1" s="1"/>
  <c r="E761" i="1" a="1"/>
  <c r="E761" i="1" s="1"/>
  <c r="L760" i="1" a="1"/>
  <c r="L760" i="1" s="1"/>
  <c r="K760" i="1"/>
  <c r="N760" i="1" s="1" a="1"/>
  <c r="N760" i="1" s="1"/>
  <c r="J760" i="1" a="1"/>
  <c r="J760" i="1" s="1"/>
  <c r="K760" i="1" s="1" a="1"/>
  <c r="I760" i="1" a="1"/>
  <c r="I760" i="1"/>
  <c r="F760" i="1" a="1"/>
  <c r="F760" i="1" s="1"/>
  <c r="E760" i="1" a="1"/>
  <c r="E760" i="1"/>
  <c r="N759" i="1" a="1"/>
  <c r="N759" i="1" s="1"/>
  <c r="L759" i="1" a="1"/>
  <c r="L759" i="1" s="1"/>
  <c r="J759" i="1" a="1"/>
  <c r="J759" i="1" s="1"/>
  <c r="I759" i="1" a="1"/>
  <c r="I759" i="1" s="1"/>
  <c r="K759" i="1" s="1" a="1"/>
  <c r="K759" i="1" s="1"/>
  <c r="O759" i="1" s="1" a="1"/>
  <c r="O759" i="1" s="1"/>
  <c r="F759" i="1" a="1"/>
  <c r="F759" i="1" s="1"/>
  <c r="E759" i="1" a="1"/>
  <c r="E759" i="1" s="1"/>
  <c r="L758" i="1" a="1"/>
  <c r="L758" i="1" s="1"/>
  <c r="J758" i="1" a="1"/>
  <c r="J758" i="1" s="1"/>
  <c r="K758" i="1" s="1" a="1"/>
  <c r="K758" i="1" s="1"/>
  <c r="N758" i="1" s="1" a="1"/>
  <c r="N758" i="1" s="1"/>
  <c r="I758" i="1" a="1"/>
  <c r="I758" i="1"/>
  <c r="F758" i="1" a="1"/>
  <c r="F758" i="1" s="1"/>
  <c r="E758" i="1" a="1"/>
  <c r="E758" i="1"/>
  <c r="N757" i="1" a="1"/>
  <c r="N757" i="1" s="1"/>
  <c r="L757" i="1" a="1"/>
  <c r="L757" i="1" s="1"/>
  <c r="J757" i="1" a="1"/>
  <c r="J757" i="1" s="1"/>
  <c r="I757" i="1" a="1"/>
  <c r="I757" i="1" s="1"/>
  <c r="K757" i="1" s="1" a="1"/>
  <c r="K757" i="1" s="1"/>
  <c r="O757" i="1" s="1" a="1"/>
  <c r="O757" i="1" s="1"/>
  <c r="F757" i="1" a="1"/>
  <c r="F757" i="1" s="1"/>
  <c r="E757" i="1" a="1"/>
  <c r="E757" i="1" s="1"/>
  <c r="L756" i="1" a="1"/>
  <c r="L756" i="1" s="1"/>
  <c r="K756" i="1"/>
  <c r="N756" i="1" s="1" a="1"/>
  <c r="N756" i="1" s="1"/>
  <c r="J756" i="1" a="1"/>
  <c r="J756" i="1" s="1"/>
  <c r="K756" i="1" s="1" a="1"/>
  <c r="I756" i="1" a="1"/>
  <c r="I756" i="1"/>
  <c r="F756" i="1" a="1"/>
  <c r="F756" i="1" s="1"/>
  <c r="E756" i="1" a="1"/>
  <c r="E756" i="1"/>
  <c r="N755" i="1" a="1"/>
  <c r="N755" i="1" s="1"/>
  <c r="L755" i="1" a="1"/>
  <c r="L755" i="1" s="1"/>
  <c r="J755" i="1" a="1"/>
  <c r="J755" i="1" s="1"/>
  <c r="I755" i="1" a="1"/>
  <c r="I755" i="1" s="1"/>
  <c r="K755" i="1" s="1" a="1"/>
  <c r="K755" i="1" s="1"/>
  <c r="O755" i="1" s="1" a="1"/>
  <c r="O755" i="1" s="1"/>
  <c r="F755" i="1" a="1"/>
  <c r="F755" i="1" s="1"/>
  <c r="E755" i="1" a="1"/>
  <c r="E755" i="1" s="1"/>
  <c r="L754" i="1" a="1"/>
  <c r="L754" i="1" s="1"/>
  <c r="J754" i="1" a="1"/>
  <c r="J754" i="1" s="1"/>
  <c r="K754" i="1" s="1" a="1"/>
  <c r="K754" i="1" s="1"/>
  <c r="N754" i="1" s="1" a="1"/>
  <c r="N754" i="1" s="1"/>
  <c r="I754" i="1" a="1"/>
  <c r="I754" i="1"/>
  <c r="F754" i="1" a="1"/>
  <c r="F754" i="1" s="1"/>
  <c r="E754" i="1" a="1"/>
  <c r="E754" i="1"/>
  <c r="L753" i="1" a="1"/>
  <c r="L753" i="1" s="1"/>
  <c r="J753" i="1" a="1"/>
  <c r="J753" i="1" s="1"/>
  <c r="I753" i="1" a="1"/>
  <c r="I753" i="1" s="1"/>
  <c r="K753" i="1" s="1" a="1"/>
  <c r="K753" i="1" s="1"/>
  <c r="F753" i="1" a="1"/>
  <c r="F753" i="1" s="1"/>
  <c r="E753" i="1" a="1"/>
  <c r="E753" i="1" s="1"/>
  <c r="L752" i="1" a="1"/>
  <c r="L752" i="1" s="1"/>
  <c r="J752" i="1" a="1"/>
  <c r="J752" i="1" s="1"/>
  <c r="K752" i="1" s="1" a="1"/>
  <c r="K752" i="1" s="1"/>
  <c r="N752" i="1" s="1" a="1"/>
  <c r="N752" i="1" s="1"/>
  <c r="I752" i="1" a="1"/>
  <c r="I752" i="1"/>
  <c r="F752" i="1" a="1"/>
  <c r="F752" i="1" s="1"/>
  <c r="E752" i="1" a="1"/>
  <c r="E752" i="1"/>
  <c r="N751" i="1" a="1"/>
  <c r="N751" i="1" s="1"/>
  <c r="L751" i="1" a="1"/>
  <c r="L751" i="1" s="1"/>
  <c r="J751" i="1" a="1"/>
  <c r="J751" i="1" s="1"/>
  <c r="I751" i="1" a="1"/>
  <c r="I751" i="1" s="1"/>
  <c r="K751" i="1" s="1" a="1"/>
  <c r="K751" i="1" s="1"/>
  <c r="O751" i="1" s="1" a="1"/>
  <c r="O751" i="1" s="1"/>
  <c r="F751" i="1" a="1"/>
  <c r="F751" i="1" s="1"/>
  <c r="E751" i="1" a="1"/>
  <c r="E751" i="1" s="1"/>
  <c r="L750" i="1" a="1"/>
  <c r="L750" i="1" s="1"/>
  <c r="J750" i="1" a="1"/>
  <c r="J750" i="1" s="1"/>
  <c r="K750" i="1" s="1" a="1"/>
  <c r="K750" i="1" s="1"/>
  <c r="N750" i="1" s="1" a="1"/>
  <c r="N750" i="1" s="1"/>
  <c r="I750" i="1" a="1"/>
  <c r="I750" i="1"/>
  <c r="F750" i="1" a="1"/>
  <c r="F750" i="1" s="1"/>
  <c r="E750" i="1" a="1"/>
  <c r="E750" i="1"/>
  <c r="N749" i="1" a="1"/>
  <c r="N749" i="1" s="1"/>
  <c r="L749" i="1" a="1"/>
  <c r="L749" i="1" s="1"/>
  <c r="J749" i="1" a="1"/>
  <c r="J749" i="1" s="1"/>
  <c r="I749" i="1" a="1"/>
  <c r="I749" i="1" s="1"/>
  <c r="K749" i="1" s="1" a="1"/>
  <c r="K749" i="1" s="1"/>
  <c r="O749" i="1" s="1" a="1"/>
  <c r="O749" i="1" s="1"/>
  <c r="F749" i="1" a="1"/>
  <c r="F749" i="1" s="1"/>
  <c r="E749" i="1" a="1"/>
  <c r="E749" i="1" s="1"/>
  <c r="L748" i="1" a="1"/>
  <c r="L748" i="1" s="1"/>
  <c r="K748" i="1"/>
  <c r="N748" i="1" s="1" a="1"/>
  <c r="N748" i="1" s="1"/>
  <c r="J748" i="1" a="1"/>
  <c r="J748" i="1" s="1"/>
  <c r="K748" i="1" s="1" a="1"/>
  <c r="I748" i="1" a="1"/>
  <c r="I748" i="1"/>
  <c r="F748" i="1" a="1"/>
  <c r="F748" i="1" s="1"/>
  <c r="E748" i="1" a="1"/>
  <c r="E748" i="1"/>
  <c r="N747" i="1" a="1"/>
  <c r="N747" i="1" s="1"/>
  <c r="L747" i="1" a="1"/>
  <c r="L747" i="1" s="1"/>
  <c r="J747" i="1" a="1"/>
  <c r="J747" i="1" s="1"/>
  <c r="I747" i="1" a="1"/>
  <c r="I747" i="1" s="1"/>
  <c r="K747" i="1" s="1" a="1"/>
  <c r="K747" i="1" s="1"/>
  <c r="O747" i="1" s="1" a="1"/>
  <c r="O747" i="1" s="1"/>
  <c r="F747" i="1" a="1"/>
  <c r="F747" i="1" s="1"/>
  <c r="E747" i="1" a="1"/>
  <c r="E747" i="1" s="1"/>
  <c r="L746" i="1" a="1"/>
  <c r="L746" i="1" s="1"/>
  <c r="J746" i="1" a="1"/>
  <c r="J746" i="1" s="1"/>
  <c r="K746" i="1" s="1" a="1"/>
  <c r="K746" i="1" s="1"/>
  <c r="N746" i="1" s="1" a="1"/>
  <c r="N746" i="1" s="1"/>
  <c r="I746" i="1" a="1"/>
  <c r="I746" i="1"/>
  <c r="F746" i="1" a="1"/>
  <c r="F746" i="1" s="1"/>
  <c r="E746" i="1" a="1"/>
  <c r="E746" i="1"/>
  <c r="L745" i="1" a="1"/>
  <c r="L745" i="1" s="1"/>
  <c r="J745" i="1" a="1"/>
  <c r="J745" i="1" s="1"/>
  <c r="I745" i="1" a="1"/>
  <c r="I745" i="1" s="1"/>
  <c r="K745" i="1" s="1" a="1"/>
  <c r="K745" i="1" s="1"/>
  <c r="F745" i="1" a="1"/>
  <c r="F745" i="1" s="1"/>
  <c r="E745" i="1" a="1"/>
  <c r="E745" i="1" s="1"/>
  <c r="L744" i="1" a="1"/>
  <c r="L744" i="1" s="1"/>
  <c r="J744" i="1" a="1"/>
  <c r="J744" i="1" s="1"/>
  <c r="K744" i="1" s="1" a="1"/>
  <c r="K744" i="1" s="1"/>
  <c r="N744" i="1" s="1" a="1"/>
  <c r="N744" i="1" s="1"/>
  <c r="I744" i="1" a="1"/>
  <c r="I744" i="1"/>
  <c r="F744" i="1" a="1"/>
  <c r="F744" i="1" s="1"/>
  <c r="E744" i="1" a="1"/>
  <c r="E744" i="1"/>
  <c r="N743" i="1" a="1"/>
  <c r="N743" i="1" s="1"/>
  <c r="L743" i="1" a="1"/>
  <c r="L743" i="1" s="1"/>
  <c r="J743" i="1" a="1"/>
  <c r="J743" i="1" s="1"/>
  <c r="I743" i="1" a="1"/>
  <c r="I743" i="1" s="1"/>
  <c r="K743" i="1" s="1" a="1"/>
  <c r="K743" i="1" s="1"/>
  <c r="O743" i="1" s="1" a="1"/>
  <c r="O743" i="1" s="1"/>
  <c r="F743" i="1" a="1"/>
  <c r="F743" i="1" s="1"/>
  <c r="E743" i="1" a="1"/>
  <c r="E743" i="1" s="1"/>
  <c r="L742" i="1" a="1"/>
  <c r="L742" i="1" s="1"/>
  <c r="J742" i="1" a="1"/>
  <c r="J742" i="1" s="1"/>
  <c r="K742" i="1" s="1" a="1"/>
  <c r="K742" i="1" s="1"/>
  <c r="N742" i="1" s="1" a="1"/>
  <c r="N742" i="1" s="1"/>
  <c r="I742" i="1" a="1"/>
  <c r="I742" i="1"/>
  <c r="F742" i="1" a="1"/>
  <c r="F742" i="1" s="1"/>
  <c r="E742" i="1" a="1"/>
  <c r="E742" i="1"/>
  <c r="N741" i="1" a="1"/>
  <c r="N741" i="1" s="1"/>
  <c r="L741" i="1" a="1"/>
  <c r="L741" i="1" s="1"/>
  <c r="J741" i="1" a="1"/>
  <c r="J741" i="1" s="1"/>
  <c r="I741" i="1" a="1"/>
  <c r="I741" i="1" s="1"/>
  <c r="K741" i="1" s="1" a="1"/>
  <c r="K741" i="1" s="1"/>
  <c r="O741" i="1" s="1" a="1"/>
  <c r="O741" i="1" s="1"/>
  <c r="F741" i="1" a="1"/>
  <c r="F741" i="1" s="1"/>
  <c r="E741" i="1" a="1"/>
  <c r="E741" i="1" s="1"/>
  <c r="L740" i="1" a="1"/>
  <c r="L740" i="1" s="1"/>
  <c r="K740" i="1"/>
  <c r="N740" i="1" s="1" a="1"/>
  <c r="N740" i="1" s="1"/>
  <c r="J740" i="1" a="1"/>
  <c r="J740" i="1" s="1"/>
  <c r="K740" i="1" s="1" a="1"/>
  <c r="I740" i="1" a="1"/>
  <c r="I740" i="1"/>
  <c r="F740" i="1" a="1"/>
  <c r="F740" i="1" s="1"/>
  <c r="E740" i="1" a="1"/>
  <c r="E740" i="1"/>
  <c r="N739" i="1" a="1"/>
  <c r="N739" i="1" s="1"/>
  <c r="L739" i="1" a="1"/>
  <c r="L739" i="1" s="1"/>
  <c r="J739" i="1" a="1"/>
  <c r="J739" i="1" s="1"/>
  <c r="I739" i="1" a="1"/>
  <c r="I739" i="1" s="1"/>
  <c r="K739" i="1" s="1" a="1"/>
  <c r="K739" i="1" s="1"/>
  <c r="O739" i="1" s="1" a="1"/>
  <c r="O739" i="1" s="1"/>
  <c r="F739" i="1" a="1"/>
  <c r="F739" i="1" s="1"/>
  <c r="E739" i="1" a="1"/>
  <c r="E739" i="1" s="1"/>
  <c r="L738" i="1" a="1"/>
  <c r="L738" i="1" s="1"/>
  <c r="J738" i="1" a="1"/>
  <c r="J738" i="1" s="1"/>
  <c r="K738" i="1" s="1" a="1"/>
  <c r="K738" i="1" s="1"/>
  <c r="N738" i="1" s="1" a="1"/>
  <c r="N738" i="1" s="1"/>
  <c r="I738" i="1" a="1"/>
  <c r="I738" i="1"/>
  <c r="F738" i="1" a="1"/>
  <c r="F738" i="1" s="1"/>
  <c r="E738" i="1" a="1"/>
  <c r="E738" i="1"/>
  <c r="L737" i="1" a="1"/>
  <c r="L737" i="1" s="1"/>
  <c r="J737" i="1" a="1"/>
  <c r="J737" i="1" s="1"/>
  <c r="I737" i="1" a="1"/>
  <c r="I737" i="1" s="1"/>
  <c r="K737" i="1" s="1" a="1"/>
  <c r="K737" i="1" s="1"/>
  <c r="F737" i="1" a="1"/>
  <c r="F737" i="1" s="1"/>
  <c r="E737" i="1" a="1"/>
  <c r="E737" i="1" s="1"/>
  <c r="L736" i="1" a="1"/>
  <c r="L736" i="1" s="1"/>
  <c r="J736" i="1" a="1"/>
  <c r="J736" i="1" s="1"/>
  <c r="K736" i="1" s="1" a="1"/>
  <c r="K736" i="1" s="1"/>
  <c r="N736" i="1" s="1" a="1"/>
  <c r="N736" i="1" s="1"/>
  <c r="I736" i="1" a="1"/>
  <c r="I736" i="1"/>
  <c r="F736" i="1" a="1"/>
  <c r="F736" i="1" s="1"/>
  <c r="E736" i="1" a="1"/>
  <c r="E736" i="1"/>
  <c r="N735" i="1" a="1"/>
  <c r="N735" i="1" s="1"/>
  <c r="L735" i="1" a="1"/>
  <c r="L735" i="1" s="1"/>
  <c r="J735" i="1" a="1"/>
  <c r="J735" i="1" s="1"/>
  <c r="I735" i="1" a="1"/>
  <c r="I735" i="1" s="1"/>
  <c r="K735" i="1" s="1" a="1"/>
  <c r="K735" i="1" s="1"/>
  <c r="O735" i="1" s="1" a="1"/>
  <c r="O735" i="1" s="1"/>
  <c r="F735" i="1" a="1"/>
  <c r="F735" i="1" s="1"/>
  <c r="E735" i="1" a="1"/>
  <c r="E735" i="1" s="1"/>
  <c r="L734" i="1" a="1"/>
  <c r="L734" i="1" s="1"/>
  <c r="J734" i="1" a="1"/>
  <c r="J734" i="1" s="1"/>
  <c r="K734" i="1" s="1" a="1"/>
  <c r="K734" i="1" s="1"/>
  <c r="N734" i="1" s="1" a="1"/>
  <c r="N734" i="1" s="1"/>
  <c r="I734" i="1" a="1"/>
  <c r="I734" i="1"/>
  <c r="F734" i="1" a="1"/>
  <c r="F734" i="1" s="1"/>
  <c r="E734" i="1" a="1"/>
  <c r="E734" i="1"/>
  <c r="N733" i="1" a="1"/>
  <c r="N733" i="1" s="1"/>
  <c r="L733" i="1" a="1"/>
  <c r="L733" i="1" s="1"/>
  <c r="J733" i="1" a="1"/>
  <c r="J733" i="1" s="1"/>
  <c r="I733" i="1" a="1"/>
  <c r="I733" i="1" s="1"/>
  <c r="K733" i="1" s="1" a="1"/>
  <c r="K733" i="1" s="1"/>
  <c r="O733" i="1" s="1" a="1"/>
  <c r="O733" i="1" s="1"/>
  <c r="F733" i="1" a="1"/>
  <c r="F733" i="1" s="1"/>
  <c r="E733" i="1" a="1"/>
  <c r="E733" i="1" s="1"/>
  <c r="L732" i="1" a="1"/>
  <c r="L732" i="1" s="1"/>
  <c r="K732" i="1"/>
  <c r="N732" i="1" s="1" a="1"/>
  <c r="N732" i="1" s="1"/>
  <c r="J732" i="1" a="1"/>
  <c r="J732" i="1" s="1"/>
  <c r="K732" i="1" s="1" a="1"/>
  <c r="I732" i="1" a="1"/>
  <c r="I732" i="1"/>
  <c r="F732" i="1" a="1"/>
  <c r="F732" i="1" s="1"/>
  <c r="E732" i="1" a="1"/>
  <c r="E732" i="1"/>
  <c r="N731" i="1" a="1"/>
  <c r="N731" i="1" s="1"/>
  <c r="L731" i="1" a="1"/>
  <c r="L731" i="1" s="1"/>
  <c r="J731" i="1" a="1"/>
  <c r="J731" i="1" s="1"/>
  <c r="I731" i="1" a="1"/>
  <c r="I731" i="1" s="1"/>
  <c r="K731" i="1" s="1" a="1"/>
  <c r="K731" i="1" s="1"/>
  <c r="O731" i="1" s="1" a="1"/>
  <c r="O731" i="1" s="1"/>
  <c r="F731" i="1" a="1"/>
  <c r="F731" i="1" s="1"/>
  <c r="E731" i="1" a="1"/>
  <c r="E731" i="1" s="1"/>
  <c r="L730" i="1" a="1"/>
  <c r="L730" i="1" s="1"/>
  <c r="J730" i="1" a="1"/>
  <c r="J730" i="1" s="1"/>
  <c r="K730" i="1" s="1" a="1"/>
  <c r="K730" i="1" s="1"/>
  <c r="N730" i="1" s="1" a="1"/>
  <c r="N730" i="1" s="1"/>
  <c r="I730" i="1" a="1"/>
  <c r="I730" i="1"/>
  <c r="F730" i="1" a="1"/>
  <c r="F730" i="1" s="1"/>
  <c r="E730" i="1" a="1"/>
  <c r="E730" i="1"/>
  <c r="L729" i="1" a="1"/>
  <c r="L729" i="1" s="1"/>
  <c r="J729" i="1" a="1"/>
  <c r="J729" i="1" s="1"/>
  <c r="I729" i="1" a="1"/>
  <c r="I729" i="1" s="1"/>
  <c r="K729" i="1" s="1" a="1"/>
  <c r="K729" i="1" s="1"/>
  <c r="F729" i="1" a="1"/>
  <c r="F729" i="1" s="1"/>
  <c r="E729" i="1" a="1"/>
  <c r="E729" i="1" s="1"/>
  <c r="L728" i="1" a="1"/>
  <c r="L728" i="1" s="1"/>
  <c r="J728" i="1" a="1"/>
  <c r="J728" i="1" s="1"/>
  <c r="K728" i="1" s="1" a="1"/>
  <c r="K728" i="1" s="1"/>
  <c r="N728" i="1" s="1" a="1"/>
  <c r="N728" i="1" s="1"/>
  <c r="I728" i="1" a="1"/>
  <c r="I728" i="1"/>
  <c r="F728" i="1" a="1"/>
  <c r="F728" i="1" s="1"/>
  <c r="E728" i="1" a="1"/>
  <c r="E728" i="1"/>
  <c r="N727" i="1" a="1"/>
  <c r="N727" i="1" s="1"/>
  <c r="L727" i="1" a="1"/>
  <c r="L727" i="1" s="1"/>
  <c r="J727" i="1" a="1"/>
  <c r="J727" i="1" s="1"/>
  <c r="I727" i="1" a="1"/>
  <c r="I727" i="1" s="1"/>
  <c r="K727" i="1" s="1" a="1"/>
  <c r="K727" i="1" s="1"/>
  <c r="O727" i="1" s="1" a="1"/>
  <c r="O727" i="1" s="1"/>
  <c r="F727" i="1" a="1"/>
  <c r="F727" i="1" s="1"/>
  <c r="E727" i="1" a="1"/>
  <c r="E727" i="1" s="1"/>
  <c r="L726" i="1" a="1"/>
  <c r="L726" i="1" s="1"/>
  <c r="J726" i="1" a="1"/>
  <c r="J726" i="1" s="1"/>
  <c r="K726" i="1" s="1" a="1"/>
  <c r="K726" i="1" s="1"/>
  <c r="N726" i="1" s="1" a="1"/>
  <c r="N726" i="1" s="1"/>
  <c r="I726" i="1" a="1"/>
  <c r="I726" i="1"/>
  <c r="F726" i="1" a="1"/>
  <c r="F726" i="1" s="1"/>
  <c r="E726" i="1" a="1"/>
  <c r="E726" i="1"/>
  <c r="N725" i="1" a="1"/>
  <c r="N725" i="1" s="1"/>
  <c r="L725" i="1" a="1"/>
  <c r="L725" i="1" s="1"/>
  <c r="J725" i="1" a="1"/>
  <c r="J725" i="1" s="1"/>
  <c r="I725" i="1" a="1"/>
  <c r="I725" i="1" s="1"/>
  <c r="K725" i="1" s="1" a="1"/>
  <c r="K725" i="1" s="1"/>
  <c r="O725" i="1" s="1" a="1"/>
  <c r="O725" i="1" s="1"/>
  <c r="F725" i="1" a="1"/>
  <c r="F725" i="1" s="1"/>
  <c r="E725" i="1" a="1"/>
  <c r="E725" i="1" s="1"/>
  <c r="L724" i="1" a="1"/>
  <c r="L724" i="1" s="1"/>
  <c r="K724" i="1"/>
  <c r="N724" i="1" s="1" a="1"/>
  <c r="N724" i="1" s="1"/>
  <c r="J724" i="1" a="1"/>
  <c r="J724" i="1" s="1"/>
  <c r="K724" i="1" s="1" a="1"/>
  <c r="I724" i="1" a="1"/>
  <c r="I724" i="1"/>
  <c r="F724" i="1" a="1"/>
  <c r="F724" i="1" s="1"/>
  <c r="E724" i="1" a="1"/>
  <c r="E724" i="1"/>
  <c r="N723" i="1" a="1"/>
  <c r="N723" i="1" s="1"/>
  <c r="L723" i="1" a="1"/>
  <c r="L723" i="1" s="1"/>
  <c r="J723" i="1" a="1"/>
  <c r="J723" i="1" s="1"/>
  <c r="I723" i="1" a="1"/>
  <c r="I723" i="1" s="1"/>
  <c r="K723" i="1" s="1" a="1"/>
  <c r="K723" i="1" s="1"/>
  <c r="O723" i="1" s="1" a="1"/>
  <c r="O723" i="1" s="1"/>
  <c r="F723" i="1" a="1"/>
  <c r="F723" i="1" s="1"/>
  <c r="E723" i="1" a="1"/>
  <c r="E723" i="1" s="1"/>
  <c r="L722" i="1" a="1"/>
  <c r="L722" i="1" s="1"/>
  <c r="J722" i="1" a="1"/>
  <c r="J722" i="1" s="1"/>
  <c r="K722" i="1" s="1" a="1"/>
  <c r="K722" i="1" s="1"/>
  <c r="N722" i="1" s="1" a="1"/>
  <c r="N722" i="1" s="1"/>
  <c r="I722" i="1" a="1"/>
  <c r="I722" i="1"/>
  <c r="F722" i="1" a="1"/>
  <c r="F722" i="1" s="1"/>
  <c r="E722" i="1" a="1"/>
  <c r="E722" i="1"/>
  <c r="L721" i="1" a="1"/>
  <c r="L721" i="1" s="1"/>
  <c r="J721" i="1" a="1"/>
  <c r="J721" i="1" s="1"/>
  <c r="I721" i="1" a="1"/>
  <c r="I721" i="1" s="1"/>
  <c r="K721" i="1" s="1" a="1"/>
  <c r="K721" i="1" s="1"/>
  <c r="F721" i="1" a="1"/>
  <c r="F721" i="1" s="1"/>
  <c r="E721" i="1" a="1"/>
  <c r="E721" i="1" s="1"/>
  <c r="L720" i="1" a="1"/>
  <c r="L720" i="1" s="1"/>
  <c r="J720" i="1" a="1"/>
  <c r="J720" i="1" s="1"/>
  <c r="K720" i="1" s="1" a="1"/>
  <c r="K720" i="1" s="1"/>
  <c r="N720" i="1" s="1" a="1"/>
  <c r="N720" i="1" s="1"/>
  <c r="I720" i="1" a="1"/>
  <c r="I720" i="1"/>
  <c r="F720" i="1" a="1"/>
  <c r="F720" i="1" s="1"/>
  <c r="E720" i="1" a="1"/>
  <c r="E720" i="1"/>
  <c r="N719" i="1" a="1"/>
  <c r="N719" i="1" s="1"/>
  <c r="L719" i="1" a="1"/>
  <c r="L719" i="1" s="1"/>
  <c r="J719" i="1" a="1"/>
  <c r="J719" i="1" s="1"/>
  <c r="I719" i="1" a="1"/>
  <c r="I719" i="1" s="1"/>
  <c r="K719" i="1" s="1" a="1"/>
  <c r="K719" i="1" s="1"/>
  <c r="O719" i="1" s="1" a="1"/>
  <c r="O719" i="1" s="1"/>
  <c r="F719" i="1" a="1"/>
  <c r="F719" i="1" s="1"/>
  <c r="E719" i="1" a="1"/>
  <c r="E719" i="1" s="1"/>
  <c r="L718" i="1" a="1"/>
  <c r="L718" i="1" s="1"/>
  <c r="J718" i="1" a="1"/>
  <c r="J718" i="1" s="1"/>
  <c r="K718" i="1" s="1" a="1"/>
  <c r="K718" i="1" s="1"/>
  <c r="N718" i="1" s="1" a="1"/>
  <c r="N718" i="1" s="1"/>
  <c r="I718" i="1" a="1"/>
  <c r="I718" i="1"/>
  <c r="F718" i="1" a="1"/>
  <c r="F718" i="1" s="1"/>
  <c r="E718" i="1" a="1"/>
  <c r="E718" i="1"/>
  <c r="N717" i="1" a="1"/>
  <c r="N717" i="1" s="1"/>
  <c r="L717" i="1" a="1"/>
  <c r="L717" i="1" s="1"/>
  <c r="J717" i="1" a="1"/>
  <c r="J717" i="1" s="1"/>
  <c r="I717" i="1" a="1"/>
  <c r="I717" i="1" s="1"/>
  <c r="K717" i="1" s="1" a="1"/>
  <c r="K717" i="1" s="1"/>
  <c r="O717" i="1" s="1" a="1"/>
  <c r="O717" i="1" s="1"/>
  <c r="F717" i="1" a="1"/>
  <c r="F717" i="1" s="1"/>
  <c r="E717" i="1" a="1"/>
  <c r="E717" i="1" s="1"/>
  <c r="L716" i="1" a="1"/>
  <c r="L716" i="1" s="1"/>
  <c r="K716" i="1"/>
  <c r="N716" i="1" s="1" a="1"/>
  <c r="N716" i="1" s="1"/>
  <c r="J716" i="1" a="1"/>
  <c r="J716" i="1" s="1"/>
  <c r="K716" i="1" s="1" a="1"/>
  <c r="I716" i="1" a="1"/>
  <c r="I716" i="1"/>
  <c r="F716" i="1" a="1"/>
  <c r="F716" i="1" s="1"/>
  <c r="E716" i="1" a="1"/>
  <c r="E716" i="1"/>
  <c r="N715" i="1" a="1"/>
  <c r="N715" i="1" s="1"/>
  <c r="L715" i="1" a="1"/>
  <c r="L715" i="1" s="1"/>
  <c r="J715" i="1" a="1"/>
  <c r="J715" i="1" s="1"/>
  <c r="I715" i="1" a="1"/>
  <c r="I715" i="1" s="1"/>
  <c r="K715" i="1" s="1" a="1"/>
  <c r="K715" i="1" s="1"/>
  <c r="O715" i="1" s="1" a="1"/>
  <c r="O715" i="1" s="1"/>
  <c r="F715" i="1" a="1"/>
  <c r="F715" i="1" s="1"/>
  <c r="E715" i="1" a="1"/>
  <c r="E715" i="1" s="1"/>
  <c r="L714" i="1" a="1"/>
  <c r="L714" i="1" s="1"/>
  <c r="J714" i="1" a="1"/>
  <c r="J714" i="1" s="1"/>
  <c r="K714" i="1" s="1" a="1"/>
  <c r="K714" i="1" s="1"/>
  <c r="N714" i="1" s="1" a="1"/>
  <c r="N714" i="1" s="1"/>
  <c r="I714" i="1" a="1"/>
  <c r="I714" i="1"/>
  <c r="F714" i="1" a="1"/>
  <c r="F714" i="1" s="1"/>
  <c r="E714" i="1" a="1"/>
  <c r="E714" i="1"/>
  <c r="L713" i="1" a="1"/>
  <c r="L713" i="1" s="1"/>
  <c r="J713" i="1" a="1"/>
  <c r="J713" i="1" s="1"/>
  <c r="I713" i="1" a="1"/>
  <c r="I713" i="1" s="1"/>
  <c r="K713" i="1" s="1" a="1"/>
  <c r="K713" i="1" s="1"/>
  <c r="F713" i="1" a="1"/>
  <c r="F713" i="1" s="1"/>
  <c r="E713" i="1" a="1"/>
  <c r="E713" i="1" s="1"/>
  <c r="L712" i="1" a="1"/>
  <c r="L712" i="1" s="1"/>
  <c r="J712" i="1" a="1"/>
  <c r="J712" i="1" s="1"/>
  <c r="K712" i="1" s="1" a="1"/>
  <c r="K712" i="1" s="1"/>
  <c r="N712" i="1" s="1" a="1"/>
  <c r="N712" i="1" s="1"/>
  <c r="I712" i="1" a="1"/>
  <c r="I712" i="1"/>
  <c r="F712" i="1" a="1"/>
  <c r="F712" i="1"/>
  <c r="E712" i="1" a="1"/>
  <c r="E712" i="1"/>
  <c r="L711" i="1" a="1"/>
  <c r="L711" i="1"/>
  <c r="J711" i="1" a="1"/>
  <c r="J711" i="1" s="1"/>
  <c r="K711" i="1" s="1" a="1"/>
  <c r="K711" i="1" s="1"/>
  <c r="I711" i="1" a="1"/>
  <c r="I711" i="1"/>
  <c r="F711" i="1" a="1"/>
  <c r="F711" i="1"/>
  <c r="E711" i="1" a="1"/>
  <c r="E711" i="1"/>
  <c r="L710" i="1" a="1"/>
  <c r="L710" i="1"/>
  <c r="K710" i="1"/>
  <c r="J710" i="1" a="1"/>
  <c r="J710" i="1" s="1"/>
  <c r="K710" i="1" s="1" a="1"/>
  <c r="I710" i="1" a="1"/>
  <c r="I710" i="1"/>
  <c r="F710" i="1" a="1"/>
  <c r="F710" i="1"/>
  <c r="E710" i="1" a="1"/>
  <c r="E710" i="1"/>
  <c r="L709" i="1" a="1"/>
  <c r="L709" i="1"/>
  <c r="J709" i="1" a="1"/>
  <c r="J709" i="1" s="1"/>
  <c r="K709" i="1" s="1" a="1"/>
  <c r="K709" i="1" s="1"/>
  <c r="I709" i="1" a="1"/>
  <c r="I709" i="1"/>
  <c r="F709" i="1" a="1"/>
  <c r="F709" i="1"/>
  <c r="E709" i="1" a="1"/>
  <c r="E709" i="1"/>
  <c r="L708" i="1" a="1"/>
  <c r="L708" i="1"/>
  <c r="J708" i="1" a="1"/>
  <c r="J708" i="1" s="1"/>
  <c r="K708" i="1" s="1" a="1"/>
  <c r="K708" i="1" s="1"/>
  <c r="I708" i="1" a="1"/>
  <c r="I708" i="1" s="1"/>
  <c r="F708" i="1" a="1"/>
  <c r="F708" i="1"/>
  <c r="E708" i="1" a="1"/>
  <c r="E708" i="1"/>
  <c r="L707" i="1" a="1"/>
  <c r="L707" i="1"/>
  <c r="J707" i="1" a="1"/>
  <c r="J707" i="1" s="1"/>
  <c r="I707" i="1" a="1"/>
  <c r="I707" i="1" s="1"/>
  <c r="F707" i="1" a="1"/>
  <c r="F707" i="1"/>
  <c r="E707" i="1" a="1"/>
  <c r="E707" i="1"/>
  <c r="L706" i="1" a="1"/>
  <c r="L706" i="1"/>
  <c r="J706" i="1" a="1"/>
  <c r="J706" i="1" s="1"/>
  <c r="I706" i="1" a="1"/>
  <c r="I706" i="1" s="1"/>
  <c r="F706" i="1" a="1"/>
  <c r="F706" i="1"/>
  <c r="E706" i="1" a="1"/>
  <c r="E706" i="1"/>
  <c r="L705" i="1" a="1"/>
  <c r="L705" i="1"/>
  <c r="J705" i="1" a="1"/>
  <c r="J705" i="1" s="1"/>
  <c r="K705" i="1" s="1" a="1"/>
  <c r="K705" i="1" s="1"/>
  <c r="I705" i="1" a="1"/>
  <c r="I705" i="1" s="1"/>
  <c r="F705" i="1" a="1"/>
  <c r="F705" i="1"/>
  <c r="E705" i="1" a="1"/>
  <c r="E705" i="1"/>
  <c r="L704" i="1" a="1"/>
  <c r="L704" i="1"/>
  <c r="K704" i="1"/>
  <c r="J704" i="1" a="1"/>
  <c r="J704" i="1" s="1"/>
  <c r="K704" i="1" s="1" a="1"/>
  <c r="I704" i="1" a="1"/>
  <c r="I704" i="1" s="1"/>
  <c r="F704" i="1" a="1"/>
  <c r="F704" i="1"/>
  <c r="E704" i="1" a="1"/>
  <c r="E704" i="1"/>
  <c r="L703" i="1" a="1"/>
  <c r="L703" i="1"/>
  <c r="J703" i="1" a="1"/>
  <c r="J703" i="1" s="1"/>
  <c r="I703" i="1" a="1"/>
  <c r="I703" i="1" s="1"/>
  <c r="F703" i="1" a="1"/>
  <c r="F703" i="1"/>
  <c r="E703" i="1" a="1"/>
  <c r="E703" i="1"/>
  <c r="L702" i="1" a="1"/>
  <c r="L702" i="1"/>
  <c r="J702" i="1" a="1"/>
  <c r="J702" i="1" s="1"/>
  <c r="K702" i="1" s="1" a="1"/>
  <c r="K702" i="1" s="1"/>
  <c r="I702" i="1" a="1"/>
  <c r="I702" i="1" s="1"/>
  <c r="F702" i="1" a="1"/>
  <c r="F702" i="1"/>
  <c r="E702" i="1" a="1"/>
  <c r="E702" i="1"/>
  <c r="L701" i="1" a="1"/>
  <c r="L701" i="1"/>
  <c r="J701" i="1" a="1"/>
  <c r="J701" i="1" s="1"/>
  <c r="I701" i="1" a="1"/>
  <c r="I701" i="1" s="1"/>
  <c r="F701" i="1" a="1"/>
  <c r="F701" i="1"/>
  <c r="E701" i="1" a="1"/>
  <c r="E701" i="1"/>
  <c r="L700" i="1" a="1"/>
  <c r="L700" i="1"/>
  <c r="J700" i="1" a="1"/>
  <c r="J700" i="1" s="1"/>
  <c r="K700" i="1" s="1" a="1"/>
  <c r="K700" i="1" s="1"/>
  <c r="I700" i="1" a="1"/>
  <c r="I700" i="1" s="1"/>
  <c r="F700" i="1" a="1"/>
  <c r="F700" i="1"/>
  <c r="E700" i="1" a="1"/>
  <c r="E700" i="1"/>
  <c r="L699" i="1" a="1"/>
  <c r="L699" i="1"/>
  <c r="J699" i="1" a="1"/>
  <c r="J699" i="1" s="1"/>
  <c r="I699" i="1" a="1"/>
  <c r="I699" i="1" s="1"/>
  <c r="F699" i="1" a="1"/>
  <c r="F699" i="1"/>
  <c r="E699" i="1" a="1"/>
  <c r="E699" i="1"/>
  <c r="L698" i="1" a="1"/>
  <c r="L698" i="1"/>
  <c r="J698" i="1" a="1"/>
  <c r="J698" i="1" s="1"/>
  <c r="I698" i="1" a="1"/>
  <c r="I698" i="1" s="1"/>
  <c r="F698" i="1" a="1"/>
  <c r="F698" i="1"/>
  <c r="E698" i="1" a="1"/>
  <c r="E698" i="1"/>
  <c r="L697" i="1" a="1"/>
  <c r="L697" i="1"/>
  <c r="J697" i="1" a="1"/>
  <c r="J697" i="1" s="1"/>
  <c r="K697" i="1" s="1" a="1"/>
  <c r="K697" i="1" s="1"/>
  <c r="I697" i="1" a="1"/>
  <c r="I697" i="1" s="1"/>
  <c r="F697" i="1" a="1"/>
  <c r="F697" i="1"/>
  <c r="E697" i="1" a="1"/>
  <c r="E697" i="1"/>
  <c r="L696" i="1" a="1"/>
  <c r="L696" i="1"/>
  <c r="K696" i="1"/>
  <c r="J696" i="1" a="1"/>
  <c r="J696" i="1" s="1"/>
  <c r="K696" i="1" s="1" a="1"/>
  <c r="I696" i="1" a="1"/>
  <c r="I696" i="1" s="1"/>
  <c r="F696" i="1" a="1"/>
  <c r="F696" i="1"/>
  <c r="E696" i="1" a="1"/>
  <c r="E696" i="1"/>
  <c r="L695" i="1" a="1"/>
  <c r="L695" i="1"/>
  <c r="J695" i="1" a="1"/>
  <c r="J695" i="1" s="1"/>
  <c r="I695" i="1" a="1"/>
  <c r="I695" i="1" s="1"/>
  <c r="F695" i="1" a="1"/>
  <c r="F695" i="1"/>
  <c r="E695" i="1" a="1"/>
  <c r="E695" i="1"/>
  <c r="L694" i="1" a="1"/>
  <c r="L694" i="1"/>
  <c r="J694" i="1" a="1"/>
  <c r="J694" i="1" s="1"/>
  <c r="K694" i="1" s="1" a="1"/>
  <c r="K694" i="1" s="1"/>
  <c r="I694" i="1" a="1"/>
  <c r="I694" i="1" s="1"/>
  <c r="F694" i="1" a="1"/>
  <c r="F694" i="1"/>
  <c r="E694" i="1" a="1"/>
  <c r="E694" i="1"/>
  <c r="L693" i="1" a="1"/>
  <c r="L693" i="1"/>
  <c r="K693" i="1"/>
  <c r="J693" i="1" a="1"/>
  <c r="J693" i="1" s="1"/>
  <c r="K693" i="1" s="1" a="1"/>
  <c r="I693" i="1" a="1"/>
  <c r="I693" i="1" s="1"/>
  <c r="F693" i="1" a="1"/>
  <c r="F693" i="1"/>
  <c r="E693" i="1" a="1"/>
  <c r="E693" i="1"/>
  <c r="L692" i="1" a="1"/>
  <c r="L692" i="1"/>
  <c r="J692" i="1" a="1"/>
  <c r="J692" i="1" s="1"/>
  <c r="I692" i="1" a="1"/>
  <c r="I692" i="1" s="1"/>
  <c r="F692" i="1" a="1"/>
  <c r="F692" i="1"/>
  <c r="E692" i="1" a="1"/>
  <c r="E692" i="1"/>
  <c r="L691" i="1" a="1"/>
  <c r="L691" i="1"/>
  <c r="J691" i="1" a="1"/>
  <c r="J691" i="1" s="1"/>
  <c r="K691" i="1" s="1" a="1"/>
  <c r="K691" i="1" s="1"/>
  <c r="I691" i="1" a="1"/>
  <c r="I691" i="1" s="1"/>
  <c r="F691" i="1" a="1"/>
  <c r="F691" i="1"/>
  <c r="E691" i="1" a="1"/>
  <c r="E691" i="1"/>
  <c r="L690" i="1" a="1"/>
  <c r="L690" i="1"/>
  <c r="J690" i="1" a="1"/>
  <c r="J690" i="1" s="1"/>
  <c r="I690" i="1" a="1"/>
  <c r="I690" i="1" s="1"/>
  <c r="F690" i="1" a="1"/>
  <c r="F690" i="1"/>
  <c r="E690" i="1" a="1"/>
  <c r="E690" i="1"/>
  <c r="L689" i="1" a="1"/>
  <c r="L689" i="1"/>
  <c r="J689" i="1" a="1"/>
  <c r="J689" i="1" s="1"/>
  <c r="K689" i="1" s="1" a="1"/>
  <c r="K689" i="1" s="1"/>
  <c r="I689" i="1" a="1"/>
  <c r="I689" i="1" s="1"/>
  <c r="F689" i="1" a="1"/>
  <c r="F689" i="1"/>
  <c r="E689" i="1" a="1"/>
  <c r="E689" i="1"/>
  <c r="L688" i="1" a="1"/>
  <c r="L688" i="1"/>
  <c r="J688" i="1" a="1"/>
  <c r="J688" i="1" s="1"/>
  <c r="I688" i="1" a="1"/>
  <c r="I688" i="1" s="1"/>
  <c r="F688" i="1" a="1"/>
  <c r="F688" i="1"/>
  <c r="E688" i="1" a="1"/>
  <c r="E688" i="1"/>
  <c r="L687" i="1" a="1"/>
  <c r="L687" i="1"/>
  <c r="J687" i="1" a="1"/>
  <c r="J687" i="1" s="1"/>
  <c r="K687" i="1" s="1" a="1"/>
  <c r="K687" i="1" s="1"/>
  <c r="I687" i="1" a="1"/>
  <c r="I687" i="1" s="1"/>
  <c r="F687" i="1" a="1"/>
  <c r="F687" i="1"/>
  <c r="E687" i="1" a="1"/>
  <c r="E687" i="1"/>
  <c r="L686" i="1" a="1"/>
  <c r="L686" i="1"/>
  <c r="J686" i="1" a="1"/>
  <c r="J686" i="1" s="1"/>
  <c r="I686" i="1" a="1"/>
  <c r="I686" i="1" s="1"/>
  <c r="F686" i="1" a="1"/>
  <c r="F686" i="1"/>
  <c r="E686" i="1" a="1"/>
  <c r="E686" i="1"/>
  <c r="O685" i="1" a="1"/>
  <c r="O685" i="1" s="1"/>
  <c r="L685" i="1" a="1"/>
  <c r="L685" i="1"/>
  <c r="J685" i="1" a="1"/>
  <c r="J685" i="1" s="1"/>
  <c r="K685" i="1" s="1" a="1"/>
  <c r="K685" i="1" s="1"/>
  <c r="N685" i="1" s="1" a="1"/>
  <c r="N685" i="1" s="1"/>
  <c r="I685" i="1" a="1"/>
  <c r="I685" i="1" s="1"/>
  <c r="F685" i="1" a="1"/>
  <c r="F685" i="1"/>
  <c r="E685" i="1" a="1"/>
  <c r="E685" i="1"/>
  <c r="L684" i="1" a="1"/>
  <c r="L684" i="1"/>
  <c r="J684" i="1" a="1"/>
  <c r="J684" i="1" s="1"/>
  <c r="I684" i="1" a="1"/>
  <c r="I684" i="1" s="1"/>
  <c r="F684" i="1" a="1"/>
  <c r="F684" i="1"/>
  <c r="E684" i="1" a="1"/>
  <c r="E684" i="1"/>
  <c r="L683" i="1" a="1"/>
  <c r="L683" i="1"/>
  <c r="J683" i="1" a="1"/>
  <c r="J683" i="1" s="1"/>
  <c r="K683" i="1" s="1" a="1"/>
  <c r="K683" i="1" s="1"/>
  <c r="I683" i="1" a="1"/>
  <c r="I683" i="1" s="1"/>
  <c r="F683" i="1" a="1"/>
  <c r="F683" i="1"/>
  <c r="E683" i="1" a="1"/>
  <c r="E683" i="1"/>
  <c r="L682" i="1" a="1"/>
  <c r="L682" i="1"/>
  <c r="J682" i="1" a="1"/>
  <c r="J682" i="1" s="1"/>
  <c r="I682" i="1" a="1"/>
  <c r="I682" i="1" s="1"/>
  <c r="F682" i="1" a="1"/>
  <c r="F682" i="1"/>
  <c r="E682" i="1" a="1"/>
  <c r="E682" i="1"/>
  <c r="O681" i="1" a="1"/>
  <c r="O681" i="1" s="1"/>
  <c r="L681" i="1" a="1"/>
  <c r="L681" i="1"/>
  <c r="J681" i="1" a="1"/>
  <c r="J681" i="1" s="1"/>
  <c r="K681" i="1" s="1" a="1"/>
  <c r="K681" i="1" s="1"/>
  <c r="N681" i="1" s="1" a="1"/>
  <c r="N681" i="1" s="1"/>
  <c r="I681" i="1" a="1"/>
  <c r="I681" i="1" s="1"/>
  <c r="F681" i="1" a="1"/>
  <c r="F681" i="1"/>
  <c r="E681" i="1" a="1"/>
  <c r="E681" i="1"/>
  <c r="L680" i="1" a="1"/>
  <c r="L680" i="1"/>
  <c r="J680" i="1" a="1"/>
  <c r="J680" i="1" s="1"/>
  <c r="I680" i="1" a="1"/>
  <c r="I680" i="1" s="1"/>
  <c r="F680" i="1" a="1"/>
  <c r="F680" i="1"/>
  <c r="E680" i="1" a="1"/>
  <c r="E680" i="1"/>
  <c r="L679" i="1" a="1"/>
  <c r="L679" i="1"/>
  <c r="J679" i="1" a="1"/>
  <c r="J679" i="1" s="1"/>
  <c r="K679" i="1" s="1" a="1"/>
  <c r="K679" i="1" s="1"/>
  <c r="I679" i="1" a="1"/>
  <c r="I679" i="1" s="1"/>
  <c r="F679" i="1" a="1"/>
  <c r="F679" i="1"/>
  <c r="E679" i="1" a="1"/>
  <c r="E679" i="1"/>
  <c r="L678" i="1" a="1"/>
  <c r="L678" i="1"/>
  <c r="J678" i="1" a="1"/>
  <c r="J678" i="1" s="1"/>
  <c r="I678" i="1" a="1"/>
  <c r="I678" i="1" s="1"/>
  <c r="F678" i="1" a="1"/>
  <c r="F678" i="1"/>
  <c r="E678" i="1" a="1"/>
  <c r="E678" i="1"/>
  <c r="O677" i="1" a="1"/>
  <c r="O677" i="1" s="1"/>
  <c r="L677" i="1" a="1"/>
  <c r="L677" i="1"/>
  <c r="J677" i="1" a="1"/>
  <c r="J677" i="1" s="1"/>
  <c r="K677" i="1" s="1" a="1"/>
  <c r="K677" i="1" s="1"/>
  <c r="N677" i="1" s="1" a="1"/>
  <c r="N677" i="1" s="1"/>
  <c r="I677" i="1" a="1"/>
  <c r="I677" i="1" s="1"/>
  <c r="F677" i="1" a="1"/>
  <c r="F677" i="1"/>
  <c r="E677" i="1" a="1"/>
  <c r="E677" i="1"/>
  <c r="L676" i="1" a="1"/>
  <c r="L676" i="1"/>
  <c r="J676" i="1" a="1"/>
  <c r="J676" i="1" s="1"/>
  <c r="I676" i="1" a="1"/>
  <c r="I676" i="1" s="1"/>
  <c r="F676" i="1" a="1"/>
  <c r="F676" i="1"/>
  <c r="E676" i="1" a="1"/>
  <c r="E676" i="1"/>
  <c r="L675" i="1" a="1"/>
  <c r="L675" i="1" s="1"/>
  <c r="J675" i="1" a="1"/>
  <c r="J675" i="1" s="1"/>
  <c r="I675" i="1" a="1"/>
  <c r="I675" i="1" s="1"/>
  <c r="F675" i="1" a="1"/>
  <c r="F675" i="1" s="1"/>
  <c r="E675" i="1" a="1"/>
  <c r="E675" i="1"/>
  <c r="L674" i="1" a="1"/>
  <c r="L674" i="1" s="1"/>
  <c r="J674" i="1" a="1"/>
  <c r="J674" i="1" s="1"/>
  <c r="I674" i="1" a="1"/>
  <c r="I674" i="1" s="1"/>
  <c r="F674" i="1" a="1"/>
  <c r="F674" i="1" s="1"/>
  <c r="E674" i="1" a="1"/>
  <c r="E674" i="1"/>
  <c r="L673" i="1" a="1"/>
  <c r="L673" i="1" s="1"/>
  <c r="J673" i="1" a="1"/>
  <c r="J673" i="1" s="1"/>
  <c r="I673" i="1" a="1"/>
  <c r="I673" i="1" s="1"/>
  <c r="F673" i="1" a="1"/>
  <c r="F673" i="1" s="1"/>
  <c r="E673" i="1" a="1"/>
  <c r="E673" i="1"/>
  <c r="L672" i="1" a="1"/>
  <c r="L672" i="1" s="1"/>
  <c r="J672" i="1" a="1"/>
  <c r="J672" i="1" s="1"/>
  <c r="I672" i="1" a="1"/>
  <c r="I672" i="1" s="1"/>
  <c r="F672" i="1" a="1"/>
  <c r="F672" i="1" s="1"/>
  <c r="E672" i="1" a="1"/>
  <c r="E672" i="1"/>
  <c r="L671" i="1" a="1"/>
  <c r="L671" i="1" s="1"/>
  <c r="J671" i="1" a="1"/>
  <c r="J671" i="1" s="1"/>
  <c r="I671" i="1" a="1"/>
  <c r="I671" i="1" s="1"/>
  <c r="F671" i="1" a="1"/>
  <c r="F671" i="1" s="1"/>
  <c r="E671" i="1" a="1"/>
  <c r="E671" i="1"/>
  <c r="L670" i="1" a="1"/>
  <c r="L670" i="1" s="1"/>
  <c r="J670" i="1" a="1"/>
  <c r="J670" i="1" s="1"/>
  <c r="I670" i="1" a="1"/>
  <c r="I670" i="1" s="1"/>
  <c r="F670" i="1" a="1"/>
  <c r="F670" i="1" s="1"/>
  <c r="E670" i="1" a="1"/>
  <c r="E670" i="1"/>
  <c r="L669" i="1" a="1"/>
  <c r="L669" i="1" s="1"/>
  <c r="J669" i="1" a="1"/>
  <c r="J669" i="1" s="1"/>
  <c r="I669" i="1" a="1"/>
  <c r="I669" i="1" s="1"/>
  <c r="F669" i="1" a="1"/>
  <c r="F669" i="1" s="1"/>
  <c r="E669" i="1" a="1"/>
  <c r="E669" i="1"/>
  <c r="L668" i="1" a="1"/>
  <c r="L668" i="1" s="1"/>
  <c r="J668" i="1" a="1"/>
  <c r="J668" i="1" s="1"/>
  <c r="K668" i="1" s="1" a="1"/>
  <c r="K668" i="1" s="1"/>
  <c r="I668" i="1" a="1"/>
  <c r="I668" i="1" s="1"/>
  <c r="F668" i="1" a="1"/>
  <c r="F668" i="1" s="1"/>
  <c r="E668" i="1" a="1"/>
  <c r="E668" i="1"/>
  <c r="L667" i="1" a="1"/>
  <c r="L667" i="1" s="1"/>
  <c r="K667" i="1" a="1"/>
  <c r="K667" i="1"/>
  <c r="J667" i="1" a="1"/>
  <c r="J667" i="1" s="1"/>
  <c r="I667" i="1" a="1"/>
  <c r="I667" i="1" s="1"/>
  <c r="F667" i="1" a="1"/>
  <c r="F667" i="1" s="1"/>
  <c r="E667" i="1" a="1"/>
  <c r="E667" i="1" s="1"/>
  <c r="L666" i="1" a="1"/>
  <c r="L666" i="1" s="1"/>
  <c r="O666" i="1" s="1" a="1"/>
  <c r="O666" i="1" s="1"/>
  <c r="K666" i="1" a="1"/>
  <c r="K666" i="1" s="1"/>
  <c r="N666" i="1" s="1" a="1"/>
  <c r="N666" i="1" s="1"/>
  <c r="J666" i="1" a="1"/>
  <c r="J666" i="1" s="1"/>
  <c r="I666" i="1" a="1"/>
  <c r="I666" i="1" s="1"/>
  <c r="F666" i="1" a="1"/>
  <c r="F666" i="1" s="1"/>
  <c r="E666" i="1" a="1"/>
  <c r="E666" i="1" s="1"/>
  <c r="L665" i="1" a="1"/>
  <c r="L665" i="1" s="1"/>
  <c r="J665" i="1" a="1"/>
  <c r="J665" i="1" s="1"/>
  <c r="K665" i="1" s="1" a="1"/>
  <c r="K665" i="1" s="1"/>
  <c r="I665" i="1" a="1"/>
  <c r="I665" i="1" s="1"/>
  <c r="F665" i="1" a="1"/>
  <c r="F665" i="1" s="1"/>
  <c r="E665" i="1" a="1"/>
  <c r="E665" i="1"/>
  <c r="L664" i="1" a="1"/>
  <c r="L664" i="1" s="1"/>
  <c r="K664" i="1" a="1"/>
  <c r="K664" i="1" s="1"/>
  <c r="J664" i="1" a="1"/>
  <c r="J664" i="1" s="1"/>
  <c r="I664" i="1" a="1"/>
  <c r="I664" i="1" s="1"/>
  <c r="F664" i="1" a="1"/>
  <c r="F664" i="1" s="1"/>
  <c r="E664" i="1" a="1"/>
  <c r="E664" i="1" s="1"/>
  <c r="L663" i="1" a="1"/>
  <c r="L663" i="1" s="1"/>
  <c r="O663" i="1" s="1" a="1"/>
  <c r="O663" i="1" s="1"/>
  <c r="J663" i="1" a="1"/>
  <c r="J663" i="1" s="1"/>
  <c r="K663" i="1" s="1" a="1"/>
  <c r="K663" i="1" s="1"/>
  <c r="N663" i="1" s="1" a="1"/>
  <c r="N663" i="1" s="1"/>
  <c r="I663" i="1" a="1"/>
  <c r="I663" i="1" s="1"/>
  <c r="F663" i="1" a="1"/>
  <c r="F663" i="1" s="1"/>
  <c r="E663" i="1" a="1"/>
  <c r="E663" i="1"/>
  <c r="L662" i="1" a="1"/>
  <c r="L662" i="1" s="1"/>
  <c r="O662" i="1" s="1" a="1"/>
  <c r="O662" i="1" s="1"/>
  <c r="K662" i="1" a="1"/>
  <c r="K662" i="1" s="1"/>
  <c r="N662" i="1" s="1" a="1"/>
  <c r="N662" i="1" s="1"/>
  <c r="J662" i="1" a="1"/>
  <c r="J662" i="1" s="1"/>
  <c r="I662" i="1" a="1"/>
  <c r="I662" i="1" s="1"/>
  <c r="F662" i="1" a="1"/>
  <c r="F662" i="1" s="1"/>
  <c r="E662" i="1" a="1"/>
  <c r="E662" i="1" s="1"/>
  <c r="N661" i="1" a="1"/>
  <c r="N661" i="1" s="1"/>
  <c r="L661" i="1" a="1"/>
  <c r="L661" i="1" s="1"/>
  <c r="J661" i="1" a="1"/>
  <c r="J661" i="1" s="1"/>
  <c r="K661" i="1" s="1" a="1"/>
  <c r="K661" i="1" s="1"/>
  <c r="O661" i="1" s="1" a="1"/>
  <c r="O661" i="1" s="1"/>
  <c r="I661" i="1" a="1"/>
  <c r="I661" i="1" s="1"/>
  <c r="F661" i="1" a="1"/>
  <c r="F661" i="1" s="1"/>
  <c r="E661" i="1" a="1"/>
  <c r="E661" i="1"/>
  <c r="L660" i="1" a="1"/>
  <c r="L660" i="1" s="1"/>
  <c r="K660" i="1" a="1"/>
  <c r="K660" i="1" s="1"/>
  <c r="J660" i="1" a="1"/>
  <c r="J660" i="1" s="1"/>
  <c r="I660" i="1" a="1"/>
  <c r="I660" i="1" s="1"/>
  <c r="F660" i="1" a="1"/>
  <c r="F660" i="1" s="1"/>
  <c r="E660" i="1" a="1"/>
  <c r="E660" i="1" s="1"/>
  <c r="L659" i="1" a="1"/>
  <c r="L659" i="1" s="1"/>
  <c r="O659" i="1" s="1" a="1"/>
  <c r="O659" i="1" s="1"/>
  <c r="J659" i="1" a="1"/>
  <c r="J659" i="1" s="1"/>
  <c r="K659" i="1" s="1" a="1"/>
  <c r="K659" i="1" s="1"/>
  <c r="N659" i="1" s="1" a="1"/>
  <c r="N659" i="1" s="1"/>
  <c r="I659" i="1" a="1"/>
  <c r="I659" i="1" s="1"/>
  <c r="F659" i="1" a="1"/>
  <c r="F659" i="1" s="1"/>
  <c r="E659" i="1" a="1"/>
  <c r="E659" i="1"/>
  <c r="L658" i="1" a="1"/>
  <c r="L658" i="1" s="1"/>
  <c r="K658" i="1" a="1"/>
  <c r="K658" i="1" s="1"/>
  <c r="N658" i="1" s="1" a="1"/>
  <c r="N658" i="1" s="1"/>
  <c r="J658" i="1" a="1"/>
  <c r="J658" i="1" s="1"/>
  <c r="I658" i="1" a="1"/>
  <c r="I658" i="1" s="1"/>
  <c r="F658" i="1" a="1"/>
  <c r="F658" i="1" s="1"/>
  <c r="E658" i="1" a="1"/>
  <c r="E658" i="1" s="1"/>
  <c r="N657" i="1" a="1"/>
  <c r="N657" i="1" s="1"/>
  <c r="L657" i="1" a="1"/>
  <c r="L657" i="1" s="1"/>
  <c r="J657" i="1" a="1"/>
  <c r="J657" i="1" s="1"/>
  <c r="K657" i="1" s="1" a="1"/>
  <c r="K657" i="1" s="1"/>
  <c r="O657" i="1" s="1" a="1"/>
  <c r="O657" i="1" s="1"/>
  <c r="I657" i="1" a="1"/>
  <c r="I657" i="1" s="1"/>
  <c r="F657" i="1" a="1"/>
  <c r="F657" i="1" s="1"/>
  <c r="E657" i="1" a="1"/>
  <c r="E657" i="1"/>
  <c r="L656" i="1" a="1"/>
  <c r="L656" i="1" s="1"/>
  <c r="K656" i="1" a="1"/>
  <c r="K656" i="1" s="1"/>
  <c r="J656" i="1" a="1"/>
  <c r="J656" i="1" s="1"/>
  <c r="I656" i="1" a="1"/>
  <c r="I656" i="1" s="1"/>
  <c r="F656" i="1" a="1"/>
  <c r="F656" i="1" s="1"/>
  <c r="E656" i="1" a="1"/>
  <c r="E656" i="1" s="1"/>
  <c r="L655" i="1" a="1"/>
  <c r="L655" i="1" s="1"/>
  <c r="J655" i="1" a="1"/>
  <c r="J655" i="1" s="1"/>
  <c r="K655" i="1" s="1" a="1"/>
  <c r="K655" i="1" s="1"/>
  <c r="N655" i="1" s="1" a="1"/>
  <c r="N655" i="1" s="1"/>
  <c r="I655" i="1" a="1"/>
  <c r="I655" i="1" s="1"/>
  <c r="F655" i="1" a="1"/>
  <c r="F655" i="1" s="1"/>
  <c r="E655" i="1" a="1"/>
  <c r="E655" i="1"/>
  <c r="L654" i="1" a="1"/>
  <c r="L654" i="1" s="1"/>
  <c r="O654" i="1" s="1" a="1"/>
  <c r="O654" i="1" s="1"/>
  <c r="K654" i="1" a="1"/>
  <c r="K654" i="1" s="1"/>
  <c r="N654" i="1" s="1" a="1"/>
  <c r="N654" i="1" s="1"/>
  <c r="J654" i="1" a="1"/>
  <c r="J654" i="1" s="1"/>
  <c r="I654" i="1" a="1"/>
  <c r="I654" i="1" s="1"/>
  <c r="F654" i="1" a="1"/>
  <c r="F654" i="1" s="1"/>
  <c r="E654" i="1" a="1"/>
  <c r="E654" i="1" s="1"/>
  <c r="L653" i="1" a="1"/>
  <c r="L653" i="1" s="1"/>
  <c r="J653" i="1" a="1"/>
  <c r="J653" i="1" s="1"/>
  <c r="K653" i="1" s="1" a="1"/>
  <c r="K653" i="1" s="1"/>
  <c r="O653" i="1" s="1" a="1"/>
  <c r="O653" i="1" s="1"/>
  <c r="I653" i="1" a="1"/>
  <c r="I653" i="1" s="1"/>
  <c r="F653" i="1" a="1"/>
  <c r="F653" i="1" s="1"/>
  <c r="E653" i="1" a="1"/>
  <c r="E653" i="1"/>
  <c r="L652" i="1" a="1"/>
  <c r="L652" i="1" s="1"/>
  <c r="K652" i="1" a="1"/>
  <c r="K652" i="1" s="1"/>
  <c r="J652" i="1" a="1"/>
  <c r="J652" i="1" s="1"/>
  <c r="I652" i="1" a="1"/>
  <c r="I652" i="1" s="1"/>
  <c r="F652" i="1" a="1"/>
  <c r="F652" i="1" s="1"/>
  <c r="E652" i="1" a="1"/>
  <c r="E652" i="1" s="1"/>
  <c r="L651" i="1" a="1"/>
  <c r="L651" i="1" s="1"/>
  <c r="J651" i="1" a="1"/>
  <c r="J651" i="1" s="1"/>
  <c r="K651" i="1" s="1" a="1"/>
  <c r="K651" i="1" s="1"/>
  <c r="N651" i="1" s="1" a="1"/>
  <c r="N651" i="1" s="1"/>
  <c r="I651" i="1" a="1"/>
  <c r="I651" i="1" s="1"/>
  <c r="F651" i="1" a="1"/>
  <c r="F651" i="1" s="1"/>
  <c r="E651" i="1" a="1"/>
  <c r="E651" i="1"/>
  <c r="L650" i="1" a="1"/>
  <c r="L650" i="1" s="1"/>
  <c r="O650" i="1" s="1" a="1"/>
  <c r="O650" i="1" s="1"/>
  <c r="K650" i="1" a="1"/>
  <c r="K650" i="1" s="1"/>
  <c r="N650" i="1" s="1" a="1"/>
  <c r="N650" i="1" s="1"/>
  <c r="J650" i="1" a="1"/>
  <c r="J650" i="1" s="1"/>
  <c r="I650" i="1" a="1"/>
  <c r="I650" i="1" s="1"/>
  <c r="F650" i="1" a="1"/>
  <c r="F650" i="1" s="1"/>
  <c r="E650" i="1" a="1"/>
  <c r="E650" i="1" s="1"/>
  <c r="L649" i="1" a="1"/>
  <c r="L649" i="1" s="1"/>
  <c r="J649" i="1" a="1"/>
  <c r="J649" i="1" s="1"/>
  <c r="K649" i="1" s="1" a="1"/>
  <c r="K649" i="1" s="1"/>
  <c r="O649" i="1" s="1" a="1"/>
  <c r="O649" i="1" s="1"/>
  <c r="I649" i="1" a="1"/>
  <c r="I649" i="1" s="1"/>
  <c r="F649" i="1" a="1"/>
  <c r="F649" i="1" s="1"/>
  <c r="E649" i="1" a="1"/>
  <c r="E649" i="1"/>
  <c r="L648" i="1" a="1"/>
  <c r="L648" i="1" s="1"/>
  <c r="K648" i="1" a="1"/>
  <c r="K648" i="1" s="1"/>
  <c r="J648" i="1" a="1"/>
  <c r="J648" i="1" s="1"/>
  <c r="I648" i="1" a="1"/>
  <c r="I648" i="1" s="1"/>
  <c r="F648" i="1" a="1"/>
  <c r="F648" i="1" s="1"/>
  <c r="E648" i="1" a="1"/>
  <c r="E648" i="1" s="1"/>
  <c r="L647" i="1" a="1"/>
  <c r="L647" i="1" s="1"/>
  <c r="J647" i="1" a="1"/>
  <c r="J647" i="1" s="1"/>
  <c r="K647" i="1" s="1" a="1"/>
  <c r="K647" i="1" s="1"/>
  <c r="N647" i="1" s="1" a="1"/>
  <c r="N647" i="1" s="1"/>
  <c r="I647" i="1" a="1"/>
  <c r="I647" i="1" s="1"/>
  <c r="F647" i="1" a="1"/>
  <c r="F647" i="1" s="1"/>
  <c r="E647" i="1" a="1"/>
  <c r="E647" i="1"/>
  <c r="L646" i="1" a="1"/>
  <c r="L646" i="1" s="1"/>
  <c r="K646" i="1" a="1"/>
  <c r="K646" i="1" s="1"/>
  <c r="N646" i="1" s="1" a="1"/>
  <c r="N646" i="1" s="1"/>
  <c r="J646" i="1" a="1"/>
  <c r="J646" i="1" s="1"/>
  <c r="I646" i="1" a="1"/>
  <c r="I646" i="1" s="1"/>
  <c r="F646" i="1" a="1"/>
  <c r="F646" i="1" s="1"/>
  <c r="E646" i="1" a="1"/>
  <c r="E646" i="1" s="1"/>
  <c r="N645" i="1" a="1"/>
  <c r="N645" i="1" s="1"/>
  <c r="L645" i="1" a="1"/>
  <c r="L645" i="1" s="1"/>
  <c r="O645" i="1" s="1" a="1"/>
  <c r="O645" i="1" s="1"/>
  <c r="J645" i="1" a="1"/>
  <c r="J645" i="1" s="1"/>
  <c r="K645" i="1" s="1" a="1"/>
  <c r="K645" i="1" s="1"/>
  <c r="I645" i="1" a="1"/>
  <c r="I645" i="1" s="1"/>
  <c r="F645" i="1" a="1"/>
  <c r="F645" i="1" s="1"/>
  <c r="E645" i="1" a="1"/>
  <c r="E645" i="1"/>
  <c r="L644" i="1" a="1"/>
  <c r="L644" i="1" s="1"/>
  <c r="K644" i="1" a="1"/>
  <c r="K644" i="1" s="1"/>
  <c r="J644" i="1" a="1"/>
  <c r="J644" i="1" s="1"/>
  <c r="I644" i="1" a="1"/>
  <c r="I644" i="1" s="1"/>
  <c r="F644" i="1" a="1"/>
  <c r="F644" i="1" s="1"/>
  <c r="E644" i="1" a="1"/>
  <c r="E644" i="1" s="1"/>
  <c r="L643" i="1" a="1"/>
  <c r="L643" i="1" s="1"/>
  <c r="O643" i="1" s="1" a="1"/>
  <c r="O643" i="1" s="1"/>
  <c r="J643" i="1" a="1"/>
  <c r="J643" i="1" s="1"/>
  <c r="K643" i="1" s="1" a="1"/>
  <c r="K643" i="1" s="1"/>
  <c r="N643" i="1" s="1" a="1"/>
  <c r="N643" i="1" s="1"/>
  <c r="I643" i="1" a="1"/>
  <c r="I643" i="1" s="1"/>
  <c r="F643" i="1" a="1"/>
  <c r="F643" i="1" s="1"/>
  <c r="E643" i="1" a="1"/>
  <c r="E643" i="1"/>
  <c r="L642" i="1" a="1"/>
  <c r="L642" i="1" s="1"/>
  <c r="K642" i="1" a="1"/>
  <c r="K642" i="1" s="1"/>
  <c r="N642" i="1" s="1" a="1"/>
  <c r="N642" i="1" s="1"/>
  <c r="J642" i="1" a="1"/>
  <c r="J642" i="1" s="1"/>
  <c r="I642" i="1" a="1"/>
  <c r="I642" i="1" s="1"/>
  <c r="F642" i="1" a="1"/>
  <c r="F642" i="1" s="1"/>
  <c r="E642" i="1" a="1"/>
  <c r="E642" i="1" s="1"/>
  <c r="N641" i="1" a="1"/>
  <c r="N641" i="1" s="1"/>
  <c r="L641" i="1" a="1"/>
  <c r="L641" i="1" s="1"/>
  <c r="J641" i="1" a="1"/>
  <c r="J641" i="1" s="1"/>
  <c r="K641" i="1" s="1" a="1"/>
  <c r="K641" i="1" s="1"/>
  <c r="I641" i="1" a="1"/>
  <c r="I641" i="1" s="1"/>
  <c r="F641" i="1" a="1"/>
  <c r="F641" i="1" s="1"/>
  <c r="E641" i="1" a="1"/>
  <c r="E641" i="1"/>
  <c r="L640" i="1" a="1"/>
  <c r="L640" i="1" s="1"/>
  <c r="K640" i="1" a="1"/>
  <c r="K640" i="1" s="1"/>
  <c r="J640" i="1" a="1"/>
  <c r="J640" i="1" s="1"/>
  <c r="I640" i="1" a="1"/>
  <c r="I640" i="1" s="1"/>
  <c r="F640" i="1" a="1"/>
  <c r="F640" i="1" s="1"/>
  <c r="E640" i="1" a="1"/>
  <c r="E640" i="1" s="1"/>
  <c r="L639" i="1" a="1"/>
  <c r="L639" i="1" s="1"/>
  <c r="O639" i="1" s="1" a="1"/>
  <c r="O639" i="1" s="1"/>
  <c r="J639" i="1" a="1"/>
  <c r="J639" i="1" s="1"/>
  <c r="K639" i="1" s="1" a="1"/>
  <c r="K639" i="1" s="1"/>
  <c r="N639" i="1" s="1" a="1"/>
  <c r="N639" i="1" s="1"/>
  <c r="I639" i="1" a="1"/>
  <c r="I639" i="1" s="1"/>
  <c r="F639" i="1" a="1"/>
  <c r="F639" i="1" s="1"/>
  <c r="E639" i="1" a="1"/>
  <c r="E639" i="1"/>
  <c r="L638" i="1" a="1"/>
  <c r="L638" i="1" s="1"/>
  <c r="K638" i="1" a="1"/>
  <c r="K638" i="1" s="1"/>
  <c r="N638" i="1" s="1" a="1"/>
  <c r="N638" i="1" s="1"/>
  <c r="J638" i="1" a="1"/>
  <c r="J638" i="1" s="1"/>
  <c r="I638" i="1" a="1"/>
  <c r="I638" i="1" s="1"/>
  <c r="F638" i="1" a="1"/>
  <c r="F638" i="1" s="1"/>
  <c r="E638" i="1" a="1"/>
  <c r="E638" i="1" s="1"/>
  <c r="L637" i="1" a="1"/>
  <c r="L637" i="1" s="1"/>
  <c r="J637" i="1" a="1"/>
  <c r="J637" i="1" s="1"/>
  <c r="K637" i="1" s="1" a="1"/>
  <c r="K637" i="1" s="1"/>
  <c r="N637" i="1" s="1" a="1"/>
  <c r="N637" i="1" s="1"/>
  <c r="I637" i="1" a="1"/>
  <c r="I637" i="1" s="1"/>
  <c r="F637" i="1" a="1"/>
  <c r="F637" i="1" s="1"/>
  <c r="E637" i="1" a="1"/>
  <c r="E637" i="1"/>
  <c r="L636" i="1" a="1"/>
  <c r="L636" i="1" s="1"/>
  <c r="K636" i="1" a="1"/>
  <c r="K636" i="1" s="1"/>
  <c r="J636" i="1" a="1"/>
  <c r="J636" i="1" s="1"/>
  <c r="I636" i="1" a="1"/>
  <c r="I636" i="1" s="1"/>
  <c r="F636" i="1" a="1"/>
  <c r="F636" i="1" s="1"/>
  <c r="E636" i="1" a="1"/>
  <c r="E636" i="1" s="1"/>
  <c r="L635" i="1" a="1"/>
  <c r="L635" i="1" s="1"/>
  <c r="J635" i="1" a="1"/>
  <c r="J635" i="1" s="1"/>
  <c r="K635" i="1" s="1" a="1"/>
  <c r="K635" i="1" s="1"/>
  <c r="N635" i="1" s="1" a="1"/>
  <c r="N635" i="1" s="1"/>
  <c r="I635" i="1" a="1"/>
  <c r="I635" i="1" s="1"/>
  <c r="F635" i="1" a="1"/>
  <c r="F635" i="1" s="1"/>
  <c r="E635" i="1" a="1"/>
  <c r="E635" i="1"/>
  <c r="L634" i="1" a="1"/>
  <c r="L634" i="1" s="1"/>
  <c r="O634" i="1" s="1" a="1"/>
  <c r="O634" i="1" s="1"/>
  <c r="K634" i="1" a="1"/>
  <c r="K634" i="1" s="1"/>
  <c r="N634" i="1" s="1" a="1"/>
  <c r="N634" i="1" s="1"/>
  <c r="J634" i="1" a="1"/>
  <c r="J634" i="1" s="1"/>
  <c r="I634" i="1" a="1"/>
  <c r="I634" i="1" s="1"/>
  <c r="F634" i="1" a="1"/>
  <c r="F634" i="1" s="1"/>
  <c r="E634" i="1" a="1"/>
  <c r="E634" i="1" s="1"/>
  <c r="L633" i="1" a="1"/>
  <c r="L633" i="1" s="1"/>
  <c r="J633" i="1" a="1"/>
  <c r="J633" i="1" s="1"/>
  <c r="K633" i="1" s="1" a="1"/>
  <c r="K633" i="1" s="1"/>
  <c r="N633" i="1" s="1" a="1"/>
  <c r="N633" i="1" s="1"/>
  <c r="I633" i="1" a="1"/>
  <c r="I633" i="1" s="1"/>
  <c r="F633" i="1" a="1"/>
  <c r="F633" i="1" s="1"/>
  <c r="E633" i="1" a="1"/>
  <c r="E633" i="1"/>
  <c r="L632" i="1" a="1"/>
  <c r="L632" i="1" s="1"/>
  <c r="K632" i="1" a="1"/>
  <c r="K632" i="1" s="1"/>
  <c r="J632" i="1" a="1"/>
  <c r="J632" i="1" s="1"/>
  <c r="I632" i="1" a="1"/>
  <c r="I632" i="1" s="1"/>
  <c r="F632" i="1" a="1"/>
  <c r="F632" i="1" s="1"/>
  <c r="E632" i="1" a="1"/>
  <c r="E632" i="1" s="1"/>
  <c r="L631" i="1" a="1"/>
  <c r="L631" i="1" s="1"/>
  <c r="O631" i="1" s="1" a="1"/>
  <c r="O631" i="1" s="1"/>
  <c r="J631" i="1" a="1"/>
  <c r="J631" i="1" s="1"/>
  <c r="K631" i="1" s="1" a="1"/>
  <c r="K631" i="1" s="1"/>
  <c r="N631" i="1" s="1" a="1"/>
  <c r="N631" i="1" s="1"/>
  <c r="I631" i="1" a="1"/>
  <c r="I631" i="1" s="1"/>
  <c r="F631" i="1" a="1"/>
  <c r="F631" i="1" s="1"/>
  <c r="E631" i="1" a="1"/>
  <c r="E631" i="1"/>
  <c r="L630" i="1" a="1"/>
  <c r="L630" i="1" s="1"/>
  <c r="O630" i="1" s="1" a="1"/>
  <c r="O630" i="1" s="1"/>
  <c r="K630" i="1" a="1"/>
  <c r="K630" i="1" s="1"/>
  <c r="N630" i="1" s="1" a="1"/>
  <c r="N630" i="1" s="1"/>
  <c r="J630" i="1" a="1"/>
  <c r="J630" i="1" s="1"/>
  <c r="I630" i="1" a="1"/>
  <c r="I630" i="1" s="1"/>
  <c r="F630" i="1" a="1"/>
  <c r="F630" i="1" s="1"/>
  <c r="E630" i="1" a="1"/>
  <c r="E630" i="1" s="1"/>
  <c r="N629" i="1" a="1"/>
  <c r="N629" i="1" s="1"/>
  <c r="L629" i="1" a="1"/>
  <c r="L629" i="1" s="1"/>
  <c r="O629" i="1" s="1" a="1"/>
  <c r="O629" i="1" s="1"/>
  <c r="J629" i="1" a="1"/>
  <c r="J629" i="1" s="1"/>
  <c r="K629" i="1" s="1" a="1"/>
  <c r="K629" i="1" s="1"/>
  <c r="I629" i="1" a="1"/>
  <c r="I629" i="1" s="1"/>
  <c r="F629" i="1" a="1"/>
  <c r="F629" i="1" s="1"/>
  <c r="E629" i="1" a="1"/>
  <c r="E629" i="1"/>
  <c r="L628" i="1" a="1"/>
  <c r="L628" i="1" s="1"/>
  <c r="K628" i="1" a="1"/>
  <c r="K628" i="1" s="1"/>
  <c r="J628" i="1" a="1"/>
  <c r="J628" i="1" s="1"/>
  <c r="I628" i="1" a="1"/>
  <c r="I628" i="1" s="1"/>
  <c r="F628" i="1" a="1"/>
  <c r="F628" i="1" s="1"/>
  <c r="E628" i="1" a="1"/>
  <c r="E628" i="1" s="1"/>
  <c r="L627" i="1" a="1"/>
  <c r="L627" i="1" s="1"/>
  <c r="O627" i="1" s="1" a="1"/>
  <c r="O627" i="1" s="1"/>
  <c r="J627" i="1" a="1"/>
  <c r="J627" i="1" s="1"/>
  <c r="K627" i="1" s="1" a="1"/>
  <c r="K627" i="1" s="1"/>
  <c r="N627" i="1" s="1" a="1"/>
  <c r="N627" i="1" s="1"/>
  <c r="I627" i="1" a="1"/>
  <c r="I627" i="1" s="1"/>
  <c r="F627" i="1" a="1"/>
  <c r="F627" i="1" s="1"/>
  <c r="E627" i="1" a="1"/>
  <c r="E627" i="1"/>
  <c r="L626" i="1" a="1"/>
  <c r="L626" i="1" s="1"/>
  <c r="K626" i="1" a="1"/>
  <c r="K626" i="1" s="1"/>
  <c r="N626" i="1" s="1" a="1"/>
  <c r="N626" i="1" s="1"/>
  <c r="J626" i="1" a="1"/>
  <c r="J626" i="1" s="1"/>
  <c r="I626" i="1" a="1"/>
  <c r="I626" i="1" s="1"/>
  <c r="F626" i="1" a="1"/>
  <c r="F626" i="1" s="1"/>
  <c r="E626" i="1" a="1"/>
  <c r="E626" i="1" s="1"/>
  <c r="N625" i="1" a="1"/>
  <c r="N625" i="1" s="1"/>
  <c r="L625" i="1" a="1"/>
  <c r="L625" i="1" s="1"/>
  <c r="O625" i="1" s="1" a="1"/>
  <c r="O625" i="1" s="1"/>
  <c r="J625" i="1" a="1"/>
  <c r="J625" i="1" s="1"/>
  <c r="K625" i="1" s="1" a="1"/>
  <c r="K625" i="1" s="1"/>
  <c r="I625" i="1" a="1"/>
  <c r="I625" i="1" s="1"/>
  <c r="F625" i="1" a="1"/>
  <c r="F625" i="1" s="1"/>
  <c r="E625" i="1" a="1"/>
  <c r="E625" i="1"/>
  <c r="L624" i="1" a="1"/>
  <c r="L624" i="1" s="1"/>
  <c r="K624" i="1" a="1"/>
  <c r="K624" i="1" s="1"/>
  <c r="J624" i="1" a="1"/>
  <c r="J624" i="1" s="1"/>
  <c r="I624" i="1" a="1"/>
  <c r="I624" i="1" s="1"/>
  <c r="F624" i="1" a="1"/>
  <c r="F624" i="1" s="1"/>
  <c r="E624" i="1" a="1"/>
  <c r="E624" i="1" s="1"/>
  <c r="L623" i="1" a="1"/>
  <c r="L623" i="1" s="1"/>
  <c r="J623" i="1" a="1"/>
  <c r="J623" i="1" s="1"/>
  <c r="K623" i="1" s="1" a="1"/>
  <c r="K623" i="1" s="1"/>
  <c r="N623" i="1" s="1" a="1"/>
  <c r="N623" i="1" s="1"/>
  <c r="I623" i="1" a="1"/>
  <c r="I623" i="1" s="1"/>
  <c r="F623" i="1" a="1"/>
  <c r="F623" i="1" s="1"/>
  <c r="E623" i="1" a="1"/>
  <c r="E623" i="1"/>
  <c r="L622" i="1" a="1"/>
  <c r="L622" i="1" s="1"/>
  <c r="O622" i="1" s="1" a="1"/>
  <c r="O622" i="1" s="1"/>
  <c r="K622" i="1" a="1"/>
  <c r="K622" i="1" s="1"/>
  <c r="N622" i="1" s="1" a="1"/>
  <c r="N622" i="1" s="1"/>
  <c r="J622" i="1" a="1"/>
  <c r="J622" i="1" s="1"/>
  <c r="I622" i="1" a="1"/>
  <c r="I622" i="1" s="1"/>
  <c r="F622" i="1" a="1"/>
  <c r="F622" i="1" s="1"/>
  <c r="E622" i="1" a="1"/>
  <c r="E622" i="1" s="1"/>
  <c r="L621" i="1" a="1"/>
  <c r="L621" i="1" s="1"/>
  <c r="J621" i="1" a="1"/>
  <c r="J621" i="1" s="1"/>
  <c r="K621" i="1" s="1" a="1"/>
  <c r="K621" i="1" s="1"/>
  <c r="N621" i="1" s="1" a="1"/>
  <c r="N621" i="1" s="1"/>
  <c r="I621" i="1" a="1"/>
  <c r="I621" i="1" s="1"/>
  <c r="F621" i="1" a="1"/>
  <c r="F621" i="1" s="1"/>
  <c r="E621" i="1" a="1"/>
  <c r="E621" i="1"/>
  <c r="L620" i="1" a="1"/>
  <c r="L620" i="1" s="1"/>
  <c r="K620" i="1" a="1"/>
  <c r="K620" i="1" s="1"/>
  <c r="J620" i="1" a="1"/>
  <c r="J620" i="1" s="1"/>
  <c r="I620" i="1" a="1"/>
  <c r="I620" i="1" s="1"/>
  <c r="F620" i="1" a="1"/>
  <c r="F620" i="1" s="1"/>
  <c r="E620" i="1" a="1"/>
  <c r="E620" i="1" s="1"/>
  <c r="L619" i="1" a="1"/>
  <c r="L619" i="1" s="1"/>
  <c r="J619" i="1" a="1"/>
  <c r="J619" i="1" s="1"/>
  <c r="K619" i="1" s="1" a="1"/>
  <c r="K619" i="1" s="1"/>
  <c r="N619" i="1" s="1" a="1"/>
  <c r="N619" i="1" s="1"/>
  <c r="I619" i="1" a="1"/>
  <c r="I619" i="1" s="1"/>
  <c r="F619" i="1" a="1"/>
  <c r="F619" i="1" s="1"/>
  <c r="E619" i="1" a="1"/>
  <c r="E619" i="1"/>
  <c r="L618" i="1" a="1"/>
  <c r="L618" i="1" s="1"/>
  <c r="O618" i="1" s="1" a="1"/>
  <c r="O618" i="1" s="1"/>
  <c r="K618" i="1" a="1"/>
  <c r="K618" i="1" s="1"/>
  <c r="N618" i="1" s="1" a="1"/>
  <c r="N618" i="1" s="1"/>
  <c r="J618" i="1" a="1"/>
  <c r="J618" i="1" s="1"/>
  <c r="I618" i="1" a="1"/>
  <c r="I618" i="1" s="1"/>
  <c r="F618" i="1" a="1"/>
  <c r="F618" i="1" s="1"/>
  <c r="E618" i="1" a="1"/>
  <c r="E618" i="1" s="1"/>
  <c r="L617" i="1" a="1"/>
  <c r="L617" i="1" s="1"/>
  <c r="O617" i="1" s="1" a="1"/>
  <c r="O617" i="1" s="1"/>
  <c r="J617" i="1" a="1"/>
  <c r="J617" i="1" s="1"/>
  <c r="K617" i="1" s="1" a="1"/>
  <c r="K617" i="1" s="1"/>
  <c r="N617" i="1" s="1" a="1"/>
  <c r="N617" i="1" s="1"/>
  <c r="I617" i="1" a="1"/>
  <c r="I617" i="1" s="1"/>
  <c r="F617" i="1" a="1"/>
  <c r="F617" i="1" s="1"/>
  <c r="E617" i="1" a="1"/>
  <c r="E617" i="1"/>
  <c r="L616" i="1" a="1"/>
  <c r="L616" i="1" s="1"/>
  <c r="K616" i="1" a="1"/>
  <c r="K616" i="1" s="1"/>
  <c r="J616" i="1" a="1"/>
  <c r="J616" i="1" s="1"/>
  <c r="I616" i="1" a="1"/>
  <c r="I616" i="1" s="1"/>
  <c r="F616" i="1" a="1"/>
  <c r="F616" i="1" s="1"/>
  <c r="E616" i="1" a="1"/>
  <c r="E616" i="1" s="1"/>
  <c r="L615" i="1" a="1"/>
  <c r="L615" i="1" s="1"/>
  <c r="J615" i="1" a="1"/>
  <c r="J615" i="1" s="1"/>
  <c r="K615" i="1" s="1" a="1"/>
  <c r="K615" i="1" s="1"/>
  <c r="N615" i="1" s="1" a="1"/>
  <c r="N615" i="1" s="1"/>
  <c r="I615" i="1" a="1"/>
  <c r="I615" i="1" s="1"/>
  <c r="F615" i="1" a="1"/>
  <c r="F615" i="1" s="1"/>
  <c r="E615" i="1" a="1"/>
  <c r="E615" i="1"/>
  <c r="L614" i="1" a="1"/>
  <c r="L614" i="1" s="1"/>
  <c r="K614" i="1" a="1"/>
  <c r="K614" i="1" s="1"/>
  <c r="N614" i="1" s="1" a="1"/>
  <c r="N614" i="1" s="1"/>
  <c r="J614" i="1" a="1"/>
  <c r="J614" i="1" s="1"/>
  <c r="I614" i="1" a="1"/>
  <c r="I614" i="1" s="1"/>
  <c r="F614" i="1" a="1"/>
  <c r="F614" i="1" s="1"/>
  <c r="E614" i="1" a="1"/>
  <c r="E614" i="1" s="1"/>
  <c r="N613" i="1" a="1"/>
  <c r="N613" i="1" s="1"/>
  <c r="L613" i="1" a="1"/>
  <c r="L613" i="1" s="1"/>
  <c r="O613" i="1" s="1" a="1"/>
  <c r="O613" i="1" s="1"/>
  <c r="J613" i="1" a="1"/>
  <c r="J613" i="1" s="1"/>
  <c r="K613" i="1" s="1" a="1"/>
  <c r="K613" i="1" s="1"/>
  <c r="I613" i="1" a="1"/>
  <c r="I613" i="1" s="1"/>
  <c r="F613" i="1" a="1"/>
  <c r="F613" i="1" s="1"/>
  <c r="E613" i="1" a="1"/>
  <c r="E613" i="1"/>
  <c r="L612" i="1" a="1"/>
  <c r="L612" i="1" s="1"/>
  <c r="K612" i="1" a="1"/>
  <c r="K612" i="1" s="1"/>
  <c r="J612" i="1" a="1"/>
  <c r="J612" i="1" s="1"/>
  <c r="I612" i="1" a="1"/>
  <c r="I612" i="1" s="1"/>
  <c r="F612" i="1" a="1"/>
  <c r="F612" i="1" s="1"/>
  <c r="E612" i="1" a="1"/>
  <c r="E612" i="1" s="1"/>
  <c r="L611" i="1" a="1"/>
  <c r="L611" i="1" s="1"/>
  <c r="O611" i="1" s="1" a="1"/>
  <c r="O611" i="1" s="1"/>
  <c r="J611" i="1" a="1"/>
  <c r="J611" i="1" s="1"/>
  <c r="K611" i="1" s="1" a="1"/>
  <c r="K611" i="1" s="1"/>
  <c r="N611" i="1" s="1" a="1"/>
  <c r="N611" i="1" s="1"/>
  <c r="I611" i="1" a="1"/>
  <c r="I611" i="1" s="1"/>
  <c r="F611" i="1" a="1"/>
  <c r="F611" i="1" s="1"/>
  <c r="E611" i="1" a="1"/>
  <c r="E611" i="1"/>
  <c r="L610" i="1" a="1"/>
  <c r="L610" i="1" s="1"/>
  <c r="K610" i="1" a="1"/>
  <c r="K610" i="1" s="1"/>
  <c r="N610" i="1" s="1" a="1"/>
  <c r="N610" i="1" s="1"/>
  <c r="J610" i="1" a="1"/>
  <c r="J610" i="1" s="1"/>
  <c r="I610" i="1" a="1"/>
  <c r="I610" i="1" s="1"/>
  <c r="F610" i="1" a="1"/>
  <c r="F610" i="1" s="1"/>
  <c r="E610" i="1" a="1"/>
  <c r="E610" i="1" s="1"/>
  <c r="N609" i="1" a="1"/>
  <c r="N609" i="1" s="1"/>
  <c r="L609" i="1" a="1"/>
  <c r="L609" i="1" s="1"/>
  <c r="J609" i="1" a="1"/>
  <c r="J609" i="1" s="1"/>
  <c r="K609" i="1" s="1" a="1"/>
  <c r="K609" i="1" s="1"/>
  <c r="I609" i="1" a="1"/>
  <c r="I609" i="1" s="1"/>
  <c r="F609" i="1" a="1"/>
  <c r="F609" i="1" s="1"/>
  <c r="E609" i="1" a="1"/>
  <c r="E609" i="1"/>
  <c r="L608" i="1" a="1"/>
  <c r="L608" i="1" s="1"/>
  <c r="K608" i="1" a="1"/>
  <c r="K608" i="1" s="1"/>
  <c r="J608" i="1" a="1"/>
  <c r="J608" i="1" s="1"/>
  <c r="I608" i="1" a="1"/>
  <c r="I608" i="1" s="1"/>
  <c r="F608" i="1" a="1"/>
  <c r="F608" i="1" s="1"/>
  <c r="E608" i="1" a="1"/>
  <c r="E608" i="1" s="1"/>
  <c r="L607" i="1" a="1"/>
  <c r="L607" i="1" s="1"/>
  <c r="O607" i="1" s="1" a="1"/>
  <c r="O607" i="1" s="1"/>
  <c r="J607" i="1" a="1"/>
  <c r="J607" i="1" s="1"/>
  <c r="K607" i="1" s="1" a="1"/>
  <c r="K607" i="1" s="1"/>
  <c r="N607" i="1" s="1" a="1"/>
  <c r="N607" i="1" s="1"/>
  <c r="I607" i="1" a="1"/>
  <c r="I607" i="1" s="1"/>
  <c r="F607" i="1" a="1"/>
  <c r="F607" i="1" s="1"/>
  <c r="E607" i="1" a="1"/>
  <c r="E607" i="1"/>
  <c r="L606" i="1" a="1"/>
  <c r="L606" i="1" s="1"/>
  <c r="K606" i="1" a="1"/>
  <c r="K606" i="1" s="1"/>
  <c r="N606" i="1" s="1" a="1"/>
  <c r="N606" i="1" s="1"/>
  <c r="J606" i="1" a="1"/>
  <c r="J606" i="1" s="1"/>
  <c r="I606" i="1" a="1"/>
  <c r="I606" i="1" s="1"/>
  <c r="F606" i="1" a="1"/>
  <c r="F606" i="1" s="1"/>
  <c r="E606" i="1" a="1"/>
  <c r="E606" i="1" s="1"/>
  <c r="L605" i="1" a="1"/>
  <c r="L605" i="1" s="1"/>
  <c r="J605" i="1" a="1"/>
  <c r="J605" i="1" s="1"/>
  <c r="K605" i="1" s="1" a="1"/>
  <c r="K605" i="1" s="1"/>
  <c r="N605" i="1" s="1" a="1"/>
  <c r="N605" i="1" s="1"/>
  <c r="I605" i="1" a="1"/>
  <c r="I605" i="1" s="1"/>
  <c r="F605" i="1" a="1"/>
  <c r="F605" i="1" s="1"/>
  <c r="E605" i="1" a="1"/>
  <c r="E605" i="1"/>
  <c r="L604" i="1" a="1"/>
  <c r="L604" i="1" s="1"/>
  <c r="K604" i="1" a="1"/>
  <c r="K604" i="1" s="1"/>
  <c r="J604" i="1" a="1"/>
  <c r="J604" i="1" s="1"/>
  <c r="I604" i="1" a="1"/>
  <c r="I604" i="1" s="1"/>
  <c r="F604" i="1" a="1"/>
  <c r="F604" i="1" s="1"/>
  <c r="E604" i="1" a="1"/>
  <c r="E604" i="1" s="1"/>
  <c r="L603" i="1" a="1"/>
  <c r="L603" i="1" s="1"/>
  <c r="J603" i="1" a="1"/>
  <c r="J603" i="1" s="1"/>
  <c r="K603" i="1" s="1" a="1"/>
  <c r="K603" i="1" s="1"/>
  <c r="N603" i="1" s="1" a="1"/>
  <c r="N603" i="1" s="1"/>
  <c r="I603" i="1" a="1"/>
  <c r="I603" i="1" s="1"/>
  <c r="F603" i="1" a="1"/>
  <c r="F603" i="1" s="1"/>
  <c r="E603" i="1" a="1"/>
  <c r="E603" i="1"/>
  <c r="L602" i="1" a="1"/>
  <c r="L602" i="1" s="1"/>
  <c r="O602" i="1" s="1" a="1"/>
  <c r="O602" i="1" s="1"/>
  <c r="K602" i="1" a="1"/>
  <c r="K602" i="1" s="1"/>
  <c r="N602" i="1" s="1" a="1"/>
  <c r="N602" i="1" s="1"/>
  <c r="J602" i="1" a="1"/>
  <c r="J602" i="1" s="1"/>
  <c r="I602" i="1" a="1"/>
  <c r="I602" i="1" s="1"/>
  <c r="F602" i="1" a="1"/>
  <c r="F602" i="1" s="1"/>
  <c r="E602" i="1" a="1"/>
  <c r="E602" i="1" s="1"/>
  <c r="L601" i="1" a="1"/>
  <c r="L601" i="1" s="1"/>
  <c r="J601" i="1" a="1"/>
  <c r="J601" i="1" s="1"/>
  <c r="K601" i="1" s="1" a="1"/>
  <c r="K601" i="1" s="1"/>
  <c r="N601" i="1" s="1" a="1"/>
  <c r="N601" i="1" s="1"/>
  <c r="I601" i="1" a="1"/>
  <c r="I601" i="1" s="1"/>
  <c r="F601" i="1" a="1"/>
  <c r="F601" i="1"/>
  <c r="E601" i="1" a="1"/>
  <c r="E601" i="1" s="1"/>
  <c r="L600" i="1" a="1"/>
  <c r="L600" i="1" s="1"/>
  <c r="J600" i="1" a="1"/>
  <c r="J600" i="1" s="1"/>
  <c r="K600" i="1" s="1" a="1"/>
  <c r="K600" i="1" s="1"/>
  <c r="N600" i="1" s="1" a="1"/>
  <c r="N600" i="1" s="1"/>
  <c r="I600" i="1" a="1"/>
  <c r="I600" i="1" s="1"/>
  <c r="F600" i="1" a="1"/>
  <c r="F600" i="1"/>
  <c r="E600" i="1" a="1"/>
  <c r="E600" i="1" s="1"/>
  <c r="N599" i="1" a="1"/>
  <c r="N599" i="1" s="1"/>
  <c r="L599" i="1" a="1"/>
  <c r="L599" i="1" s="1"/>
  <c r="J599" i="1" a="1"/>
  <c r="J599" i="1" s="1"/>
  <c r="K599" i="1" s="1" a="1"/>
  <c r="K599" i="1" s="1"/>
  <c r="I599" i="1" a="1"/>
  <c r="I599" i="1" s="1"/>
  <c r="F599" i="1" a="1"/>
  <c r="F599" i="1"/>
  <c r="E599" i="1" a="1"/>
  <c r="E599" i="1" s="1"/>
  <c r="L598" i="1" a="1"/>
  <c r="L598" i="1" s="1"/>
  <c r="O598" i="1" s="1" a="1"/>
  <c r="O598" i="1" s="1"/>
  <c r="K598" i="1"/>
  <c r="N598" i="1" s="1" a="1"/>
  <c r="N598" i="1" s="1"/>
  <c r="J598" i="1" a="1"/>
  <c r="J598" i="1" s="1"/>
  <c r="K598" i="1" s="1" a="1"/>
  <c r="I598" i="1" a="1"/>
  <c r="I598" i="1" s="1"/>
  <c r="F598" i="1" a="1"/>
  <c r="F598" i="1"/>
  <c r="E598" i="1" a="1"/>
  <c r="E598" i="1" s="1"/>
  <c r="L597" i="1" a="1"/>
  <c r="L597" i="1" s="1"/>
  <c r="O597" i="1" s="1" a="1"/>
  <c r="O597" i="1" s="1"/>
  <c r="J597" i="1" a="1"/>
  <c r="J597" i="1" s="1"/>
  <c r="K597" i="1" s="1" a="1"/>
  <c r="K597" i="1" s="1"/>
  <c r="N597" i="1" s="1" a="1"/>
  <c r="N597" i="1" s="1"/>
  <c r="I597" i="1" a="1"/>
  <c r="I597" i="1" s="1"/>
  <c r="F597" i="1" a="1"/>
  <c r="F597" i="1"/>
  <c r="E597" i="1" a="1"/>
  <c r="E597" i="1" s="1"/>
  <c r="L596" i="1" a="1"/>
  <c r="L596" i="1" s="1"/>
  <c r="J596" i="1" a="1"/>
  <c r="J596" i="1" s="1"/>
  <c r="K596" i="1" s="1" a="1"/>
  <c r="K596" i="1" s="1"/>
  <c r="N596" i="1" s="1" a="1"/>
  <c r="N596" i="1" s="1"/>
  <c r="I596" i="1" a="1"/>
  <c r="I596" i="1" s="1"/>
  <c r="F596" i="1" a="1"/>
  <c r="F596" i="1"/>
  <c r="E596" i="1" a="1"/>
  <c r="E596" i="1" s="1"/>
  <c r="N595" i="1" a="1"/>
  <c r="N595" i="1" s="1"/>
  <c r="L595" i="1" a="1"/>
  <c r="L595" i="1" s="1"/>
  <c r="O595" i="1" s="1" a="1"/>
  <c r="O595" i="1" s="1"/>
  <c r="J595" i="1" a="1"/>
  <c r="J595" i="1" s="1"/>
  <c r="K595" i="1" s="1" a="1"/>
  <c r="K595" i="1" s="1"/>
  <c r="I595" i="1" a="1"/>
  <c r="I595" i="1" s="1"/>
  <c r="F595" i="1" a="1"/>
  <c r="F595" i="1"/>
  <c r="E595" i="1" a="1"/>
  <c r="E595" i="1" s="1"/>
  <c r="L594" i="1" a="1"/>
  <c r="L594" i="1" s="1"/>
  <c r="K594" i="1"/>
  <c r="N594" i="1" s="1" a="1"/>
  <c r="N594" i="1" s="1"/>
  <c r="J594" i="1" a="1"/>
  <c r="J594" i="1" s="1"/>
  <c r="K594" i="1" s="1" a="1"/>
  <c r="I594" i="1" a="1"/>
  <c r="I594" i="1" s="1"/>
  <c r="F594" i="1" a="1"/>
  <c r="F594" i="1"/>
  <c r="E594" i="1" a="1"/>
  <c r="E594" i="1" s="1"/>
  <c r="L593" i="1" a="1"/>
  <c r="L593" i="1" s="1"/>
  <c r="J593" i="1" a="1"/>
  <c r="J593" i="1" s="1"/>
  <c r="K593" i="1" s="1" a="1"/>
  <c r="K593" i="1" s="1"/>
  <c r="N593" i="1" s="1" a="1"/>
  <c r="N593" i="1" s="1"/>
  <c r="I593" i="1" a="1"/>
  <c r="I593" i="1" s="1"/>
  <c r="F593" i="1" a="1"/>
  <c r="F593" i="1"/>
  <c r="E593" i="1" a="1"/>
  <c r="E593" i="1" s="1"/>
  <c r="L592" i="1" a="1"/>
  <c r="L592" i="1" s="1"/>
  <c r="J592" i="1" a="1"/>
  <c r="J592" i="1" s="1"/>
  <c r="K592" i="1" s="1" a="1"/>
  <c r="K592" i="1" s="1"/>
  <c r="N592" i="1" s="1" a="1"/>
  <c r="N592" i="1" s="1"/>
  <c r="I592" i="1" a="1"/>
  <c r="I592" i="1" s="1"/>
  <c r="F592" i="1" a="1"/>
  <c r="F592" i="1"/>
  <c r="E592" i="1" a="1"/>
  <c r="E592" i="1" s="1"/>
  <c r="N591" i="1" a="1"/>
  <c r="N591" i="1" s="1"/>
  <c r="L591" i="1" a="1"/>
  <c r="L591" i="1" s="1"/>
  <c r="J591" i="1" a="1"/>
  <c r="J591" i="1" s="1"/>
  <c r="K591" i="1" s="1" a="1"/>
  <c r="K591" i="1" s="1"/>
  <c r="I591" i="1" a="1"/>
  <c r="I591" i="1" s="1"/>
  <c r="F591" i="1" a="1"/>
  <c r="F591" i="1"/>
  <c r="E591" i="1" a="1"/>
  <c r="E591" i="1" s="1"/>
  <c r="L590" i="1" a="1"/>
  <c r="L590" i="1" s="1"/>
  <c r="O590" i="1" s="1" a="1"/>
  <c r="O590" i="1" s="1"/>
  <c r="K590" i="1"/>
  <c r="N590" i="1" s="1" a="1"/>
  <c r="N590" i="1" s="1"/>
  <c r="J590" i="1" a="1"/>
  <c r="J590" i="1" s="1"/>
  <c r="K590" i="1" s="1" a="1"/>
  <c r="I590" i="1" a="1"/>
  <c r="I590" i="1"/>
  <c r="F590" i="1" a="1"/>
  <c r="F590" i="1" s="1"/>
  <c r="E590" i="1" a="1"/>
  <c r="E590" i="1"/>
  <c r="L589" i="1" a="1"/>
  <c r="L589" i="1"/>
  <c r="J589" i="1" a="1"/>
  <c r="J589" i="1" s="1"/>
  <c r="I589" i="1" a="1"/>
  <c r="I589" i="1" s="1"/>
  <c r="F589" i="1" a="1"/>
  <c r="F589" i="1"/>
  <c r="E589" i="1" a="1"/>
  <c r="E589" i="1" s="1"/>
  <c r="N588" i="1"/>
  <c r="L588" i="1" a="1"/>
  <c r="L588" i="1" s="1"/>
  <c r="O588" i="1" s="1" a="1"/>
  <c r="O588" i="1" s="1"/>
  <c r="J588" i="1" a="1"/>
  <c r="J588" i="1" s="1"/>
  <c r="K588" i="1" s="1" a="1"/>
  <c r="K588" i="1" s="1"/>
  <c r="N588" i="1" s="1" a="1"/>
  <c r="I588" i="1" a="1"/>
  <c r="I588" i="1"/>
  <c r="F588" i="1" a="1"/>
  <c r="F588" i="1" s="1"/>
  <c r="E588" i="1" a="1"/>
  <c r="E588" i="1"/>
  <c r="L587" i="1" a="1"/>
  <c r="L587" i="1"/>
  <c r="O587" i="1" s="1" a="1"/>
  <c r="O587" i="1" s="1"/>
  <c r="J587" i="1" a="1"/>
  <c r="J587" i="1" s="1"/>
  <c r="I587" i="1" a="1"/>
  <c r="I587" i="1" s="1"/>
  <c r="K587" i="1" s="1" a="1"/>
  <c r="K587" i="1" s="1"/>
  <c r="N587" i="1" s="1" a="1"/>
  <c r="N587" i="1" s="1"/>
  <c r="F587" i="1" a="1"/>
  <c r="F587" i="1"/>
  <c r="E587" i="1" a="1"/>
  <c r="E587" i="1" s="1"/>
  <c r="L586" i="1" a="1"/>
  <c r="L586" i="1" s="1"/>
  <c r="K586" i="1"/>
  <c r="N586" i="1" s="1" a="1"/>
  <c r="N586" i="1" s="1"/>
  <c r="J586" i="1" a="1"/>
  <c r="J586" i="1" s="1"/>
  <c r="K586" i="1" s="1" a="1"/>
  <c r="I586" i="1" a="1"/>
  <c r="I586" i="1"/>
  <c r="F586" i="1" a="1"/>
  <c r="F586" i="1" s="1"/>
  <c r="E586" i="1" a="1"/>
  <c r="E586" i="1"/>
  <c r="L585" i="1" a="1"/>
  <c r="L585" i="1"/>
  <c r="J585" i="1" a="1"/>
  <c r="J585" i="1" s="1"/>
  <c r="I585" i="1" a="1"/>
  <c r="I585" i="1" s="1"/>
  <c r="K585" i="1" s="1" a="1"/>
  <c r="K585" i="1" s="1"/>
  <c r="N585" i="1" s="1" a="1"/>
  <c r="N585" i="1" s="1"/>
  <c r="F585" i="1" a="1"/>
  <c r="F585" i="1"/>
  <c r="E585" i="1" a="1"/>
  <c r="E585" i="1" s="1"/>
  <c r="L584" i="1" a="1"/>
  <c r="L584" i="1" s="1"/>
  <c r="O584" i="1" s="1" a="1"/>
  <c r="O584" i="1" s="1"/>
  <c r="J584" i="1" a="1"/>
  <c r="J584" i="1" s="1"/>
  <c r="K584" i="1" s="1" a="1"/>
  <c r="K584" i="1" s="1"/>
  <c r="N584" i="1" s="1" a="1"/>
  <c r="N584" i="1" s="1"/>
  <c r="I584" i="1" a="1"/>
  <c r="I584" i="1"/>
  <c r="F584" i="1" a="1"/>
  <c r="F584" i="1" s="1"/>
  <c r="E584" i="1" a="1"/>
  <c r="E584" i="1"/>
  <c r="L583" i="1" a="1"/>
  <c r="L583" i="1"/>
  <c r="O583" i="1" s="1" a="1"/>
  <c r="O583" i="1" s="1"/>
  <c r="J583" i="1" a="1"/>
  <c r="J583" i="1" s="1"/>
  <c r="I583" i="1" a="1"/>
  <c r="I583" i="1" s="1"/>
  <c r="K583" i="1" s="1" a="1"/>
  <c r="K583" i="1" s="1"/>
  <c r="N583" i="1" s="1" a="1"/>
  <c r="N583" i="1" s="1"/>
  <c r="F583" i="1" a="1"/>
  <c r="F583" i="1"/>
  <c r="E583" i="1" a="1"/>
  <c r="E583" i="1" s="1"/>
  <c r="L582" i="1" a="1"/>
  <c r="L582" i="1" s="1"/>
  <c r="J582" i="1" a="1"/>
  <c r="J582" i="1" s="1"/>
  <c r="K582" i="1" s="1" a="1"/>
  <c r="K582" i="1" s="1"/>
  <c r="N582" i="1" s="1" a="1"/>
  <c r="N582" i="1" s="1"/>
  <c r="I582" i="1" a="1"/>
  <c r="I582" i="1"/>
  <c r="F582" i="1" a="1"/>
  <c r="F582" i="1" s="1"/>
  <c r="E582" i="1" a="1"/>
  <c r="E582" i="1"/>
  <c r="O581" i="1" a="1"/>
  <c r="O581" i="1" s="1"/>
  <c r="L581" i="1" a="1"/>
  <c r="L581" i="1"/>
  <c r="J581" i="1" a="1"/>
  <c r="J581" i="1" s="1"/>
  <c r="I581" i="1" a="1"/>
  <c r="I581" i="1" s="1"/>
  <c r="K581" i="1" s="1" a="1"/>
  <c r="K581" i="1" s="1"/>
  <c r="N581" i="1" s="1" a="1"/>
  <c r="N581" i="1" s="1"/>
  <c r="F581" i="1" a="1"/>
  <c r="F581" i="1"/>
  <c r="E581" i="1" a="1"/>
  <c r="E581" i="1" s="1"/>
  <c r="L580" i="1" a="1"/>
  <c r="L580" i="1" s="1"/>
  <c r="J580" i="1" a="1"/>
  <c r="J580" i="1" s="1"/>
  <c r="K580" i="1" s="1" a="1"/>
  <c r="K580" i="1" s="1"/>
  <c r="N580" i="1" s="1" a="1"/>
  <c r="N580" i="1" s="1"/>
  <c r="I580" i="1" a="1"/>
  <c r="I580" i="1"/>
  <c r="F580" i="1" a="1"/>
  <c r="F580" i="1" s="1"/>
  <c r="E580" i="1" a="1"/>
  <c r="E580" i="1"/>
  <c r="L579" i="1" a="1"/>
  <c r="L579" i="1"/>
  <c r="J579" i="1" a="1"/>
  <c r="J579" i="1" s="1"/>
  <c r="I579" i="1" a="1"/>
  <c r="I579" i="1" s="1"/>
  <c r="K579" i="1" s="1" a="1"/>
  <c r="K579" i="1" s="1"/>
  <c r="N579" i="1" s="1" a="1"/>
  <c r="N579" i="1" s="1"/>
  <c r="F579" i="1" a="1"/>
  <c r="F579" i="1"/>
  <c r="E579" i="1" a="1"/>
  <c r="E579" i="1" s="1"/>
  <c r="L578" i="1" a="1"/>
  <c r="L578" i="1" s="1"/>
  <c r="O578" i="1" s="1" a="1"/>
  <c r="O578" i="1" s="1"/>
  <c r="K578" i="1"/>
  <c r="N578" i="1" s="1" a="1"/>
  <c r="N578" i="1" s="1"/>
  <c r="J578" i="1" a="1"/>
  <c r="J578" i="1" s="1"/>
  <c r="K578" i="1" s="1" a="1"/>
  <c r="I578" i="1" a="1"/>
  <c r="I578" i="1"/>
  <c r="F578" i="1" a="1"/>
  <c r="F578" i="1" s="1"/>
  <c r="E578" i="1" a="1"/>
  <c r="E578" i="1"/>
  <c r="O577" i="1" a="1"/>
  <c r="O577" i="1" s="1"/>
  <c r="L577" i="1" a="1"/>
  <c r="L577" i="1"/>
  <c r="J577" i="1" a="1"/>
  <c r="J577" i="1" s="1"/>
  <c r="I577" i="1" a="1"/>
  <c r="I577" i="1" s="1"/>
  <c r="K577" i="1" s="1" a="1"/>
  <c r="K577" i="1" s="1"/>
  <c r="N577" i="1" s="1" a="1"/>
  <c r="N577" i="1" s="1"/>
  <c r="F577" i="1" a="1"/>
  <c r="F577" i="1"/>
  <c r="E577" i="1" a="1"/>
  <c r="E577" i="1" s="1"/>
  <c r="N576" i="1"/>
  <c r="L576" i="1" a="1"/>
  <c r="L576" i="1" s="1"/>
  <c r="O576" i="1" s="1" a="1"/>
  <c r="O576" i="1" s="1"/>
  <c r="J576" i="1" a="1"/>
  <c r="J576" i="1" s="1"/>
  <c r="K576" i="1" s="1" a="1"/>
  <c r="K576" i="1" s="1"/>
  <c r="N576" i="1" s="1" a="1"/>
  <c r="I576" i="1" a="1"/>
  <c r="I576" i="1"/>
  <c r="F576" i="1" a="1"/>
  <c r="F576" i="1" s="1"/>
  <c r="E576" i="1" a="1"/>
  <c r="E576" i="1"/>
  <c r="L575" i="1" a="1"/>
  <c r="L575" i="1"/>
  <c r="J575" i="1" a="1"/>
  <c r="J575" i="1" s="1"/>
  <c r="I575" i="1" a="1"/>
  <c r="I575" i="1" s="1"/>
  <c r="K575" i="1" s="1" a="1"/>
  <c r="K575" i="1" s="1"/>
  <c r="N575" i="1" s="1" a="1"/>
  <c r="N575" i="1" s="1"/>
  <c r="F575" i="1" a="1"/>
  <c r="F575" i="1"/>
  <c r="E575" i="1" a="1"/>
  <c r="E575" i="1" s="1"/>
  <c r="L574" i="1" a="1"/>
  <c r="L574" i="1" s="1"/>
  <c r="K574" i="1"/>
  <c r="N574" i="1" s="1" a="1"/>
  <c r="N574" i="1" s="1"/>
  <c r="J574" i="1" a="1"/>
  <c r="J574" i="1" s="1"/>
  <c r="K574" i="1" s="1" a="1"/>
  <c r="I574" i="1" a="1"/>
  <c r="I574" i="1"/>
  <c r="F574" i="1" a="1"/>
  <c r="F574" i="1" s="1"/>
  <c r="E574" i="1" a="1"/>
  <c r="E574" i="1"/>
  <c r="L573" i="1" a="1"/>
  <c r="L573" i="1"/>
  <c r="J573" i="1" a="1"/>
  <c r="J573" i="1" s="1"/>
  <c r="I573" i="1" a="1"/>
  <c r="I573" i="1" s="1"/>
  <c r="K573" i="1" s="1" a="1"/>
  <c r="K573" i="1" s="1"/>
  <c r="N573" i="1" s="1" a="1"/>
  <c r="N573" i="1" s="1"/>
  <c r="F573" i="1" a="1"/>
  <c r="F573" i="1"/>
  <c r="E573" i="1" a="1"/>
  <c r="E573" i="1" s="1"/>
  <c r="N572" i="1"/>
  <c r="L572" i="1" a="1"/>
  <c r="L572" i="1" s="1"/>
  <c r="O572" i="1" s="1" a="1"/>
  <c r="O572" i="1" s="1"/>
  <c r="J572" i="1" a="1"/>
  <c r="J572" i="1" s="1"/>
  <c r="K572" i="1" s="1" a="1"/>
  <c r="K572" i="1" s="1"/>
  <c r="N572" i="1" s="1" a="1"/>
  <c r="I572" i="1" a="1"/>
  <c r="I572" i="1"/>
  <c r="F572" i="1" a="1"/>
  <c r="F572" i="1" s="1"/>
  <c r="E572" i="1" a="1"/>
  <c r="E572" i="1"/>
  <c r="L571" i="1" a="1"/>
  <c r="L571" i="1"/>
  <c r="O571" i="1" s="1" a="1"/>
  <c r="O571" i="1" s="1"/>
  <c r="J571" i="1" a="1"/>
  <c r="J571" i="1" s="1"/>
  <c r="I571" i="1" a="1"/>
  <c r="I571" i="1" s="1"/>
  <c r="K571" i="1" s="1" a="1"/>
  <c r="K571" i="1" s="1"/>
  <c r="N571" i="1" s="1" a="1"/>
  <c r="N571" i="1" s="1"/>
  <c r="F571" i="1" a="1"/>
  <c r="F571" i="1"/>
  <c r="E571" i="1" a="1"/>
  <c r="E571" i="1" s="1"/>
  <c r="L570" i="1" a="1"/>
  <c r="L570" i="1" s="1"/>
  <c r="J570" i="1" a="1"/>
  <c r="J570" i="1" s="1"/>
  <c r="K570" i="1" s="1" a="1"/>
  <c r="K570" i="1" s="1"/>
  <c r="N570" i="1" s="1" a="1"/>
  <c r="N570" i="1" s="1"/>
  <c r="I570" i="1" a="1"/>
  <c r="I570" i="1"/>
  <c r="F570" i="1" a="1"/>
  <c r="F570" i="1" s="1"/>
  <c r="E570" i="1" a="1"/>
  <c r="E570" i="1"/>
  <c r="O569" i="1" a="1"/>
  <c r="O569" i="1" s="1"/>
  <c r="L569" i="1" a="1"/>
  <c r="L569" i="1"/>
  <c r="J569" i="1" a="1"/>
  <c r="J569" i="1" s="1"/>
  <c r="I569" i="1" a="1"/>
  <c r="I569" i="1" s="1"/>
  <c r="K569" i="1" s="1" a="1"/>
  <c r="K569" i="1" s="1"/>
  <c r="N569" i="1" s="1" a="1"/>
  <c r="N569" i="1" s="1"/>
  <c r="F569" i="1" a="1"/>
  <c r="F569" i="1"/>
  <c r="E569" i="1" a="1"/>
  <c r="E569" i="1" s="1"/>
  <c r="L568" i="1" a="1"/>
  <c r="L568" i="1" s="1"/>
  <c r="J568" i="1" a="1"/>
  <c r="J568" i="1" s="1"/>
  <c r="K568" i="1" s="1" a="1"/>
  <c r="K568" i="1" s="1"/>
  <c r="N568" i="1" s="1" a="1"/>
  <c r="N568" i="1" s="1"/>
  <c r="I568" i="1" a="1"/>
  <c r="I568" i="1"/>
  <c r="F568" i="1" a="1"/>
  <c r="F568" i="1" s="1"/>
  <c r="E568" i="1" a="1"/>
  <c r="E568" i="1"/>
  <c r="L567" i="1" a="1"/>
  <c r="L567" i="1"/>
  <c r="O567" i="1" s="1" a="1"/>
  <c r="O567" i="1" s="1"/>
  <c r="J567" i="1" a="1"/>
  <c r="J567" i="1" s="1"/>
  <c r="I567" i="1" a="1"/>
  <c r="I567" i="1" s="1"/>
  <c r="K567" i="1" s="1" a="1"/>
  <c r="K567" i="1" s="1"/>
  <c r="N567" i="1" s="1" a="1"/>
  <c r="N567" i="1" s="1"/>
  <c r="F567" i="1" a="1"/>
  <c r="F567" i="1"/>
  <c r="E567" i="1" a="1"/>
  <c r="E567" i="1" s="1"/>
  <c r="L566" i="1" a="1"/>
  <c r="L566" i="1" s="1"/>
  <c r="J566" i="1" a="1"/>
  <c r="J566" i="1" s="1"/>
  <c r="K566" i="1" s="1" a="1"/>
  <c r="K566" i="1" s="1"/>
  <c r="N566" i="1" s="1" a="1"/>
  <c r="N566" i="1" s="1"/>
  <c r="I566" i="1" a="1"/>
  <c r="I566" i="1"/>
  <c r="F566" i="1" a="1"/>
  <c r="F566" i="1" s="1"/>
  <c r="E566" i="1" a="1"/>
  <c r="E566" i="1"/>
  <c r="L565" i="1" a="1"/>
  <c r="L565" i="1"/>
  <c r="J565" i="1" a="1"/>
  <c r="J565" i="1" s="1"/>
  <c r="I565" i="1" a="1"/>
  <c r="I565" i="1" s="1"/>
  <c r="K565" i="1" s="1" a="1"/>
  <c r="K565" i="1" s="1"/>
  <c r="N565" i="1" s="1" a="1"/>
  <c r="N565" i="1" s="1"/>
  <c r="F565" i="1" a="1"/>
  <c r="F565" i="1"/>
  <c r="E565" i="1" a="1"/>
  <c r="E565" i="1" s="1"/>
  <c r="L564" i="1" a="1"/>
  <c r="L564" i="1" s="1"/>
  <c r="J564" i="1" a="1"/>
  <c r="J564" i="1" s="1"/>
  <c r="K564" i="1" s="1" a="1"/>
  <c r="K564" i="1" s="1"/>
  <c r="N564" i="1" s="1" a="1"/>
  <c r="N564" i="1" s="1"/>
  <c r="I564" i="1" a="1"/>
  <c r="I564" i="1"/>
  <c r="F564" i="1" a="1"/>
  <c r="F564" i="1" s="1"/>
  <c r="E564" i="1" a="1"/>
  <c r="E564" i="1"/>
  <c r="L563" i="1" a="1"/>
  <c r="L563" i="1"/>
  <c r="J563" i="1" a="1"/>
  <c r="J563" i="1" s="1"/>
  <c r="I563" i="1" a="1"/>
  <c r="I563" i="1" s="1"/>
  <c r="K563" i="1" s="1" a="1"/>
  <c r="K563" i="1" s="1"/>
  <c r="N563" i="1" s="1" a="1"/>
  <c r="N563" i="1" s="1"/>
  <c r="F563" i="1" a="1"/>
  <c r="F563" i="1"/>
  <c r="E563" i="1" a="1"/>
  <c r="E563" i="1" s="1"/>
  <c r="L562" i="1" a="1"/>
  <c r="L562" i="1" s="1"/>
  <c r="J562" i="1" a="1"/>
  <c r="J562" i="1" s="1"/>
  <c r="K562" i="1" s="1" a="1"/>
  <c r="K562" i="1" s="1"/>
  <c r="N562" i="1" s="1" a="1"/>
  <c r="N562" i="1" s="1"/>
  <c r="I562" i="1" a="1"/>
  <c r="I562" i="1"/>
  <c r="F562" i="1" a="1"/>
  <c r="F562" i="1" s="1"/>
  <c r="E562" i="1" a="1"/>
  <c r="E562" i="1"/>
  <c r="L561" i="1" a="1"/>
  <c r="L561" i="1"/>
  <c r="J561" i="1" a="1"/>
  <c r="J561" i="1" s="1"/>
  <c r="I561" i="1" a="1"/>
  <c r="I561" i="1" s="1"/>
  <c r="K561" i="1" s="1" a="1"/>
  <c r="K561" i="1" s="1"/>
  <c r="F561" i="1" a="1"/>
  <c r="F561" i="1"/>
  <c r="E561" i="1" a="1"/>
  <c r="E561" i="1" s="1"/>
  <c r="N560" i="1"/>
  <c r="L560" i="1" a="1"/>
  <c r="L560" i="1" s="1"/>
  <c r="J560" i="1" a="1"/>
  <c r="J560" i="1" s="1"/>
  <c r="K560" i="1" s="1" a="1"/>
  <c r="K560" i="1" s="1"/>
  <c r="N560" i="1" s="1" a="1"/>
  <c r="I560" i="1" a="1"/>
  <c r="I560" i="1"/>
  <c r="F560" i="1" a="1"/>
  <c r="F560" i="1" s="1"/>
  <c r="E560" i="1" a="1"/>
  <c r="E560" i="1"/>
  <c r="L559" i="1" a="1"/>
  <c r="L559" i="1"/>
  <c r="J559" i="1" a="1"/>
  <c r="J559" i="1" s="1"/>
  <c r="I559" i="1" a="1"/>
  <c r="I559" i="1" s="1"/>
  <c r="K559" i="1" s="1" a="1"/>
  <c r="K559" i="1" s="1"/>
  <c r="N559" i="1" s="1" a="1"/>
  <c r="N559" i="1" s="1"/>
  <c r="F559" i="1" a="1"/>
  <c r="F559" i="1"/>
  <c r="E559" i="1" a="1"/>
  <c r="E559" i="1" s="1"/>
  <c r="L558" i="1" a="1"/>
  <c r="L558" i="1" s="1"/>
  <c r="O558" i="1" s="1" a="1"/>
  <c r="O558" i="1" s="1"/>
  <c r="K558" i="1"/>
  <c r="N558" i="1" s="1" a="1"/>
  <c r="N558" i="1" s="1"/>
  <c r="J558" i="1" a="1"/>
  <c r="J558" i="1" s="1"/>
  <c r="K558" i="1" s="1" a="1"/>
  <c r="I558" i="1" a="1"/>
  <c r="I558" i="1"/>
  <c r="F558" i="1" a="1"/>
  <c r="F558" i="1" s="1"/>
  <c r="E558" i="1" a="1"/>
  <c r="E558" i="1"/>
  <c r="L557" i="1" a="1"/>
  <c r="L557" i="1"/>
  <c r="J557" i="1" a="1"/>
  <c r="J557" i="1" s="1"/>
  <c r="I557" i="1" a="1"/>
  <c r="I557" i="1" s="1"/>
  <c r="K557" i="1" s="1" a="1"/>
  <c r="K557" i="1" s="1"/>
  <c r="N557" i="1" s="1" a="1"/>
  <c r="N557" i="1" s="1"/>
  <c r="F557" i="1" a="1"/>
  <c r="F557" i="1"/>
  <c r="E557" i="1" a="1"/>
  <c r="E557" i="1" s="1"/>
  <c r="O556" i="1" a="1"/>
  <c r="O556" i="1" s="1"/>
  <c r="L556" i="1" a="1"/>
  <c r="L556" i="1" s="1"/>
  <c r="K556" i="1" a="1"/>
  <c r="K556" i="1"/>
  <c r="N556" i="1" s="1" a="1"/>
  <c r="N556" i="1" s="1"/>
  <c r="J556" i="1" a="1"/>
  <c r="J556" i="1" s="1"/>
  <c r="I556" i="1" a="1"/>
  <c r="I556" i="1"/>
  <c r="F556" i="1" a="1"/>
  <c r="F556" i="1" s="1"/>
  <c r="E556" i="1" a="1"/>
  <c r="E556" i="1"/>
  <c r="L555" i="1" a="1"/>
  <c r="L555" i="1" s="1"/>
  <c r="J555" i="1" a="1"/>
  <c r="J555" i="1" s="1"/>
  <c r="K555" i="1" s="1" a="1"/>
  <c r="K555" i="1" s="1"/>
  <c r="N555" i="1" s="1" a="1"/>
  <c r="N555" i="1" s="1"/>
  <c r="I555" i="1" a="1"/>
  <c r="I555" i="1"/>
  <c r="F555" i="1" a="1"/>
  <c r="F555" i="1" s="1"/>
  <c r="E555" i="1" a="1"/>
  <c r="E555" i="1" s="1"/>
  <c r="L554" i="1" a="1"/>
  <c r="L554" i="1"/>
  <c r="J554" i="1" a="1"/>
  <c r="J554" i="1"/>
  <c r="I554" i="1" a="1"/>
  <c r="I554" i="1" s="1"/>
  <c r="K554" i="1" s="1" a="1"/>
  <c r="K554" i="1" s="1"/>
  <c r="N554" i="1" s="1" a="1"/>
  <c r="N554" i="1" s="1"/>
  <c r="F554" i="1" a="1"/>
  <c r="F554" i="1"/>
  <c r="E554" i="1" a="1"/>
  <c r="E554" i="1" s="1"/>
  <c r="L553" i="1" a="1"/>
  <c r="L553" i="1" s="1"/>
  <c r="J553" i="1" a="1"/>
  <c r="J553" i="1" s="1"/>
  <c r="K553" i="1" s="1" a="1"/>
  <c r="K553" i="1" s="1"/>
  <c r="N553" i="1" s="1" a="1"/>
  <c r="N553" i="1" s="1"/>
  <c r="I553" i="1" a="1"/>
  <c r="I553" i="1"/>
  <c r="F553" i="1" a="1"/>
  <c r="F553" i="1" s="1"/>
  <c r="E553" i="1" a="1"/>
  <c r="E553" i="1" s="1"/>
  <c r="L552" i="1" a="1"/>
  <c r="L552" i="1"/>
  <c r="J552" i="1" a="1"/>
  <c r="J552" i="1"/>
  <c r="I552" i="1" a="1"/>
  <c r="I552" i="1" s="1"/>
  <c r="K552" i="1" s="1" a="1"/>
  <c r="K552" i="1" s="1"/>
  <c r="N552" i="1" s="1" a="1"/>
  <c r="N552" i="1" s="1"/>
  <c r="F552" i="1" a="1"/>
  <c r="F552" i="1"/>
  <c r="E552" i="1" a="1"/>
  <c r="E552" i="1" s="1"/>
  <c r="N551" i="1"/>
  <c r="L551" i="1" a="1"/>
  <c r="L551" i="1" s="1"/>
  <c r="J551" i="1" a="1"/>
  <c r="J551" i="1" s="1"/>
  <c r="K551" i="1" s="1" a="1"/>
  <c r="K551" i="1" s="1"/>
  <c r="N551" i="1" s="1" a="1"/>
  <c r="I551" i="1" a="1"/>
  <c r="I551" i="1"/>
  <c r="F551" i="1" a="1"/>
  <c r="F551" i="1" s="1"/>
  <c r="E551" i="1" a="1"/>
  <c r="E551" i="1"/>
  <c r="O550" i="1" a="1"/>
  <c r="O550" i="1" s="1"/>
  <c r="L550" i="1" a="1"/>
  <c r="L550" i="1" s="1"/>
  <c r="J550" i="1" a="1"/>
  <c r="J550" i="1" s="1"/>
  <c r="K550" i="1" s="1" a="1"/>
  <c r="K550" i="1" s="1"/>
  <c r="N550" i="1" s="1" a="1"/>
  <c r="N550" i="1" s="1"/>
  <c r="I550" i="1" a="1"/>
  <c r="I550" i="1"/>
  <c r="F550" i="1" a="1"/>
  <c r="F550" i="1" s="1"/>
  <c r="E550" i="1" a="1"/>
  <c r="E550" i="1"/>
  <c r="O549" i="1" a="1"/>
  <c r="O549" i="1" s="1"/>
  <c r="L549" i="1" a="1"/>
  <c r="L549" i="1" s="1"/>
  <c r="J549" i="1" a="1"/>
  <c r="J549" i="1" s="1"/>
  <c r="K549" i="1" s="1" a="1"/>
  <c r="K549" i="1" s="1"/>
  <c r="N549" i="1" s="1" a="1"/>
  <c r="N549" i="1" s="1"/>
  <c r="I549" i="1" a="1"/>
  <c r="I549" i="1"/>
  <c r="F549" i="1" a="1"/>
  <c r="F549" i="1" s="1"/>
  <c r="E549" i="1" a="1"/>
  <c r="E549" i="1"/>
  <c r="O548" i="1" a="1"/>
  <c r="O548" i="1" s="1"/>
  <c r="L548" i="1" a="1"/>
  <c r="L548" i="1" s="1"/>
  <c r="J548" i="1" a="1"/>
  <c r="J548" i="1" s="1"/>
  <c r="K548" i="1" s="1" a="1"/>
  <c r="K548" i="1" s="1"/>
  <c r="N548" i="1" s="1" a="1"/>
  <c r="N548" i="1" s="1"/>
  <c r="I548" i="1" a="1"/>
  <c r="I548" i="1"/>
  <c r="F548" i="1" a="1"/>
  <c r="F548" i="1" s="1"/>
  <c r="E548" i="1" a="1"/>
  <c r="E548" i="1"/>
  <c r="L547" i="1" a="1"/>
  <c r="L547" i="1" s="1"/>
  <c r="J547" i="1" a="1"/>
  <c r="J547" i="1" s="1"/>
  <c r="K547" i="1" s="1" a="1"/>
  <c r="K547" i="1" s="1"/>
  <c r="N547" i="1" s="1" a="1"/>
  <c r="N547" i="1" s="1"/>
  <c r="I547" i="1" a="1"/>
  <c r="I547" i="1"/>
  <c r="F547" i="1" a="1"/>
  <c r="F547" i="1" s="1"/>
  <c r="E547" i="1" a="1"/>
  <c r="E547" i="1"/>
  <c r="L546" i="1" a="1"/>
  <c r="L546" i="1" s="1"/>
  <c r="J546" i="1" a="1"/>
  <c r="J546" i="1" s="1"/>
  <c r="K546" i="1" s="1" a="1"/>
  <c r="K546" i="1" s="1"/>
  <c r="N546" i="1" s="1" a="1"/>
  <c r="N546" i="1" s="1"/>
  <c r="I546" i="1" a="1"/>
  <c r="I546" i="1"/>
  <c r="F546" i="1" a="1"/>
  <c r="F546" i="1" s="1"/>
  <c r="E546" i="1" a="1"/>
  <c r="E546" i="1"/>
  <c r="L545" i="1" a="1"/>
  <c r="L545" i="1" s="1"/>
  <c r="J545" i="1" a="1"/>
  <c r="J545" i="1" s="1"/>
  <c r="K545" i="1" s="1" a="1"/>
  <c r="K545" i="1" s="1"/>
  <c r="N545" i="1" s="1" a="1"/>
  <c r="N545" i="1" s="1"/>
  <c r="I545" i="1" a="1"/>
  <c r="I545" i="1"/>
  <c r="F545" i="1" a="1"/>
  <c r="F545" i="1" s="1"/>
  <c r="E545" i="1" a="1"/>
  <c r="E545" i="1"/>
  <c r="L544" i="1" a="1"/>
  <c r="L544" i="1" s="1"/>
  <c r="J544" i="1" a="1"/>
  <c r="J544" i="1" s="1"/>
  <c r="K544" i="1" s="1" a="1"/>
  <c r="K544" i="1" s="1"/>
  <c r="N544" i="1" s="1" a="1"/>
  <c r="N544" i="1" s="1"/>
  <c r="I544" i="1" a="1"/>
  <c r="I544" i="1"/>
  <c r="F544" i="1" a="1"/>
  <c r="F544" i="1" s="1"/>
  <c r="E544" i="1" a="1"/>
  <c r="E544" i="1"/>
  <c r="L543" i="1" a="1"/>
  <c r="L543" i="1" s="1"/>
  <c r="J543" i="1" a="1"/>
  <c r="J543" i="1" s="1"/>
  <c r="K543" i="1" s="1" a="1"/>
  <c r="K543" i="1" s="1"/>
  <c r="N543" i="1" s="1" a="1"/>
  <c r="N543" i="1" s="1"/>
  <c r="I543" i="1" a="1"/>
  <c r="I543" i="1"/>
  <c r="F543" i="1" a="1"/>
  <c r="F543" i="1" s="1"/>
  <c r="E543" i="1" a="1"/>
  <c r="E543" i="1"/>
  <c r="L542" i="1" a="1"/>
  <c r="L542" i="1" s="1"/>
  <c r="J542" i="1" a="1"/>
  <c r="J542" i="1" s="1"/>
  <c r="K542" i="1" s="1" a="1"/>
  <c r="K542" i="1" s="1"/>
  <c r="N542" i="1" s="1" a="1"/>
  <c r="N542" i="1" s="1"/>
  <c r="I542" i="1" a="1"/>
  <c r="I542" i="1"/>
  <c r="F542" i="1" a="1"/>
  <c r="F542" i="1" s="1"/>
  <c r="E542" i="1" a="1"/>
  <c r="E542" i="1"/>
  <c r="L541" i="1" a="1"/>
  <c r="L541" i="1" s="1"/>
  <c r="J541" i="1" a="1"/>
  <c r="J541" i="1" s="1"/>
  <c r="K541" i="1" s="1" a="1"/>
  <c r="K541" i="1" s="1"/>
  <c r="N541" i="1" s="1" a="1"/>
  <c r="N541" i="1" s="1"/>
  <c r="I541" i="1" a="1"/>
  <c r="I541" i="1"/>
  <c r="F541" i="1" a="1"/>
  <c r="F541" i="1" s="1"/>
  <c r="E541" i="1" a="1"/>
  <c r="E541" i="1"/>
  <c r="L540" i="1" a="1"/>
  <c r="L540" i="1" s="1"/>
  <c r="J540" i="1" a="1"/>
  <c r="J540" i="1" s="1"/>
  <c r="K540" i="1" s="1" a="1"/>
  <c r="K540" i="1" s="1"/>
  <c r="N540" i="1" s="1" a="1"/>
  <c r="N540" i="1" s="1"/>
  <c r="I540" i="1" a="1"/>
  <c r="I540" i="1"/>
  <c r="F540" i="1" a="1"/>
  <c r="F540" i="1" s="1"/>
  <c r="E540" i="1" a="1"/>
  <c r="E540" i="1"/>
  <c r="L539" i="1" a="1"/>
  <c r="L539" i="1" s="1"/>
  <c r="J539" i="1" a="1"/>
  <c r="J539" i="1" s="1"/>
  <c r="K539" i="1" s="1" a="1"/>
  <c r="K539" i="1" s="1"/>
  <c r="N539" i="1" s="1" a="1"/>
  <c r="N539" i="1" s="1"/>
  <c r="I539" i="1" a="1"/>
  <c r="I539" i="1"/>
  <c r="F539" i="1" a="1"/>
  <c r="F539" i="1" s="1"/>
  <c r="E539" i="1" a="1"/>
  <c r="E539" i="1"/>
  <c r="L538" i="1" a="1"/>
  <c r="L538" i="1" s="1"/>
  <c r="J538" i="1" a="1"/>
  <c r="J538" i="1" s="1"/>
  <c r="K538" i="1" s="1" a="1"/>
  <c r="K538" i="1" s="1"/>
  <c r="N538" i="1" s="1" a="1"/>
  <c r="N538" i="1" s="1"/>
  <c r="I538" i="1" a="1"/>
  <c r="I538" i="1"/>
  <c r="F538" i="1" a="1"/>
  <c r="F538" i="1" s="1"/>
  <c r="E538" i="1" a="1"/>
  <c r="E538" i="1"/>
  <c r="L537" i="1" a="1"/>
  <c r="L537" i="1" s="1"/>
  <c r="J537" i="1" a="1"/>
  <c r="J537" i="1" s="1"/>
  <c r="K537" i="1" s="1" a="1"/>
  <c r="K537" i="1" s="1"/>
  <c r="N537" i="1" s="1" a="1"/>
  <c r="N537" i="1" s="1"/>
  <c r="I537" i="1" a="1"/>
  <c r="I537" i="1"/>
  <c r="F537" i="1" a="1"/>
  <c r="F537" i="1" s="1"/>
  <c r="E537" i="1" a="1"/>
  <c r="E537" i="1"/>
  <c r="L536" i="1" a="1"/>
  <c r="L536" i="1" s="1"/>
  <c r="J536" i="1" a="1"/>
  <c r="J536" i="1" s="1"/>
  <c r="K536" i="1" s="1" a="1"/>
  <c r="K536" i="1" s="1"/>
  <c r="N536" i="1" s="1" a="1"/>
  <c r="N536" i="1" s="1"/>
  <c r="I536" i="1" a="1"/>
  <c r="I536" i="1"/>
  <c r="F536" i="1" a="1"/>
  <c r="F536" i="1" s="1"/>
  <c r="E536" i="1" a="1"/>
  <c r="E536" i="1"/>
  <c r="L535" i="1" a="1"/>
  <c r="L535" i="1" s="1"/>
  <c r="J535" i="1" a="1"/>
  <c r="J535" i="1" s="1"/>
  <c r="K535" i="1" s="1" a="1"/>
  <c r="K535" i="1" s="1"/>
  <c r="N535" i="1" s="1" a="1"/>
  <c r="N535" i="1" s="1"/>
  <c r="I535" i="1" a="1"/>
  <c r="I535" i="1"/>
  <c r="F535" i="1" a="1"/>
  <c r="F535" i="1" s="1"/>
  <c r="E535" i="1" a="1"/>
  <c r="E535" i="1"/>
  <c r="L534" i="1" a="1"/>
  <c r="L534" i="1"/>
  <c r="J534" i="1" a="1"/>
  <c r="J534" i="1" s="1"/>
  <c r="K534" i="1" s="1" a="1"/>
  <c r="K534" i="1" s="1"/>
  <c r="N534" i="1" s="1" a="1"/>
  <c r="N534" i="1" s="1"/>
  <c r="I534" i="1" a="1"/>
  <c r="I534" i="1"/>
  <c r="F534" i="1" a="1"/>
  <c r="F534" i="1" s="1"/>
  <c r="E534" i="1" a="1"/>
  <c r="E534" i="1"/>
  <c r="L533" i="1" a="1"/>
  <c r="L533" i="1" s="1"/>
  <c r="O533" i="1" s="1" a="1"/>
  <c r="O533" i="1" s="1"/>
  <c r="J533" i="1" a="1"/>
  <c r="J533" i="1" s="1"/>
  <c r="K533" i="1" s="1" a="1"/>
  <c r="K533" i="1" s="1"/>
  <c r="N533" i="1" s="1" a="1"/>
  <c r="N533" i="1" s="1"/>
  <c r="I533" i="1" a="1"/>
  <c r="I533" i="1"/>
  <c r="F533" i="1" a="1"/>
  <c r="F533" i="1"/>
  <c r="E533" i="1" a="1"/>
  <c r="E533" i="1"/>
  <c r="L532" i="1" a="1"/>
  <c r="L532" i="1"/>
  <c r="O532" i="1" s="1" a="1"/>
  <c r="O532" i="1" s="1"/>
  <c r="J532" i="1" a="1"/>
  <c r="J532" i="1" s="1"/>
  <c r="K532" i="1" s="1" a="1"/>
  <c r="K532" i="1" s="1"/>
  <c r="N532" i="1" s="1" a="1"/>
  <c r="N532" i="1" s="1"/>
  <c r="I532" i="1" a="1"/>
  <c r="I532" i="1"/>
  <c r="F532" i="1" a="1"/>
  <c r="F532" i="1"/>
  <c r="E532" i="1" a="1"/>
  <c r="E532" i="1"/>
  <c r="L531" i="1" a="1"/>
  <c r="L531" i="1" s="1"/>
  <c r="O531" i="1" s="1" a="1"/>
  <c r="O531" i="1" s="1"/>
  <c r="J531" i="1" a="1"/>
  <c r="J531" i="1" s="1"/>
  <c r="K531" i="1" s="1" a="1"/>
  <c r="K531" i="1" s="1"/>
  <c r="N531" i="1" s="1" a="1"/>
  <c r="N531" i="1" s="1"/>
  <c r="I531" i="1" a="1"/>
  <c r="I531" i="1"/>
  <c r="F531" i="1" a="1"/>
  <c r="F531" i="1" s="1"/>
  <c r="E531" i="1" a="1"/>
  <c r="E531" i="1"/>
  <c r="L530" i="1" a="1"/>
  <c r="L530" i="1"/>
  <c r="J530" i="1" a="1"/>
  <c r="J530" i="1" s="1"/>
  <c r="K530" i="1" s="1" a="1"/>
  <c r="K530" i="1" s="1"/>
  <c r="N530" i="1" s="1" a="1"/>
  <c r="N530" i="1" s="1"/>
  <c r="I530" i="1" a="1"/>
  <c r="I530" i="1"/>
  <c r="F530" i="1" a="1"/>
  <c r="F530" i="1" s="1"/>
  <c r="E530" i="1" a="1"/>
  <c r="E530" i="1"/>
  <c r="L529" i="1" a="1"/>
  <c r="L529" i="1" s="1"/>
  <c r="O529" i="1" s="1" a="1"/>
  <c r="O529" i="1" s="1"/>
  <c r="J529" i="1" a="1"/>
  <c r="J529" i="1" s="1"/>
  <c r="K529" i="1" s="1" a="1"/>
  <c r="K529" i="1" s="1"/>
  <c r="N529" i="1" s="1" a="1"/>
  <c r="N529" i="1" s="1"/>
  <c r="I529" i="1" a="1"/>
  <c r="I529" i="1"/>
  <c r="F529" i="1" a="1"/>
  <c r="F529" i="1"/>
  <c r="E529" i="1" a="1"/>
  <c r="E529" i="1"/>
  <c r="L528" i="1" a="1"/>
  <c r="L528" i="1"/>
  <c r="O528" i="1" s="1" a="1"/>
  <c r="O528" i="1" s="1"/>
  <c r="J528" i="1" a="1"/>
  <c r="J528" i="1" s="1"/>
  <c r="K528" i="1" s="1" a="1"/>
  <c r="K528" i="1" s="1"/>
  <c r="N528" i="1" s="1" a="1"/>
  <c r="N528" i="1" s="1"/>
  <c r="I528" i="1" a="1"/>
  <c r="I528" i="1"/>
  <c r="F528" i="1" a="1"/>
  <c r="F528" i="1"/>
  <c r="E528" i="1" a="1"/>
  <c r="E528" i="1"/>
  <c r="L527" i="1" a="1"/>
  <c r="L527" i="1" s="1"/>
  <c r="O527" i="1" s="1" a="1"/>
  <c r="O527" i="1" s="1"/>
  <c r="J527" i="1" a="1"/>
  <c r="J527" i="1" s="1"/>
  <c r="K527" i="1" s="1" a="1"/>
  <c r="K527" i="1" s="1"/>
  <c r="N527" i="1" s="1" a="1"/>
  <c r="N527" i="1" s="1"/>
  <c r="I527" i="1" a="1"/>
  <c r="I527" i="1"/>
  <c r="F527" i="1" a="1"/>
  <c r="F527" i="1" s="1"/>
  <c r="E527" i="1" a="1"/>
  <c r="E527" i="1"/>
  <c r="L526" i="1" a="1"/>
  <c r="L526" i="1"/>
  <c r="J526" i="1" a="1"/>
  <c r="J526" i="1" s="1"/>
  <c r="K526" i="1" s="1" a="1"/>
  <c r="K526" i="1" s="1"/>
  <c r="N526" i="1" s="1" a="1"/>
  <c r="N526" i="1" s="1"/>
  <c r="I526" i="1" a="1"/>
  <c r="I526" i="1"/>
  <c r="F526" i="1" a="1"/>
  <c r="F526" i="1" s="1"/>
  <c r="E526" i="1" a="1"/>
  <c r="E526" i="1"/>
  <c r="L525" i="1" a="1"/>
  <c r="L525" i="1" s="1"/>
  <c r="O525" i="1" s="1" a="1"/>
  <c r="O525" i="1" s="1"/>
  <c r="J525" i="1" a="1"/>
  <c r="J525" i="1" s="1"/>
  <c r="K525" i="1" s="1" a="1"/>
  <c r="K525" i="1" s="1"/>
  <c r="N525" i="1" s="1" a="1"/>
  <c r="N525" i="1" s="1"/>
  <c r="I525" i="1" a="1"/>
  <c r="I525" i="1"/>
  <c r="F525" i="1" a="1"/>
  <c r="F525" i="1"/>
  <c r="E525" i="1" a="1"/>
  <c r="E525" i="1"/>
  <c r="L524" i="1" a="1"/>
  <c r="L524" i="1"/>
  <c r="O524" i="1" s="1" a="1"/>
  <c r="O524" i="1" s="1"/>
  <c r="J524" i="1" a="1"/>
  <c r="J524" i="1" s="1"/>
  <c r="K524" i="1" s="1" a="1"/>
  <c r="K524" i="1" s="1"/>
  <c r="N524" i="1" s="1" a="1"/>
  <c r="N524" i="1" s="1"/>
  <c r="I524" i="1" a="1"/>
  <c r="I524" i="1"/>
  <c r="F524" i="1" a="1"/>
  <c r="F524" i="1"/>
  <c r="E524" i="1" a="1"/>
  <c r="E524" i="1"/>
  <c r="L523" i="1" a="1"/>
  <c r="L523" i="1" s="1"/>
  <c r="O523" i="1" s="1" a="1"/>
  <c r="O523" i="1" s="1"/>
  <c r="J523" i="1" a="1"/>
  <c r="J523" i="1" s="1"/>
  <c r="K523" i="1" s="1" a="1"/>
  <c r="K523" i="1" s="1"/>
  <c r="N523" i="1" s="1" a="1"/>
  <c r="N523" i="1" s="1"/>
  <c r="I523" i="1" a="1"/>
  <c r="I523" i="1"/>
  <c r="F523" i="1" a="1"/>
  <c r="F523" i="1" s="1"/>
  <c r="E523" i="1" a="1"/>
  <c r="E523" i="1"/>
  <c r="L522" i="1" a="1"/>
  <c r="L522" i="1"/>
  <c r="J522" i="1" a="1"/>
  <c r="J522" i="1" s="1"/>
  <c r="K522" i="1" s="1" a="1"/>
  <c r="K522" i="1" s="1"/>
  <c r="N522" i="1" s="1" a="1"/>
  <c r="N522" i="1" s="1"/>
  <c r="I522" i="1" a="1"/>
  <c r="I522" i="1"/>
  <c r="F522" i="1" a="1"/>
  <c r="F522" i="1" s="1"/>
  <c r="E522" i="1" a="1"/>
  <c r="E522" i="1"/>
  <c r="L521" i="1" a="1"/>
  <c r="L521" i="1" s="1"/>
  <c r="O521" i="1" s="1" a="1"/>
  <c r="O521" i="1" s="1"/>
  <c r="J521" i="1" a="1"/>
  <c r="J521" i="1" s="1"/>
  <c r="K521" i="1" s="1" a="1"/>
  <c r="K521" i="1" s="1"/>
  <c r="N521" i="1" s="1" a="1"/>
  <c r="N521" i="1" s="1"/>
  <c r="I521" i="1" a="1"/>
  <c r="I521" i="1"/>
  <c r="F521" i="1" a="1"/>
  <c r="F521" i="1"/>
  <c r="E521" i="1" a="1"/>
  <c r="E521" i="1"/>
  <c r="L520" i="1" a="1"/>
  <c r="L520" i="1"/>
  <c r="O520" i="1" s="1" a="1"/>
  <c r="O520" i="1" s="1"/>
  <c r="J520" i="1" a="1"/>
  <c r="J520" i="1" s="1"/>
  <c r="K520" i="1" s="1" a="1"/>
  <c r="K520" i="1" s="1"/>
  <c r="N520" i="1" s="1" a="1"/>
  <c r="N520" i="1" s="1"/>
  <c r="I520" i="1" a="1"/>
  <c r="I520" i="1"/>
  <c r="F520" i="1" a="1"/>
  <c r="F520" i="1"/>
  <c r="E520" i="1" a="1"/>
  <c r="E520" i="1"/>
  <c r="L519" i="1" a="1"/>
  <c r="L519" i="1" s="1"/>
  <c r="O519" i="1" s="1" a="1"/>
  <c r="O519" i="1" s="1"/>
  <c r="J519" i="1" a="1"/>
  <c r="J519" i="1" s="1"/>
  <c r="K519" i="1" s="1" a="1"/>
  <c r="K519" i="1" s="1"/>
  <c r="N519" i="1" s="1" a="1"/>
  <c r="N519" i="1" s="1"/>
  <c r="I519" i="1" a="1"/>
  <c r="I519" i="1"/>
  <c r="F519" i="1" a="1"/>
  <c r="F519" i="1" s="1"/>
  <c r="E519" i="1" a="1"/>
  <c r="E519" i="1"/>
  <c r="L518" i="1" a="1"/>
  <c r="L518" i="1"/>
  <c r="J518" i="1" a="1"/>
  <c r="J518" i="1" s="1"/>
  <c r="K518" i="1" s="1" a="1"/>
  <c r="K518" i="1" s="1"/>
  <c r="N518" i="1" s="1" a="1"/>
  <c r="N518" i="1" s="1"/>
  <c r="I518" i="1" a="1"/>
  <c r="I518" i="1"/>
  <c r="F518" i="1" a="1"/>
  <c r="F518" i="1" s="1"/>
  <c r="E518" i="1" a="1"/>
  <c r="E518" i="1"/>
  <c r="L517" i="1" a="1"/>
  <c r="L517" i="1" s="1"/>
  <c r="O517" i="1" s="1" a="1"/>
  <c r="O517" i="1" s="1"/>
  <c r="J517" i="1" a="1"/>
  <c r="J517" i="1" s="1"/>
  <c r="K517" i="1" s="1" a="1"/>
  <c r="K517" i="1" s="1"/>
  <c r="N517" i="1" s="1" a="1"/>
  <c r="N517" i="1" s="1"/>
  <c r="I517" i="1" a="1"/>
  <c r="I517" i="1"/>
  <c r="F517" i="1" a="1"/>
  <c r="F517" i="1"/>
  <c r="E517" i="1" a="1"/>
  <c r="E517" i="1"/>
  <c r="L516" i="1" a="1"/>
  <c r="L516" i="1"/>
  <c r="O516" i="1" s="1" a="1"/>
  <c r="O516" i="1" s="1"/>
  <c r="J516" i="1" a="1"/>
  <c r="J516" i="1" s="1"/>
  <c r="K516" i="1" s="1" a="1"/>
  <c r="K516" i="1" s="1"/>
  <c r="N516" i="1" s="1" a="1"/>
  <c r="N516" i="1" s="1"/>
  <c r="I516" i="1" a="1"/>
  <c r="I516" i="1"/>
  <c r="F516" i="1" a="1"/>
  <c r="F516" i="1"/>
  <c r="E516" i="1" a="1"/>
  <c r="E516" i="1"/>
  <c r="L515" i="1" a="1"/>
  <c r="L515" i="1" s="1"/>
  <c r="O515" i="1" s="1" a="1"/>
  <c r="O515" i="1" s="1"/>
  <c r="J515" i="1" a="1"/>
  <c r="J515" i="1" s="1"/>
  <c r="K515" i="1" s="1" a="1"/>
  <c r="K515" i="1" s="1"/>
  <c r="N515" i="1" s="1" a="1"/>
  <c r="N515" i="1" s="1"/>
  <c r="I515" i="1" a="1"/>
  <c r="I515" i="1"/>
  <c r="F515" i="1" a="1"/>
  <c r="F515" i="1" s="1"/>
  <c r="E515" i="1" a="1"/>
  <c r="E515" i="1"/>
  <c r="L514" i="1" a="1"/>
  <c r="L514" i="1"/>
  <c r="J514" i="1" a="1"/>
  <c r="J514" i="1" s="1"/>
  <c r="K514" i="1" s="1" a="1"/>
  <c r="K514" i="1" s="1"/>
  <c r="N514" i="1" s="1" a="1"/>
  <c r="N514" i="1" s="1"/>
  <c r="I514" i="1" a="1"/>
  <c r="I514" i="1"/>
  <c r="F514" i="1" a="1"/>
  <c r="F514" i="1" s="1"/>
  <c r="E514" i="1" a="1"/>
  <c r="E514" i="1"/>
  <c r="L513" i="1" a="1"/>
  <c r="L513" i="1" s="1"/>
  <c r="O513" i="1" s="1" a="1"/>
  <c r="O513" i="1" s="1"/>
  <c r="J513" i="1" a="1"/>
  <c r="J513" i="1" s="1"/>
  <c r="K513" i="1" s="1" a="1"/>
  <c r="K513" i="1" s="1"/>
  <c r="N513" i="1" s="1" a="1"/>
  <c r="N513" i="1" s="1"/>
  <c r="I513" i="1" a="1"/>
  <c r="I513" i="1"/>
  <c r="F513" i="1" a="1"/>
  <c r="F513" i="1"/>
  <c r="E513" i="1" a="1"/>
  <c r="E513" i="1"/>
  <c r="L512" i="1" a="1"/>
  <c r="L512" i="1"/>
  <c r="O512" i="1" s="1" a="1"/>
  <c r="O512" i="1" s="1"/>
  <c r="J512" i="1" a="1"/>
  <c r="J512" i="1" s="1"/>
  <c r="K512" i="1" s="1" a="1"/>
  <c r="K512" i="1" s="1"/>
  <c r="N512" i="1" s="1" a="1"/>
  <c r="N512" i="1" s="1"/>
  <c r="I512" i="1" a="1"/>
  <c r="I512" i="1"/>
  <c r="F512" i="1" a="1"/>
  <c r="F512" i="1"/>
  <c r="E512" i="1" a="1"/>
  <c r="E512" i="1"/>
  <c r="L511" i="1" a="1"/>
  <c r="L511" i="1" s="1"/>
  <c r="O511" i="1" s="1" a="1"/>
  <c r="O511" i="1" s="1"/>
  <c r="J511" i="1" a="1"/>
  <c r="J511" i="1" s="1"/>
  <c r="K511" i="1" s="1" a="1"/>
  <c r="K511" i="1" s="1"/>
  <c r="N511" i="1" s="1" a="1"/>
  <c r="N511" i="1" s="1"/>
  <c r="I511" i="1" a="1"/>
  <c r="I511" i="1"/>
  <c r="F511" i="1" a="1"/>
  <c r="F511" i="1" s="1"/>
  <c r="E511" i="1" a="1"/>
  <c r="E511" i="1"/>
  <c r="L510" i="1" a="1"/>
  <c r="L510" i="1"/>
  <c r="J510" i="1" a="1"/>
  <c r="J510" i="1" s="1"/>
  <c r="K510" i="1" s="1" a="1"/>
  <c r="K510" i="1" s="1"/>
  <c r="N510" i="1" s="1" a="1"/>
  <c r="N510" i="1" s="1"/>
  <c r="I510" i="1" a="1"/>
  <c r="I510" i="1"/>
  <c r="F510" i="1" a="1"/>
  <c r="F510" i="1" s="1"/>
  <c r="E510" i="1" a="1"/>
  <c r="E510" i="1"/>
  <c r="L509" i="1" a="1"/>
  <c r="L509" i="1" s="1"/>
  <c r="O509" i="1" s="1" a="1"/>
  <c r="O509" i="1" s="1"/>
  <c r="J509" i="1" a="1"/>
  <c r="J509" i="1" s="1"/>
  <c r="K509" i="1" s="1" a="1"/>
  <c r="K509" i="1" s="1"/>
  <c r="N509" i="1" s="1" a="1"/>
  <c r="N509" i="1" s="1"/>
  <c r="I509" i="1" a="1"/>
  <c r="I509" i="1"/>
  <c r="F509" i="1" a="1"/>
  <c r="F509" i="1"/>
  <c r="E509" i="1" a="1"/>
  <c r="E509" i="1"/>
  <c r="L508" i="1" a="1"/>
  <c r="L508" i="1"/>
  <c r="O508" i="1" s="1" a="1"/>
  <c r="O508" i="1" s="1"/>
  <c r="J508" i="1" a="1"/>
  <c r="J508" i="1" s="1"/>
  <c r="K508" i="1" s="1" a="1"/>
  <c r="K508" i="1" s="1"/>
  <c r="N508" i="1" s="1" a="1"/>
  <c r="N508" i="1" s="1"/>
  <c r="I508" i="1" a="1"/>
  <c r="I508" i="1"/>
  <c r="F508" i="1" a="1"/>
  <c r="F508" i="1"/>
  <c r="E508" i="1" a="1"/>
  <c r="E508" i="1"/>
  <c r="L507" i="1" a="1"/>
  <c r="L507" i="1" s="1"/>
  <c r="O507" i="1" s="1" a="1"/>
  <c r="O507" i="1" s="1"/>
  <c r="J507" i="1" a="1"/>
  <c r="J507" i="1" s="1"/>
  <c r="K507" i="1" s="1" a="1"/>
  <c r="K507" i="1" s="1"/>
  <c r="N507" i="1" s="1" a="1"/>
  <c r="N507" i="1" s="1"/>
  <c r="I507" i="1" a="1"/>
  <c r="I507" i="1"/>
  <c r="F507" i="1" a="1"/>
  <c r="F507" i="1" s="1"/>
  <c r="E507" i="1" a="1"/>
  <c r="E507" i="1"/>
  <c r="L506" i="1" a="1"/>
  <c r="L506" i="1"/>
  <c r="J506" i="1" a="1"/>
  <c r="J506" i="1" s="1"/>
  <c r="K506" i="1" s="1" a="1"/>
  <c r="K506" i="1" s="1"/>
  <c r="N506" i="1" s="1" a="1"/>
  <c r="N506" i="1" s="1"/>
  <c r="I506" i="1" a="1"/>
  <c r="I506" i="1" s="1"/>
  <c r="F506" i="1" a="1"/>
  <c r="F506" i="1"/>
  <c r="E506" i="1" a="1"/>
  <c r="E506" i="1" s="1"/>
  <c r="L505" i="1" a="1"/>
  <c r="L505" i="1"/>
  <c r="J505" i="1" a="1"/>
  <c r="J505" i="1" s="1"/>
  <c r="K505" i="1" s="1" a="1"/>
  <c r="K505" i="1" s="1"/>
  <c r="N505" i="1" s="1" a="1"/>
  <c r="N505" i="1" s="1"/>
  <c r="I505" i="1" a="1"/>
  <c r="I505" i="1" s="1"/>
  <c r="F505" i="1" a="1"/>
  <c r="F505" i="1"/>
  <c r="E505" i="1" a="1"/>
  <c r="E505" i="1" s="1"/>
  <c r="L504" i="1" a="1"/>
  <c r="L504" i="1"/>
  <c r="O504" i="1" s="1" a="1"/>
  <c r="O504" i="1" s="1"/>
  <c r="J504" i="1" a="1"/>
  <c r="J504" i="1" s="1"/>
  <c r="K504" i="1" s="1" a="1"/>
  <c r="K504" i="1" s="1"/>
  <c r="N504" i="1" s="1" a="1"/>
  <c r="N504" i="1" s="1"/>
  <c r="I504" i="1" a="1"/>
  <c r="I504" i="1" s="1"/>
  <c r="F504" i="1" a="1"/>
  <c r="F504" i="1" s="1"/>
  <c r="E504" i="1" a="1"/>
  <c r="E504" i="1" s="1"/>
  <c r="L503" i="1" a="1"/>
  <c r="L503" i="1" s="1"/>
  <c r="O503" i="1" s="1" a="1"/>
  <c r="O503" i="1" s="1"/>
  <c r="J503" i="1" a="1"/>
  <c r="J503" i="1"/>
  <c r="K503" i="1" s="1" a="1"/>
  <c r="K503" i="1" s="1"/>
  <c r="N503" i="1" s="1" a="1"/>
  <c r="N503" i="1" s="1"/>
  <c r="I503" i="1" a="1"/>
  <c r="I503" i="1" s="1"/>
  <c r="F503" i="1" a="1"/>
  <c r="F503" i="1"/>
  <c r="E503" i="1" a="1"/>
  <c r="E503" i="1" s="1"/>
  <c r="L502" i="1" a="1"/>
  <c r="L502" i="1"/>
  <c r="J502" i="1" a="1"/>
  <c r="J502" i="1" s="1"/>
  <c r="K502" i="1" s="1" a="1"/>
  <c r="K502" i="1" s="1"/>
  <c r="N502" i="1" s="1" a="1"/>
  <c r="N502" i="1" s="1"/>
  <c r="I502" i="1" a="1"/>
  <c r="I502" i="1" s="1"/>
  <c r="F502" i="1" a="1"/>
  <c r="F502" i="1"/>
  <c r="E502" i="1" a="1"/>
  <c r="E502" i="1" s="1"/>
  <c r="L501" i="1" a="1"/>
  <c r="L501" i="1" s="1"/>
  <c r="J501" i="1" a="1"/>
  <c r="J501" i="1"/>
  <c r="I501" i="1" a="1"/>
  <c r="I501" i="1" s="1"/>
  <c r="F501" i="1" a="1"/>
  <c r="F501" i="1" s="1"/>
  <c r="E501" i="1" a="1"/>
  <c r="E501" i="1" s="1"/>
  <c r="L500" i="1" a="1"/>
  <c r="L500" i="1"/>
  <c r="O500" i="1" s="1" a="1"/>
  <c r="O500" i="1" s="1"/>
  <c r="J500" i="1" a="1"/>
  <c r="J500" i="1" s="1"/>
  <c r="K500" i="1" s="1" a="1"/>
  <c r="K500" i="1" s="1"/>
  <c r="N500" i="1" s="1" a="1"/>
  <c r="N500" i="1" s="1"/>
  <c r="I500" i="1" a="1"/>
  <c r="I500" i="1" s="1"/>
  <c r="F500" i="1" a="1"/>
  <c r="F500" i="1" s="1"/>
  <c r="E500" i="1" a="1"/>
  <c r="E500" i="1" s="1"/>
  <c r="L499" i="1" a="1"/>
  <c r="L499" i="1" s="1"/>
  <c r="O499" i="1" s="1" a="1"/>
  <c r="O499" i="1" s="1"/>
  <c r="J499" i="1" a="1"/>
  <c r="J499" i="1"/>
  <c r="K499" i="1" s="1" a="1"/>
  <c r="K499" i="1" s="1"/>
  <c r="N499" i="1" s="1" a="1"/>
  <c r="N499" i="1" s="1"/>
  <c r="I499" i="1" a="1"/>
  <c r="I499" i="1" s="1"/>
  <c r="F499" i="1" a="1"/>
  <c r="F499" i="1"/>
  <c r="E499" i="1" a="1"/>
  <c r="E499" i="1" s="1"/>
  <c r="L498" i="1" a="1"/>
  <c r="L498" i="1"/>
  <c r="J498" i="1" a="1"/>
  <c r="J498" i="1" s="1"/>
  <c r="K498" i="1" s="1" a="1"/>
  <c r="K498" i="1" s="1"/>
  <c r="N498" i="1" s="1" a="1"/>
  <c r="N498" i="1" s="1"/>
  <c r="I498" i="1" a="1"/>
  <c r="I498" i="1" s="1"/>
  <c r="F498" i="1" a="1"/>
  <c r="F498" i="1"/>
  <c r="E498" i="1" a="1"/>
  <c r="E498" i="1" s="1"/>
  <c r="L497" i="1" a="1"/>
  <c r="L497" i="1" s="1"/>
  <c r="O497" i="1" s="1" a="1"/>
  <c r="O497" i="1" s="1"/>
  <c r="J497" i="1" a="1"/>
  <c r="J497" i="1"/>
  <c r="K497" i="1" s="1" a="1"/>
  <c r="K497" i="1" s="1"/>
  <c r="N497" i="1" s="1" a="1"/>
  <c r="N497" i="1" s="1"/>
  <c r="I497" i="1" a="1"/>
  <c r="I497" i="1" s="1"/>
  <c r="F497" i="1" a="1"/>
  <c r="F497" i="1"/>
  <c r="E497" i="1" a="1"/>
  <c r="E497" i="1" s="1"/>
  <c r="L496" i="1" a="1"/>
  <c r="L496" i="1" s="1"/>
  <c r="O496" i="1" s="1" a="1"/>
  <c r="O496" i="1" s="1"/>
  <c r="J496" i="1" a="1"/>
  <c r="J496" i="1" s="1"/>
  <c r="K496" i="1" s="1" a="1"/>
  <c r="K496" i="1" s="1"/>
  <c r="N496" i="1" s="1" a="1"/>
  <c r="N496" i="1" s="1"/>
  <c r="I496" i="1" a="1"/>
  <c r="I496" i="1" s="1"/>
  <c r="F496" i="1" a="1"/>
  <c r="F496" i="1"/>
  <c r="E496" i="1" a="1"/>
  <c r="E496" i="1" s="1"/>
  <c r="L495" i="1" a="1"/>
  <c r="L495" i="1" s="1"/>
  <c r="J495" i="1" a="1"/>
  <c r="J495" i="1"/>
  <c r="K495" i="1" s="1" a="1"/>
  <c r="K495" i="1" s="1"/>
  <c r="N495" i="1" s="1" a="1"/>
  <c r="N495" i="1" s="1"/>
  <c r="I495" i="1" a="1"/>
  <c r="I495" i="1" s="1"/>
  <c r="F495" i="1" a="1"/>
  <c r="F495" i="1"/>
  <c r="E495" i="1" a="1"/>
  <c r="E495" i="1" s="1"/>
  <c r="L494" i="1" a="1"/>
  <c r="L494" i="1" s="1"/>
  <c r="O494" i="1" s="1" a="1"/>
  <c r="O494" i="1" s="1"/>
  <c r="J494" i="1" a="1"/>
  <c r="J494" i="1" s="1"/>
  <c r="K494" i="1" s="1" a="1"/>
  <c r="K494" i="1" s="1"/>
  <c r="N494" i="1" s="1" a="1"/>
  <c r="N494" i="1" s="1"/>
  <c r="I494" i="1" a="1"/>
  <c r="I494" i="1" s="1"/>
  <c r="F494" i="1" a="1"/>
  <c r="F494" i="1"/>
  <c r="E494" i="1" a="1"/>
  <c r="E494" i="1" s="1"/>
  <c r="L493" i="1" a="1"/>
  <c r="L493" i="1" s="1"/>
  <c r="J493" i="1" a="1"/>
  <c r="J493" i="1"/>
  <c r="K493" i="1" s="1" a="1"/>
  <c r="K493" i="1" s="1"/>
  <c r="N493" i="1" s="1" a="1"/>
  <c r="N493" i="1" s="1"/>
  <c r="I493" i="1" a="1"/>
  <c r="I493" i="1" s="1"/>
  <c r="F493" i="1" a="1"/>
  <c r="F493" i="1"/>
  <c r="E493" i="1" a="1"/>
  <c r="E493" i="1" s="1"/>
  <c r="L492" i="1" a="1"/>
  <c r="L492" i="1" s="1"/>
  <c r="O492" i="1" s="1" a="1"/>
  <c r="O492" i="1" s="1"/>
  <c r="J492" i="1" a="1"/>
  <c r="J492" i="1" s="1"/>
  <c r="K492" i="1" s="1" a="1"/>
  <c r="K492" i="1" s="1"/>
  <c r="N492" i="1" s="1" a="1"/>
  <c r="N492" i="1" s="1"/>
  <c r="I492" i="1" a="1"/>
  <c r="I492" i="1" s="1"/>
  <c r="F492" i="1" a="1"/>
  <c r="F492" i="1"/>
  <c r="E492" i="1" a="1"/>
  <c r="E492" i="1" s="1"/>
  <c r="L491" i="1" a="1"/>
  <c r="L491" i="1" s="1"/>
  <c r="O491" i="1" s="1" a="1"/>
  <c r="O491" i="1" s="1"/>
  <c r="J491" i="1" a="1"/>
  <c r="J491" i="1"/>
  <c r="K491" i="1" s="1" a="1"/>
  <c r="K491" i="1" s="1"/>
  <c r="N491" i="1" s="1" a="1"/>
  <c r="N491" i="1" s="1"/>
  <c r="I491" i="1" a="1"/>
  <c r="I491" i="1" s="1"/>
  <c r="F491" i="1" a="1"/>
  <c r="F491" i="1"/>
  <c r="E491" i="1" a="1"/>
  <c r="E491" i="1" s="1"/>
  <c r="L490" i="1" a="1"/>
  <c r="L490" i="1" s="1"/>
  <c r="J490" i="1" a="1"/>
  <c r="J490" i="1" s="1"/>
  <c r="K490" i="1" s="1" a="1"/>
  <c r="K490" i="1" s="1"/>
  <c r="N490" i="1" s="1" a="1"/>
  <c r="N490" i="1" s="1"/>
  <c r="I490" i="1" a="1"/>
  <c r="I490" i="1" s="1"/>
  <c r="F490" i="1" a="1"/>
  <c r="F490" i="1"/>
  <c r="E490" i="1" a="1"/>
  <c r="E490" i="1" s="1"/>
  <c r="L489" i="1" a="1"/>
  <c r="L489" i="1" s="1"/>
  <c r="O489" i="1" s="1" a="1"/>
  <c r="O489" i="1" s="1"/>
  <c r="J489" i="1" a="1"/>
  <c r="J489" i="1"/>
  <c r="K489" i="1" s="1" a="1"/>
  <c r="K489" i="1" s="1"/>
  <c r="N489" i="1" s="1" a="1"/>
  <c r="N489" i="1" s="1"/>
  <c r="I489" i="1" a="1"/>
  <c r="I489" i="1" s="1"/>
  <c r="F489" i="1" a="1"/>
  <c r="F489" i="1"/>
  <c r="E489" i="1" a="1"/>
  <c r="E489" i="1" s="1"/>
  <c r="L488" i="1" a="1"/>
  <c r="L488" i="1" s="1"/>
  <c r="J488" i="1" a="1"/>
  <c r="J488" i="1" s="1"/>
  <c r="K488" i="1" s="1" a="1"/>
  <c r="K488" i="1" s="1"/>
  <c r="N488" i="1" s="1" a="1"/>
  <c r="N488" i="1" s="1"/>
  <c r="I488" i="1" a="1"/>
  <c r="I488" i="1" s="1"/>
  <c r="F488" i="1" a="1"/>
  <c r="F488" i="1"/>
  <c r="E488" i="1" a="1"/>
  <c r="E488" i="1" s="1"/>
  <c r="L487" i="1" a="1"/>
  <c r="L487" i="1" s="1"/>
  <c r="J487" i="1" a="1"/>
  <c r="J487" i="1"/>
  <c r="K487" i="1" s="1" a="1"/>
  <c r="K487" i="1" s="1"/>
  <c r="N487" i="1" s="1" a="1"/>
  <c r="N487" i="1" s="1"/>
  <c r="I487" i="1" a="1"/>
  <c r="I487" i="1" s="1"/>
  <c r="F487" i="1" a="1"/>
  <c r="F487" i="1"/>
  <c r="E487" i="1" a="1"/>
  <c r="E487" i="1" s="1"/>
  <c r="L486" i="1" a="1"/>
  <c r="L486" i="1" s="1"/>
  <c r="O486" i="1" s="1" a="1"/>
  <c r="O486" i="1" s="1"/>
  <c r="J486" i="1" a="1"/>
  <c r="J486" i="1" s="1"/>
  <c r="K486" i="1" s="1" a="1"/>
  <c r="K486" i="1" s="1"/>
  <c r="N486" i="1" s="1" a="1"/>
  <c r="N486" i="1" s="1"/>
  <c r="I486" i="1" a="1"/>
  <c r="I486" i="1" s="1"/>
  <c r="F486" i="1" a="1"/>
  <c r="F486" i="1"/>
  <c r="E486" i="1" a="1"/>
  <c r="E486" i="1" s="1"/>
  <c r="L485" i="1" a="1"/>
  <c r="L485" i="1" s="1"/>
  <c r="J485" i="1" a="1"/>
  <c r="J485" i="1"/>
  <c r="K485" i="1" s="1" a="1"/>
  <c r="K485" i="1" s="1"/>
  <c r="N485" i="1" s="1" a="1"/>
  <c r="N485" i="1" s="1"/>
  <c r="I485" i="1" a="1"/>
  <c r="I485" i="1" s="1"/>
  <c r="F485" i="1" a="1"/>
  <c r="F485" i="1"/>
  <c r="E485" i="1" a="1"/>
  <c r="E485" i="1" s="1"/>
  <c r="L484" i="1" a="1"/>
  <c r="L484" i="1" s="1"/>
  <c r="O484" i="1" s="1" a="1"/>
  <c r="O484" i="1" s="1"/>
  <c r="J484" i="1" a="1"/>
  <c r="J484" i="1" s="1"/>
  <c r="K484" i="1" s="1" a="1"/>
  <c r="K484" i="1" s="1"/>
  <c r="N484" i="1" s="1" a="1"/>
  <c r="N484" i="1" s="1"/>
  <c r="I484" i="1" a="1"/>
  <c r="I484" i="1" s="1"/>
  <c r="F484" i="1" a="1"/>
  <c r="F484" i="1"/>
  <c r="E484" i="1" a="1"/>
  <c r="E484" i="1" s="1"/>
  <c r="L483" i="1" a="1"/>
  <c r="L483" i="1" s="1"/>
  <c r="O483" i="1" s="1" a="1"/>
  <c r="O483" i="1" s="1"/>
  <c r="J483" i="1" a="1"/>
  <c r="J483" i="1"/>
  <c r="K483" i="1" s="1" a="1"/>
  <c r="K483" i="1" s="1"/>
  <c r="N483" i="1" s="1" a="1"/>
  <c r="N483" i="1" s="1"/>
  <c r="I483" i="1" a="1"/>
  <c r="I483" i="1" s="1"/>
  <c r="F483" i="1" a="1"/>
  <c r="F483" i="1"/>
  <c r="E483" i="1" a="1"/>
  <c r="E483" i="1" s="1"/>
  <c r="L482" i="1" a="1"/>
  <c r="L482" i="1" s="1"/>
  <c r="J482" i="1" a="1"/>
  <c r="J482" i="1" s="1"/>
  <c r="K482" i="1" s="1" a="1"/>
  <c r="K482" i="1" s="1"/>
  <c r="N482" i="1" s="1" a="1"/>
  <c r="N482" i="1" s="1"/>
  <c r="I482" i="1" a="1"/>
  <c r="I482" i="1" s="1"/>
  <c r="F482" i="1" a="1"/>
  <c r="F482" i="1"/>
  <c r="E482" i="1" a="1"/>
  <c r="E482" i="1" s="1"/>
  <c r="L481" i="1" a="1"/>
  <c r="L481" i="1" s="1"/>
  <c r="O481" i="1" s="1" a="1"/>
  <c r="O481" i="1" s="1"/>
  <c r="J481" i="1" a="1"/>
  <c r="J481" i="1" s="1"/>
  <c r="K481" i="1" s="1" a="1"/>
  <c r="K481" i="1" s="1"/>
  <c r="N481" i="1" s="1" a="1"/>
  <c r="N481" i="1" s="1"/>
  <c r="I481" i="1" a="1"/>
  <c r="I481" i="1" s="1"/>
  <c r="F481" i="1" a="1"/>
  <c r="F481" i="1" s="1"/>
  <c r="E481" i="1" a="1"/>
  <c r="E481" i="1"/>
  <c r="L480" i="1" a="1"/>
  <c r="L480" i="1" s="1"/>
  <c r="O480" i="1" s="1" a="1"/>
  <c r="O480" i="1" s="1"/>
  <c r="J480" i="1" a="1"/>
  <c r="J480" i="1"/>
  <c r="K480" i="1" s="1" a="1"/>
  <c r="K480" i="1" s="1"/>
  <c r="N480" i="1" s="1" a="1"/>
  <c r="N480" i="1" s="1"/>
  <c r="I480" i="1" a="1"/>
  <c r="I480" i="1" s="1"/>
  <c r="F480" i="1" a="1"/>
  <c r="F480" i="1" s="1"/>
  <c r="E480" i="1" a="1"/>
  <c r="E480" i="1"/>
  <c r="L479" i="1" a="1"/>
  <c r="L479" i="1" s="1"/>
  <c r="O479" i="1" s="1" a="1"/>
  <c r="O479" i="1" s="1"/>
  <c r="J479" i="1" a="1"/>
  <c r="J479" i="1"/>
  <c r="K479" i="1" s="1" a="1"/>
  <c r="K479" i="1" s="1"/>
  <c r="N479" i="1" s="1" a="1"/>
  <c r="N479" i="1" s="1"/>
  <c r="I479" i="1" a="1"/>
  <c r="I479" i="1" s="1"/>
  <c r="F479" i="1" a="1"/>
  <c r="F479" i="1" s="1"/>
  <c r="E479" i="1" a="1"/>
  <c r="E479" i="1"/>
  <c r="L478" i="1" a="1"/>
  <c r="L478" i="1" s="1"/>
  <c r="O478" i="1" s="1" a="1"/>
  <c r="O478" i="1" s="1"/>
  <c r="J478" i="1" a="1"/>
  <c r="J478" i="1"/>
  <c r="K478" i="1" s="1" a="1"/>
  <c r="K478" i="1" s="1"/>
  <c r="N478" i="1" s="1" a="1"/>
  <c r="N478" i="1" s="1"/>
  <c r="I478" i="1" a="1"/>
  <c r="I478" i="1" s="1"/>
  <c r="F478" i="1" a="1"/>
  <c r="F478" i="1" s="1"/>
  <c r="E478" i="1" a="1"/>
  <c r="E478" i="1"/>
  <c r="L477" i="1" a="1"/>
  <c r="L477" i="1" s="1"/>
  <c r="O477" i="1" s="1" a="1"/>
  <c r="O477" i="1" s="1"/>
  <c r="J477" i="1" a="1"/>
  <c r="J477" i="1"/>
  <c r="K477" i="1" s="1" a="1"/>
  <c r="K477" i="1" s="1"/>
  <c r="N477" i="1" s="1" a="1"/>
  <c r="N477" i="1" s="1"/>
  <c r="I477" i="1" a="1"/>
  <c r="I477" i="1" s="1"/>
  <c r="F477" i="1" a="1"/>
  <c r="F477" i="1" s="1"/>
  <c r="E477" i="1" a="1"/>
  <c r="E477" i="1"/>
  <c r="L476" i="1" a="1"/>
  <c r="L476" i="1" s="1"/>
  <c r="O476" i="1" s="1" a="1"/>
  <c r="O476" i="1" s="1"/>
  <c r="J476" i="1" a="1"/>
  <c r="J476" i="1"/>
  <c r="K476" i="1" s="1" a="1"/>
  <c r="K476" i="1" s="1"/>
  <c r="N476" i="1" s="1" a="1"/>
  <c r="N476" i="1" s="1"/>
  <c r="I476" i="1" a="1"/>
  <c r="I476" i="1" s="1"/>
  <c r="F476" i="1" a="1"/>
  <c r="F476" i="1" s="1"/>
  <c r="E476" i="1" a="1"/>
  <c r="E476" i="1"/>
  <c r="L475" i="1" a="1"/>
  <c r="L475" i="1" s="1"/>
  <c r="O475" i="1" s="1" a="1"/>
  <c r="O475" i="1" s="1"/>
  <c r="J475" i="1" a="1"/>
  <c r="J475" i="1"/>
  <c r="K475" i="1" s="1" a="1"/>
  <c r="K475" i="1" s="1"/>
  <c r="N475" i="1" s="1" a="1"/>
  <c r="N475" i="1" s="1"/>
  <c r="I475" i="1" a="1"/>
  <c r="I475" i="1" s="1"/>
  <c r="F475" i="1" a="1"/>
  <c r="F475" i="1" s="1"/>
  <c r="E475" i="1" a="1"/>
  <c r="E475" i="1"/>
  <c r="L474" i="1" a="1"/>
  <c r="L474" i="1" s="1"/>
  <c r="O474" i="1" s="1" a="1"/>
  <c r="O474" i="1" s="1"/>
  <c r="J474" i="1" a="1"/>
  <c r="J474" i="1"/>
  <c r="K474" i="1" s="1" a="1"/>
  <c r="K474" i="1" s="1"/>
  <c r="N474" i="1" s="1" a="1"/>
  <c r="N474" i="1" s="1"/>
  <c r="I474" i="1" a="1"/>
  <c r="I474" i="1" s="1"/>
  <c r="F474" i="1" a="1"/>
  <c r="F474" i="1" s="1"/>
  <c r="E474" i="1" a="1"/>
  <c r="E474" i="1"/>
  <c r="L473" i="1" a="1"/>
  <c r="L473" i="1" s="1"/>
  <c r="O473" i="1" s="1" a="1"/>
  <c r="O473" i="1" s="1"/>
  <c r="J473" i="1" a="1"/>
  <c r="J473" i="1"/>
  <c r="K473" i="1" s="1" a="1"/>
  <c r="K473" i="1" s="1"/>
  <c r="N473" i="1" s="1" a="1"/>
  <c r="N473" i="1" s="1"/>
  <c r="I473" i="1" a="1"/>
  <c r="I473" i="1" s="1"/>
  <c r="F473" i="1" a="1"/>
  <c r="F473" i="1" s="1"/>
  <c r="E473" i="1" a="1"/>
  <c r="E473" i="1"/>
  <c r="L472" i="1" a="1"/>
  <c r="L472" i="1" s="1"/>
  <c r="O472" i="1" s="1" a="1"/>
  <c r="O472" i="1" s="1"/>
  <c r="J472" i="1" a="1"/>
  <c r="J472" i="1"/>
  <c r="K472" i="1" s="1" a="1"/>
  <c r="K472" i="1" s="1"/>
  <c r="N472" i="1" s="1" a="1"/>
  <c r="N472" i="1" s="1"/>
  <c r="I472" i="1" a="1"/>
  <c r="I472" i="1" s="1"/>
  <c r="F472" i="1" a="1"/>
  <c r="F472" i="1" s="1"/>
  <c r="E472" i="1" a="1"/>
  <c r="E472" i="1"/>
  <c r="L471" i="1" a="1"/>
  <c r="L471" i="1" s="1"/>
  <c r="O471" i="1" s="1" a="1"/>
  <c r="O471" i="1" s="1"/>
  <c r="J471" i="1" a="1"/>
  <c r="J471" i="1"/>
  <c r="K471" i="1" s="1" a="1"/>
  <c r="K471" i="1" s="1"/>
  <c r="N471" i="1" s="1" a="1"/>
  <c r="N471" i="1" s="1"/>
  <c r="I471" i="1" a="1"/>
  <c r="I471" i="1" s="1"/>
  <c r="F471" i="1" a="1"/>
  <c r="F471" i="1" s="1"/>
  <c r="E471" i="1" a="1"/>
  <c r="E471" i="1"/>
  <c r="L470" i="1" a="1"/>
  <c r="L470" i="1" s="1"/>
  <c r="O470" i="1" s="1" a="1"/>
  <c r="O470" i="1" s="1"/>
  <c r="J470" i="1" a="1"/>
  <c r="J470" i="1"/>
  <c r="K470" i="1" s="1" a="1"/>
  <c r="K470" i="1" s="1"/>
  <c r="N470" i="1" s="1" a="1"/>
  <c r="N470" i="1" s="1"/>
  <c r="I470" i="1" a="1"/>
  <c r="I470" i="1" s="1"/>
  <c r="F470" i="1" a="1"/>
  <c r="F470" i="1" s="1"/>
  <c r="E470" i="1" a="1"/>
  <c r="E470" i="1"/>
  <c r="L469" i="1" a="1"/>
  <c r="L469" i="1" s="1"/>
  <c r="O469" i="1" s="1" a="1"/>
  <c r="O469" i="1" s="1"/>
  <c r="J469" i="1" a="1"/>
  <c r="J469" i="1"/>
  <c r="K469" i="1" s="1" a="1"/>
  <c r="K469" i="1" s="1"/>
  <c r="N469" i="1" s="1" a="1"/>
  <c r="N469" i="1" s="1"/>
  <c r="I469" i="1" a="1"/>
  <c r="I469" i="1" s="1"/>
  <c r="F469" i="1" a="1"/>
  <c r="F469" i="1" s="1"/>
  <c r="E469" i="1" a="1"/>
  <c r="E469" i="1"/>
  <c r="L468" i="1" a="1"/>
  <c r="L468" i="1" s="1"/>
  <c r="O468" i="1" s="1" a="1"/>
  <c r="O468" i="1" s="1"/>
  <c r="J468" i="1" a="1"/>
  <c r="J468" i="1"/>
  <c r="K468" i="1" s="1" a="1"/>
  <c r="K468" i="1" s="1"/>
  <c r="N468" i="1" s="1" a="1"/>
  <c r="N468" i="1" s="1"/>
  <c r="I468" i="1" a="1"/>
  <c r="I468" i="1" s="1"/>
  <c r="F468" i="1" a="1"/>
  <c r="F468" i="1" s="1"/>
  <c r="E468" i="1" a="1"/>
  <c r="E468" i="1"/>
  <c r="L467" i="1" a="1"/>
  <c r="L467" i="1" s="1"/>
  <c r="O467" i="1" s="1" a="1"/>
  <c r="O467" i="1" s="1"/>
  <c r="J467" i="1" a="1"/>
  <c r="J467" i="1"/>
  <c r="K467" i="1" s="1" a="1"/>
  <c r="K467" i="1" s="1"/>
  <c r="N467" i="1" s="1" a="1"/>
  <c r="N467" i="1" s="1"/>
  <c r="I467" i="1" a="1"/>
  <c r="I467" i="1" s="1"/>
  <c r="F467" i="1" a="1"/>
  <c r="F467" i="1" s="1"/>
  <c r="E467" i="1" a="1"/>
  <c r="E467" i="1"/>
  <c r="L466" i="1" a="1"/>
  <c r="L466" i="1" s="1"/>
  <c r="O466" i="1" s="1" a="1"/>
  <c r="O466" i="1" s="1"/>
  <c r="J466" i="1" a="1"/>
  <c r="J466" i="1"/>
  <c r="K466" i="1" s="1" a="1"/>
  <c r="K466" i="1" s="1"/>
  <c r="N466" i="1" s="1" a="1"/>
  <c r="N466" i="1" s="1"/>
  <c r="I466" i="1" a="1"/>
  <c r="I466" i="1" s="1"/>
  <c r="F466" i="1" a="1"/>
  <c r="F466" i="1" s="1"/>
  <c r="E466" i="1" a="1"/>
  <c r="E466" i="1"/>
  <c r="L465" i="1" a="1"/>
  <c r="L465" i="1" s="1"/>
  <c r="O465" i="1" s="1" a="1"/>
  <c r="O465" i="1" s="1"/>
  <c r="J465" i="1" a="1"/>
  <c r="J465" i="1"/>
  <c r="K465" i="1" s="1" a="1"/>
  <c r="K465" i="1" s="1"/>
  <c r="N465" i="1" s="1" a="1"/>
  <c r="N465" i="1" s="1"/>
  <c r="I465" i="1" a="1"/>
  <c r="I465" i="1" s="1"/>
  <c r="F465" i="1" a="1"/>
  <c r="F465" i="1" s="1"/>
  <c r="E465" i="1" a="1"/>
  <c r="E465" i="1"/>
  <c r="L464" i="1" a="1"/>
  <c r="L464" i="1" s="1"/>
  <c r="O464" i="1" s="1" a="1"/>
  <c r="O464" i="1" s="1"/>
  <c r="J464" i="1" a="1"/>
  <c r="J464" i="1"/>
  <c r="K464" i="1" s="1" a="1"/>
  <c r="K464" i="1" s="1"/>
  <c r="N464" i="1" s="1" a="1"/>
  <c r="N464" i="1" s="1"/>
  <c r="I464" i="1" a="1"/>
  <c r="I464" i="1" s="1"/>
  <c r="F464" i="1" a="1"/>
  <c r="F464" i="1" s="1"/>
  <c r="E464" i="1" a="1"/>
  <c r="E464" i="1"/>
  <c r="L463" i="1" a="1"/>
  <c r="L463" i="1" s="1"/>
  <c r="O463" i="1" s="1" a="1"/>
  <c r="O463" i="1" s="1"/>
  <c r="J463" i="1" a="1"/>
  <c r="J463" i="1"/>
  <c r="K463" i="1" s="1" a="1"/>
  <c r="K463" i="1" s="1"/>
  <c r="N463" i="1" s="1" a="1"/>
  <c r="N463" i="1" s="1"/>
  <c r="I463" i="1" a="1"/>
  <c r="I463" i="1" s="1"/>
  <c r="F463" i="1" a="1"/>
  <c r="F463" i="1" s="1"/>
  <c r="E463" i="1" a="1"/>
  <c r="E463" i="1"/>
  <c r="L462" i="1" a="1"/>
  <c r="L462" i="1" s="1"/>
  <c r="O462" i="1" s="1" a="1"/>
  <c r="O462" i="1" s="1"/>
  <c r="J462" i="1" a="1"/>
  <c r="J462" i="1"/>
  <c r="K462" i="1" s="1" a="1"/>
  <c r="K462" i="1" s="1"/>
  <c r="N462" i="1" s="1" a="1"/>
  <c r="N462" i="1" s="1"/>
  <c r="I462" i="1" a="1"/>
  <c r="I462" i="1" s="1"/>
  <c r="F462" i="1" a="1"/>
  <c r="F462" i="1" s="1"/>
  <c r="E462" i="1" a="1"/>
  <c r="E462" i="1"/>
  <c r="L461" i="1" a="1"/>
  <c r="L461" i="1" s="1"/>
  <c r="O461" i="1" s="1" a="1"/>
  <c r="O461" i="1" s="1"/>
  <c r="J461" i="1" a="1"/>
  <c r="J461" i="1"/>
  <c r="K461" i="1" s="1" a="1"/>
  <c r="K461" i="1" s="1"/>
  <c r="N461" i="1" s="1" a="1"/>
  <c r="N461" i="1" s="1"/>
  <c r="I461" i="1" a="1"/>
  <c r="I461" i="1" s="1"/>
  <c r="F461" i="1" a="1"/>
  <c r="F461" i="1" s="1"/>
  <c r="E461" i="1" a="1"/>
  <c r="E461" i="1"/>
  <c r="L460" i="1" a="1"/>
  <c r="L460" i="1" s="1"/>
  <c r="O460" i="1" s="1" a="1"/>
  <c r="O460" i="1" s="1"/>
  <c r="J460" i="1" a="1"/>
  <c r="J460" i="1"/>
  <c r="K460" i="1" s="1" a="1"/>
  <c r="K460" i="1" s="1"/>
  <c r="N460" i="1" s="1" a="1"/>
  <c r="N460" i="1" s="1"/>
  <c r="I460" i="1" a="1"/>
  <c r="I460" i="1" s="1"/>
  <c r="F460" i="1" a="1"/>
  <c r="F460" i="1" s="1"/>
  <c r="E460" i="1" a="1"/>
  <c r="E460" i="1"/>
  <c r="L459" i="1" a="1"/>
  <c r="L459" i="1" s="1"/>
  <c r="O459" i="1" s="1" a="1"/>
  <c r="O459" i="1" s="1"/>
  <c r="J459" i="1" a="1"/>
  <c r="J459" i="1"/>
  <c r="K459" i="1" s="1" a="1"/>
  <c r="K459" i="1" s="1"/>
  <c r="N459" i="1" s="1" a="1"/>
  <c r="N459" i="1" s="1"/>
  <c r="I459" i="1" a="1"/>
  <c r="I459" i="1" s="1"/>
  <c r="F459" i="1" a="1"/>
  <c r="F459" i="1" s="1"/>
  <c r="E459" i="1" a="1"/>
  <c r="E459" i="1"/>
  <c r="L458" i="1" a="1"/>
  <c r="L458" i="1" s="1"/>
  <c r="O458" i="1" s="1" a="1"/>
  <c r="O458" i="1" s="1"/>
  <c r="J458" i="1" a="1"/>
  <c r="J458" i="1"/>
  <c r="K458" i="1" s="1" a="1"/>
  <c r="K458" i="1" s="1"/>
  <c r="N458" i="1" s="1" a="1"/>
  <c r="N458" i="1" s="1"/>
  <c r="I458" i="1" a="1"/>
  <c r="I458" i="1" s="1"/>
  <c r="F458" i="1" a="1"/>
  <c r="F458" i="1" s="1"/>
  <c r="E458" i="1" a="1"/>
  <c r="E458" i="1"/>
  <c r="L457" i="1" a="1"/>
  <c r="L457" i="1" s="1"/>
  <c r="O457" i="1" s="1" a="1"/>
  <c r="O457" i="1" s="1"/>
  <c r="J457" i="1" a="1"/>
  <c r="J457" i="1"/>
  <c r="K457" i="1" s="1" a="1"/>
  <c r="K457" i="1" s="1"/>
  <c r="N457" i="1" s="1" a="1"/>
  <c r="N457" i="1" s="1"/>
  <c r="I457" i="1" a="1"/>
  <c r="I457" i="1" s="1"/>
  <c r="F457" i="1" a="1"/>
  <c r="F457" i="1" s="1"/>
  <c r="E457" i="1" a="1"/>
  <c r="E457" i="1"/>
  <c r="L456" i="1" a="1"/>
  <c r="L456" i="1" s="1"/>
  <c r="O456" i="1" s="1" a="1"/>
  <c r="O456" i="1" s="1"/>
  <c r="J456" i="1" a="1"/>
  <c r="J456" i="1"/>
  <c r="K456" i="1" s="1" a="1"/>
  <c r="K456" i="1" s="1"/>
  <c r="N456" i="1" s="1" a="1"/>
  <c r="N456" i="1" s="1"/>
  <c r="I456" i="1" a="1"/>
  <c r="I456" i="1" s="1"/>
  <c r="F456" i="1" a="1"/>
  <c r="F456" i="1" s="1"/>
  <c r="E456" i="1" a="1"/>
  <c r="E456" i="1"/>
  <c r="L455" i="1" a="1"/>
  <c r="L455" i="1" s="1"/>
  <c r="O455" i="1" s="1" a="1"/>
  <c r="O455" i="1" s="1"/>
  <c r="J455" i="1" a="1"/>
  <c r="J455" i="1"/>
  <c r="K455" i="1" s="1" a="1"/>
  <c r="K455" i="1" s="1"/>
  <c r="N455" i="1" s="1" a="1"/>
  <c r="N455" i="1" s="1"/>
  <c r="I455" i="1" a="1"/>
  <c r="I455" i="1" s="1"/>
  <c r="F455" i="1" a="1"/>
  <c r="F455" i="1" s="1"/>
  <c r="E455" i="1" a="1"/>
  <c r="E455" i="1"/>
  <c r="L454" i="1" a="1"/>
  <c r="L454" i="1" s="1"/>
  <c r="O454" i="1" s="1" a="1"/>
  <c r="O454" i="1" s="1"/>
  <c r="J454" i="1" a="1"/>
  <c r="J454" i="1"/>
  <c r="K454" i="1" s="1" a="1"/>
  <c r="K454" i="1" s="1"/>
  <c r="N454" i="1" s="1" a="1"/>
  <c r="N454" i="1" s="1"/>
  <c r="I454" i="1" a="1"/>
  <c r="I454" i="1" s="1"/>
  <c r="F454" i="1" a="1"/>
  <c r="F454" i="1" s="1"/>
  <c r="E454" i="1" a="1"/>
  <c r="E454" i="1"/>
  <c r="L453" i="1" a="1"/>
  <c r="L453" i="1" s="1"/>
  <c r="O453" i="1" s="1" a="1"/>
  <c r="O453" i="1" s="1"/>
  <c r="J453" i="1" a="1"/>
  <c r="J453" i="1"/>
  <c r="K453" i="1" s="1" a="1"/>
  <c r="K453" i="1" s="1"/>
  <c r="N453" i="1" s="1" a="1"/>
  <c r="N453" i="1" s="1"/>
  <c r="I453" i="1" a="1"/>
  <c r="I453" i="1" s="1"/>
  <c r="F453" i="1" a="1"/>
  <c r="F453" i="1" s="1"/>
  <c r="E453" i="1" a="1"/>
  <c r="E453" i="1"/>
  <c r="L452" i="1" a="1"/>
  <c r="L452" i="1" s="1"/>
  <c r="O452" i="1" s="1" a="1"/>
  <c r="O452" i="1" s="1"/>
  <c r="J452" i="1" a="1"/>
  <c r="J452" i="1"/>
  <c r="K452" i="1" s="1" a="1"/>
  <c r="K452" i="1" s="1"/>
  <c r="N452" i="1" s="1" a="1"/>
  <c r="N452" i="1" s="1"/>
  <c r="I452" i="1" a="1"/>
  <c r="I452" i="1" s="1"/>
  <c r="F452" i="1" a="1"/>
  <c r="F452" i="1" s="1"/>
  <c r="E452" i="1" a="1"/>
  <c r="E452" i="1"/>
  <c r="L451" i="1" a="1"/>
  <c r="L451" i="1" s="1"/>
  <c r="O451" i="1" s="1" a="1"/>
  <c r="O451" i="1" s="1"/>
  <c r="J451" i="1" a="1"/>
  <c r="J451" i="1"/>
  <c r="K451" i="1" s="1" a="1"/>
  <c r="K451" i="1" s="1"/>
  <c r="N451" i="1" s="1" a="1"/>
  <c r="N451" i="1" s="1"/>
  <c r="I451" i="1" a="1"/>
  <c r="I451" i="1" s="1"/>
  <c r="F451" i="1" a="1"/>
  <c r="F451" i="1" s="1"/>
  <c r="E451" i="1" a="1"/>
  <c r="E451" i="1"/>
  <c r="L450" i="1" a="1"/>
  <c r="L450" i="1" s="1"/>
  <c r="O450" i="1" s="1" a="1"/>
  <c r="O450" i="1" s="1"/>
  <c r="J450" i="1" a="1"/>
  <c r="J450" i="1"/>
  <c r="K450" i="1" s="1" a="1"/>
  <c r="K450" i="1" s="1"/>
  <c r="N450" i="1" s="1" a="1"/>
  <c r="N450" i="1" s="1"/>
  <c r="I450" i="1" a="1"/>
  <c r="I450" i="1" s="1"/>
  <c r="F450" i="1" a="1"/>
  <c r="F450" i="1" s="1"/>
  <c r="E450" i="1" a="1"/>
  <c r="E450" i="1"/>
  <c r="L449" i="1" a="1"/>
  <c r="L449" i="1" s="1"/>
  <c r="O449" i="1" s="1" a="1"/>
  <c r="O449" i="1" s="1"/>
  <c r="J449" i="1" a="1"/>
  <c r="J449" i="1"/>
  <c r="K449" i="1" s="1" a="1"/>
  <c r="K449" i="1" s="1"/>
  <c r="N449" i="1" s="1" a="1"/>
  <c r="N449" i="1" s="1"/>
  <c r="I449" i="1" a="1"/>
  <c r="I449" i="1" s="1"/>
  <c r="F449" i="1" a="1"/>
  <c r="F449" i="1" s="1"/>
  <c r="E449" i="1" a="1"/>
  <c r="E449" i="1"/>
  <c r="L448" i="1" a="1"/>
  <c r="L448" i="1" s="1"/>
  <c r="O448" i="1" s="1" a="1"/>
  <c r="O448" i="1" s="1"/>
  <c r="J448" i="1" a="1"/>
  <c r="J448" i="1"/>
  <c r="K448" i="1" s="1" a="1"/>
  <c r="K448" i="1" s="1"/>
  <c r="N448" i="1" s="1" a="1"/>
  <c r="N448" i="1" s="1"/>
  <c r="I448" i="1" a="1"/>
  <c r="I448" i="1" s="1"/>
  <c r="F448" i="1" a="1"/>
  <c r="F448" i="1" s="1"/>
  <c r="E448" i="1" a="1"/>
  <c r="E448" i="1"/>
  <c r="L447" i="1" a="1"/>
  <c r="L447" i="1" s="1"/>
  <c r="O447" i="1" s="1" a="1"/>
  <c r="O447" i="1" s="1"/>
  <c r="J447" i="1" a="1"/>
  <c r="J447" i="1"/>
  <c r="K447" i="1" s="1" a="1"/>
  <c r="K447" i="1" s="1"/>
  <c r="N447" i="1" s="1" a="1"/>
  <c r="N447" i="1" s="1"/>
  <c r="I447" i="1" a="1"/>
  <c r="I447" i="1" s="1"/>
  <c r="F447" i="1" a="1"/>
  <c r="F447" i="1" s="1"/>
  <c r="E447" i="1" a="1"/>
  <c r="E447" i="1"/>
  <c r="L446" i="1" a="1"/>
  <c r="L446" i="1" s="1"/>
  <c r="O446" i="1" s="1" a="1"/>
  <c r="O446" i="1" s="1"/>
  <c r="J446" i="1" a="1"/>
  <c r="J446" i="1"/>
  <c r="K446" i="1" s="1" a="1"/>
  <c r="K446" i="1" s="1"/>
  <c r="N446" i="1" s="1" a="1"/>
  <c r="N446" i="1" s="1"/>
  <c r="I446" i="1" a="1"/>
  <c r="I446" i="1" s="1"/>
  <c r="F446" i="1" a="1"/>
  <c r="F446" i="1" s="1"/>
  <c r="E446" i="1" a="1"/>
  <c r="E446" i="1"/>
  <c r="L445" i="1" a="1"/>
  <c r="L445" i="1" s="1"/>
  <c r="O445" i="1" s="1" a="1"/>
  <c r="O445" i="1" s="1"/>
  <c r="J445" i="1" a="1"/>
  <c r="J445" i="1"/>
  <c r="K445" i="1" s="1" a="1"/>
  <c r="K445" i="1" s="1"/>
  <c r="N445" i="1" s="1" a="1"/>
  <c r="N445" i="1" s="1"/>
  <c r="I445" i="1" a="1"/>
  <c r="I445" i="1" s="1"/>
  <c r="F445" i="1" a="1"/>
  <c r="F445" i="1" s="1"/>
  <c r="E445" i="1" a="1"/>
  <c r="E445" i="1"/>
  <c r="L444" i="1" a="1"/>
  <c r="L444" i="1" s="1"/>
  <c r="O444" i="1" s="1" a="1"/>
  <c r="O444" i="1" s="1"/>
  <c r="J444" i="1" a="1"/>
  <c r="J444" i="1"/>
  <c r="K444" i="1" s="1" a="1"/>
  <c r="K444" i="1" s="1"/>
  <c r="N444" i="1" s="1" a="1"/>
  <c r="N444" i="1" s="1"/>
  <c r="I444" i="1" a="1"/>
  <c r="I444" i="1" s="1"/>
  <c r="F444" i="1" a="1"/>
  <c r="F444" i="1" s="1"/>
  <c r="E444" i="1" a="1"/>
  <c r="E444" i="1"/>
  <c r="L443" i="1" a="1"/>
  <c r="L443" i="1" s="1"/>
  <c r="O443" i="1" s="1" a="1"/>
  <c r="O443" i="1" s="1"/>
  <c r="J443" i="1" a="1"/>
  <c r="J443" i="1"/>
  <c r="K443" i="1" s="1" a="1"/>
  <c r="K443" i="1" s="1"/>
  <c r="N443" i="1" s="1" a="1"/>
  <c r="N443" i="1" s="1"/>
  <c r="I443" i="1" a="1"/>
  <c r="I443" i="1" s="1"/>
  <c r="F443" i="1" a="1"/>
  <c r="F443" i="1" s="1"/>
  <c r="E443" i="1" a="1"/>
  <c r="E443" i="1"/>
  <c r="L442" i="1" a="1"/>
  <c r="L442" i="1" s="1"/>
  <c r="O442" i="1" s="1" a="1"/>
  <c r="O442" i="1" s="1"/>
  <c r="J442" i="1" a="1"/>
  <c r="J442" i="1"/>
  <c r="K442" i="1" s="1" a="1"/>
  <c r="K442" i="1" s="1"/>
  <c r="N442" i="1" s="1" a="1"/>
  <c r="N442" i="1" s="1"/>
  <c r="I442" i="1" a="1"/>
  <c r="I442" i="1" s="1"/>
  <c r="F442" i="1" a="1"/>
  <c r="F442" i="1" s="1"/>
  <c r="E442" i="1" a="1"/>
  <c r="E442" i="1"/>
  <c r="L441" i="1" a="1"/>
  <c r="L441" i="1" s="1"/>
  <c r="J441" i="1" a="1"/>
  <c r="J441" i="1"/>
  <c r="K441" i="1" s="1" a="1"/>
  <c r="K441" i="1" s="1"/>
  <c r="N441" i="1" s="1" a="1"/>
  <c r="N441" i="1" s="1"/>
  <c r="I441" i="1" a="1"/>
  <c r="I441" i="1" s="1"/>
  <c r="F441" i="1" a="1"/>
  <c r="F441" i="1" s="1"/>
  <c r="E441" i="1" a="1"/>
  <c r="E441" i="1"/>
  <c r="L440" i="1" a="1"/>
  <c r="L440" i="1" s="1"/>
  <c r="O440" i="1" s="1" a="1"/>
  <c r="O440" i="1" s="1"/>
  <c r="J440" i="1" a="1"/>
  <c r="J440" i="1"/>
  <c r="K440" i="1" s="1" a="1"/>
  <c r="K440" i="1" s="1"/>
  <c r="N440" i="1" s="1" a="1"/>
  <c r="N440" i="1" s="1"/>
  <c r="I440" i="1" a="1"/>
  <c r="I440" i="1" s="1"/>
  <c r="F440" i="1" a="1"/>
  <c r="F440" i="1" s="1"/>
  <c r="E440" i="1" a="1"/>
  <c r="E440" i="1"/>
  <c r="L439" i="1" a="1"/>
  <c r="L439" i="1" s="1"/>
  <c r="J439" i="1" a="1"/>
  <c r="J439" i="1"/>
  <c r="K439" i="1" s="1" a="1"/>
  <c r="K439" i="1" s="1"/>
  <c r="N439" i="1" s="1" a="1"/>
  <c r="N439" i="1" s="1"/>
  <c r="I439" i="1" a="1"/>
  <c r="I439" i="1" s="1"/>
  <c r="F439" i="1" a="1"/>
  <c r="F439" i="1" s="1"/>
  <c r="E439" i="1" a="1"/>
  <c r="E439" i="1"/>
  <c r="L438" i="1" a="1"/>
  <c r="L438" i="1" s="1"/>
  <c r="J438" i="1" a="1"/>
  <c r="J438" i="1"/>
  <c r="K438" i="1" s="1" a="1"/>
  <c r="K438" i="1" s="1"/>
  <c r="N438" i="1" s="1" a="1"/>
  <c r="N438" i="1" s="1"/>
  <c r="I438" i="1" a="1"/>
  <c r="I438" i="1" s="1"/>
  <c r="F438" i="1" a="1"/>
  <c r="F438" i="1" s="1"/>
  <c r="E438" i="1" a="1"/>
  <c r="E438" i="1"/>
  <c r="L437" i="1" a="1"/>
  <c r="L437" i="1" s="1"/>
  <c r="J437" i="1" a="1"/>
  <c r="J437" i="1"/>
  <c r="K437" i="1" s="1" a="1"/>
  <c r="K437" i="1" s="1"/>
  <c r="N437" i="1" s="1" a="1"/>
  <c r="N437" i="1" s="1"/>
  <c r="I437" i="1" a="1"/>
  <c r="I437" i="1" s="1"/>
  <c r="F437" i="1" a="1"/>
  <c r="F437" i="1" s="1"/>
  <c r="E437" i="1" a="1"/>
  <c r="E437" i="1"/>
  <c r="L436" i="1" a="1"/>
  <c r="L436" i="1" s="1"/>
  <c r="J436" i="1" a="1"/>
  <c r="J436" i="1"/>
  <c r="K436" i="1" s="1" a="1"/>
  <c r="K436" i="1" s="1"/>
  <c r="N436" i="1" s="1" a="1"/>
  <c r="N436" i="1" s="1"/>
  <c r="I436" i="1" a="1"/>
  <c r="I436" i="1" s="1"/>
  <c r="F436" i="1" a="1"/>
  <c r="F436" i="1" s="1"/>
  <c r="E436" i="1" a="1"/>
  <c r="E436" i="1"/>
  <c r="L435" i="1" a="1"/>
  <c r="L435" i="1" s="1"/>
  <c r="J435" i="1" a="1"/>
  <c r="J435" i="1"/>
  <c r="K435" i="1" s="1" a="1"/>
  <c r="K435" i="1" s="1"/>
  <c r="N435" i="1" s="1" a="1"/>
  <c r="N435" i="1" s="1"/>
  <c r="I435" i="1" a="1"/>
  <c r="I435" i="1" s="1"/>
  <c r="F435" i="1" a="1"/>
  <c r="F435" i="1" s="1"/>
  <c r="E435" i="1" a="1"/>
  <c r="E435" i="1"/>
  <c r="L434" i="1" a="1"/>
  <c r="L434" i="1" s="1"/>
  <c r="J434" i="1" a="1"/>
  <c r="J434" i="1"/>
  <c r="K434" i="1" s="1" a="1"/>
  <c r="K434" i="1" s="1"/>
  <c r="N434" i="1" s="1" a="1"/>
  <c r="N434" i="1" s="1"/>
  <c r="I434" i="1" a="1"/>
  <c r="I434" i="1" s="1"/>
  <c r="F434" i="1" a="1"/>
  <c r="F434" i="1" s="1"/>
  <c r="E434" i="1" a="1"/>
  <c r="E434" i="1"/>
  <c r="L433" i="1" a="1"/>
  <c r="L433" i="1" s="1"/>
  <c r="J433" i="1" a="1"/>
  <c r="J433" i="1"/>
  <c r="K433" i="1" s="1" a="1"/>
  <c r="K433" i="1" s="1"/>
  <c r="N433" i="1" s="1" a="1"/>
  <c r="N433" i="1" s="1"/>
  <c r="I433" i="1" a="1"/>
  <c r="I433" i="1" s="1"/>
  <c r="F433" i="1" a="1"/>
  <c r="F433" i="1" s="1"/>
  <c r="E433" i="1" a="1"/>
  <c r="E433" i="1"/>
  <c r="L432" i="1" a="1"/>
  <c r="L432" i="1" s="1"/>
  <c r="J432" i="1" a="1"/>
  <c r="J432" i="1"/>
  <c r="K432" i="1" s="1" a="1"/>
  <c r="K432" i="1" s="1"/>
  <c r="N432" i="1" s="1" a="1"/>
  <c r="N432" i="1" s="1"/>
  <c r="I432" i="1" a="1"/>
  <c r="I432" i="1" s="1"/>
  <c r="F432" i="1" a="1"/>
  <c r="F432" i="1" s="1"/>
  <c r="E432" i="1" a="1"/>
  <c r="E432" i="1"/>
  <c r="L431" i="1" a="1"/>
  <c r="L431" i="1" s="1"/>
  <c r="J431" i="1" a="1"/>
  <c r="J431" i="1"/>
  <c r="K431" i="1" s="1" a="1"/>
  <c r="K431" i="1" s="1"/>
  <c r="N431" i="1" s="1" a="1"/>
  <c r="N431" i="1" s="1"/>
  <c r="I431" i="1" a="1"/>
  <c r="I431" i="1" s="1"/>
  <c r="F431" i="1" a="1"/>
  <c r="F431" i="1" s="1"/>
  <c r="E431" i="1" a="1"/>
  <c r="E431" i="1"/>
  <c r="L430" i="1" a="1"/>
  <c r="L430" i="1" s="1"/>
  <c r="J430" i="1" a="1"/>
  <c r="J430" i="1"/>
  <c r="K430" i="1" s="1" a="1"/>
  <c r="K430" i="1" s="1"/>
  <c r="N430" i="1" s="1" a="1"/>
  <c r="N430" i="1" s="1"/>
  <c r="I430" i="1" a="1"/>
  <c r="I430" i="1" s="1"/>
  <c r="F430" i="1" a="1"/>
  <c r="F430" i="1" s="1"/>
  <c r="E430" i="1" a="1"/>
  <c r="E430" i="1"/>
  <c r="L429" i="1" a="1"/>
  <c r="L429" i="1" s="1"/>
  <c r="J429" i="1" a="1"/>
  <c r="J429" i="1"/>
  <c r="K429" i="1" s="1" a="1"/>
  <c r="K429" i="1" s="1"/>
  <c r="N429" i="1" s="1" a="1"/>
  <c r="N429" i="1" s="1"/>
  <c r="I429" i="1" a="1"/>
  <c r="I429" i="1" s="1"/>
  <c r="F429" i="1" a="1"/>
  <c r="F429" i="1" s="1"/>
  <c r="E429" i="1" a="1"/>
  <c r="E429" i="1"/>
  <c r="L428" i="1" a="1"/>
  <c r="L428" i="1" s="1"/>
  <c r="J428" i="1" a="1"/>
  <c r="J428" i="1"/>
  <c r="K428" i="1" s="1" a="1"/>
  <c r="K428" i="1" s="1"/>
  <c r="N428" i="1" s="1" a="1"/>
  <c r="N428" i="1" s="1"/>
  <c r="I428" i="1" a="1"/>
  <c r="I428" i="1" s="1"/>
  <c r="F428" i="1" a="1"/>
  <c r="F428" i="1" s="1"/>
  <c r="E428" i="1" a="1"/>
  <c r="E428" i="1"/>
  <c r="L427" i="1" a="1"/>
  <c r="L427" i="1" s="1"/>
  <c r="J427" i="1" a="1"/>
  <c r="J427" i="1"/>
  <c r="K427" i="1" s="1" a="1"/>
  <c r="K427" i="1" s="1"/>
  <c r="N427" i="1" s="1" a="1"/>
  <c r="N427" i="1" s="1"/>
  <c r="I427" i="1" a="1"/>
  <c r="I427" i="1" s="1"/>
  <c r="F427" i="1" a="1"/>
  <c r="F427" i="1" s="1"/>
  <c r="E427" i="1" a="1"/>
  <c r="E427" i="1"/>
  <c r="L426" i="1" a="1"/>
  <c r="L426" i="1" s="1"/>
  <c r="J426" i="1" a="1"/>
  <c r="J426" i="1"/>
  <c r="K426" i="1" s="1" a="1"/>
  <c r="K426" i="1" s="1"/>
  <c r="N426" i="1" s="1" a="1"/>
  <c r="N426" i="1" s="1"/>
  <c r="I426" i="1" a="1"/>
  <c r="I426" i="1" s="1"/>
  <c r="F426" i="1" a="1"/>
  <c r="F426" i="1" s="1"/>
  <c r="E426" i="1" a="1"/>
  <c r="E426" i="1"/>
  <c r="L425" i="1" a="1"/>
  <c r="L425" i="1" s="1"/>
  <c r="J425" i="1" a="1"/>
  <c r="J425" i="1" s="1"/>
  <c r="K425" i="1" s="1" a="1"/>
  <c r="K425" i="1" s="1"/>
  <c r="N425" i="1" s="1" a="1"/>
  <c r="N425" i="1" s="1"/>
  <c r="I425" i="1" a="1"/>
  <c r="I425" i="1" s="1"/>
  <c r="F425" i="1" a="1"/>
  <c r="F425" i="1" s="1"/>
  <c r="E425" i="1" a="1"/>
  <c r="E425" i="1"/>
  <c r="L424" i="1" a="1"/>
  <c r="L424" i="1" s="1"/>
  <c r="J424" i="1" a="1"/>
  <c r="J424" i="1"/>
  <c r="I424" i="1" a="1"/>
  <c r="I424" i="1" s="1"/>
  <c r="F424" i="1" a="1"/>
  <c r="F424" i="1" s="1"/>
  <c r="E424" i="1" a="1"/>
  <c r="E424" i="1"/>
  <c r="L423" i="1" a="1"/>
  <c r="L423" i="1" s="1"/>
  <c r="J423" i="1" a="1"/>
  <c r="J423" i="1"/>
  <c r="K423" i="1" s="1" a="1"/>
  <c r="K423" i="1" s="1"/>
  <c r="N423" i="1" s="1" a="1"/>
  <c r="N423" i="1" s="1"/>
  <c r="I423" i="1" a="1"/>
  <c r="I423" i="1" s="1"/>
  <c r="F423" i="1" a="1"/>
  <c r="F423" i="1" s="1"/>
  <c r="E423" i="1" a="1"/>
  <c r="E423" i="1"/>
  <c r="L422" i="1" a="1"/>
  <c r="L422" i="1" s="1"/>
  <c r="J422" i="1" a="1"/>
  <c r="J422" i="1" s="1"/>
  <c r="K422" i="1" s="1" a="1"/>
  <c r="K422" i="1" s="1"/>
  <c r="N422" i="1" s="1" a="1"/>
  <c r="N422" i="1" s="1"/>
  <c r="I422" i="1" a="1"/>
  <c r="I422" i="1" s="1"/>
  <c r="F422" i="1" a="1"/>
  <c r="F422" i="1" s="1"/>
  <c r="E422" i="1" a="1"/>
  <c r="E422" i="1"/>
  <c r="L421" i="1" a="1"/>
  <c r="L421" i="1" s="1"/>
  <c r="J421" i="1" a="1"/>
  <c r="J421" i="1" s="1"/>
  <c r="K421" i="1" s="1" a="1"/>
  <c r="K421" i="1" s="1"/>
  <c r="N421" i="1" s="1" a="1"/>
  <c r="N421" i="1" s="1"/>
  <c r="I421" i="1" a="1"/>
  <c r="I421" i="1" s="1"/>
  <c r="F421" i="1" a="1"/>
  <c r="F421" i="1" s="1"/>
  <c r="E421" i="1" a="1"/>
  <c r="E421" i="1"/>
  <c r="O420" i="1" a="1"/>
  <c r="O420" i="1"/>
  <c r="L420" i="1" a="1"/>
  <c r="L420" i="1" s="1"/>
  <c r="J420" i="1" a="1"/>
  <c r="J420" i="1"/>
  <c r="K420" i="1" s="1" a="1"/>
  <c r="K420" i="1" s="1"/>
  <c r="N420" i="1" s="1" a="1"/>
  <c r="N420" i="1" s="1"/>
  <c r="I420" i="1" a="1"/>
  <c r="I420" i="1" s="1"/>
  <c r="F420" i="1" a="1"/>
  <c r="F420" i="1" s="1"/>
  <c r="E420" i="1" a="1"/>
  <c r="E420" i="1"/>
  <c r="L419" i="1" a="1"/>
  <c r="L419" i="1" s="1"/>
  <c r="J419" i="1" a="1"/>
  <c r="J419" i="1" s="1"/>
  <c r="K419" i="1" s="1" a="1"/>
  <c r="K419" i="1" s="1"/>
  <c r="I419" i="1" a="1"/>
  <c r="I419" i="1" s="1"/>
  <c r="F419" i="1" a="1"/>
  <c r="F419" i="1" s="1"/>
  <c r="E419" i="1" a="1"/>
  <c r="E419" i="1"/>
  <c r="L418" i="1" a="1"/>
  <c r="L418" i="1" s="1"/>
  <c r="O418" i="1" s="1" a="1"/>
  <c r="O418" i="1" s="1"/>
  <c r="J418" i="1" a="1"/>
  <c r="J418" i="1"/>
  <c r="K418" i="1" s="1" a="1"/>
  <c r="K418" i="1" s="1"/>
  <c r="N418" i="1" s="1" a="1"/>
  <c r="N418" i="1" s="1"/>
  <c r="I418" i="1" a="1"/>
  <c r="I418" i="1" s="1"/>
  <c r="F418" i="1" a="1"/>
  <c r="F418" i="1" s="1"/>
  <c r="E418" i="1" a="1"/>
  <c r="E418" i="1"/>
  <c r="L417" i="1" a="1"/>
  <c r="L417" i="1" s="1"/>
  <c r="J417" i="1" a="1"/>
  <c r="J417" i="1" s="1"/>
  <c r="K417" i="1" s="1" a="1"/>
  <c r="K417" i="1" s="1"/>
  <c r="N417" i="1" s="1" a="1"/>
  <c r="N417" i="1" s="1"/>
  <c r="I417" i="1" a="1"/>
  <c r="I417" i="1" s="1"/>
  <c r="F417" i="1" a="1"/>
  <c r="F417" i="1" s="1"/>
  <c r="E417" i="1" a="1"/>
  <c r="E417" i="1"/>
  <c r="L416" i="1" a="1"/>
  <c r="L416" i="1" s="1"/>
  <c r="J416" i="1" a="1"/>
  <c r="J416" i="1"/>
  <c r="I416" i="1" a="1"/>
  <c r="I416" i="1" s="1"/>
  <c r="F416" i="1" a="1"/>
  <c r="F416" i="1" s="1"/>
  <c r="E416" i="1" a="1"/>
  <c r="E416" i="1"/>
  <c r="L415" i="1" a="1"/>
  <c r="L415" i="1" s="1"/>
  <c r="J415" i="1" a="1"/>
  <c r="J415" i="1"/>
  <c r="K415" i="1" s="1" a="1"/>
  <c r="K415" i="1" s="1"/>
  <c r="N415" i="1" s="1" a="1"/>
  <c r="N415" i="1" s="1"/>
  <c r="I415" i="1" a="1"/>
  <c r="I415" i="1" s="1"/>
  <c r="F415" i="1" a="1"/>
  <c r="F415" i="1" s="1"/>
  <c r="E415" i="1" a="1"/>
  <c r="E415" i="1"/>
  <c r="L414" i="1" a="1"/>
  <c r="L414" i="1" s="1"/>
  <c r="J414" i="1" a="1"/>
  <c r="J414" i="1" s="1"/>
  <c r="K414" i="1" s="1" a="1"/>
  <c r="K414" i="1" s="1"/>
  <c r="N414" i="1" s="1" a="1"/>
  <c r="N414" i="1" s="1"/>
  <c r="I414" i="1" a="1"/>
  <c r="I414" i="1" s="1"/>
  <c r="F414" i="1" a="1"/>
  <c r="F414" i="1" s="1"/>
  <c r="E414" i="1" a="1"/>
  <c r="E414" i="1"/>
  <c r="L413" i="1" a="1"/>
  <c r="L413" i="1" s="1"/>
  <c r="J413" i="1" a="1"/>
  <c r="J413" i="1" s="1"/>
  <c r="K413" i="1" s="1" a="1"/>
  <c r="K413" i="1" s="1"/>
  <c r="N413" i="1" s="1" a="1"/>
  <c r="N413" i="1" s="1"/>
  <c r="I413" i="1" a="1"/>
  <c r="I413" i="1" s="1"/>
  <c r="F413" i="1" a="1"/>
  <c r="F413" i="1" s="1"/>
  <c r="E413" i="1" a="1"/>
  <c r="E413" i="1"/>
  <c r="O412" i="1" a="1"/>
  <c r="O412" i="1"/>
  <c r="L412" i="1" a="1"/>
  <c r="L412" i="1" s="1"/>
  <c r="J412" i="1" a="1"/>
  <c r="J412" i="1"/>
  <c r="K412" i="1" s="1" a="1"/>
  <c r="K412" i="1" s="1"/>
  <c r="N412" i="1" s="1" a="1"/>
  <c r="N412" i="1" s="1"/>
  <c r="I412" i="1" a="1"/>
  <c r="I412" i="1" s="1"/>
  <c r="F412" i="1" a="1"/>
  <c r="F412" i="1" s="1"/>
  <c r="E412" i="1" a="1"/>
  <c r="E412" i="1"/>
  <c r="L411" i="1" a="1"/>
  <c r="L411" i="1" s="1"/>
  <c r="J411" i="1" a="1"/>
  <c r="J411" i="1" s="1"/>
  <c r="K411" i="1" s="1" a="1"/>
  <c r="K411" i="1" s="1"/>
  <c r="I411" i="1" a="1"/>
  <c r="I411" i="1" s="1"/>
  <c r="F411" i="1" a="1"/>
  <c r="F411" i="1" s="1"/>
  <c r="E411" i="1" a="1"/>
  <c r="E411" i="1"/>
  <c r="L410" i="1" a="1"/>
  <c r="L410" i="1" s="1"/>
  <c r="O410" i="1" s="1" a="1"/>
  <c r="O410" i="1" s="1"/>
  <c r="J410" i="1" a="1"/>
  <c r="J410" i="1"/>
  <c r="K410" i="1" s="1" a="1"/>
  <c r="K410" i="1" s="1"/>
  <c r="N410" i="1" s="1" a="1"/>
  <c r="N410" i="1" s="1"/>
  <c r="I410" i="1" a="1"/>
  <c r="I410" i="1" s="1"/>
  <c r="F410" i="1" a="1"/>
  <c r="F410" i="1" s="1"/>
  <c r="E410" i="1" a="1"/>
  <c r="E410" i="1"/>
  <c r="L409" i="1" a="1"/>
  <c r="L409" i="1" s="1"/>
  <c r="J409" i="1" a="1"/>
  <c r="J409" i="1" s="1"/>
  <c r="K409" i="1" s="1" a="1"/>
  <c r="K409" i="1" s="1"/>
  <c r="N409" i="1" s="1" a="1"/>
  <c r="N409" i="1" s="1"/>
  <c r="I409" i="1" a="1"/>
  <c r="I409" i="1" s="1"/>
  <c r="F409" i="1" a="1"/>
  <c r="F409" i="1" s="1"/>
  <c r="E409" i="1" a="1"/>
  <c r="E409" i="1"/>
  <c r="L408" i="1" a="1"/>
  <c r="L408" i="1" s="1"/>
  <c r="J408" i="1" a="1"/>
  <c r="J408" i="1"/>
  <c r="I408" i="1" a="1"/>
  <c r="I408" i="1" s="1"/>
  <c r="F408" i="1" a="1"/>
  <c r="F408" i="1" s="1"/>
  <c r="E408" i="1" a="1"/>
  <c r="E408" i="1"/>
  <c r="L407" i="1" a="1"/>
  <c r="L407" i="1" s="1"/>
  <c r="J407" i="1" a="1"/>
  <c r="J407" i="1"/>
  <c r="K407" i="1" s="1" a="1"/>
  <c r="K407" i="1" s="1"/>
  <c r="N407" i="1" s="1" a="1"/>
  <c r="N407" i="1" s="1"/>
  <c r="I407" i="1" a="1"/>
  <c r="I407" i="1" s="1"/>
  <c r="F407" i="1" a="1"/>
  <c r="F407" i="1" s="1"/>
  <c r="E407" i="1" a="1"/>
  <c r="E407" i="1"/>
  <c r="L406" i="1" a="1"/>
  <c r="L406" i="1" s="1"/>
  <c r="J406" i="1" a="1"/>
  <c r="J406" i="1" s="1"/>
  <c r="K406" i="1" s="1" a="1"/>
  <c r="K406" i="1" s="1"/>
  <c r="N406" i="1" s="1" a="1"/>
  <c r="N406" i="1" s="1"/>
  <c r="I406" i="1" a="1"/>
  <c r="I406" i="1" s="1"/>
  <c r="F406" i="1" a="1"/>
  <c r="F406" i="1" s="1"/>
  <c r="E406" i="1" a="1"/>
  <c r="E406" i="1"/>
  <c r="L405" i="1" a="1"/>
  <c r="L405" i="1" s="1"/>
  <c r="J405" i="1" a="1"/>
  <c r="J405" i="1" s="1"/>
  <c r="K405" i="1" s="1" a="1"/>
  <c r="K405" i="1" s="1"/>
  <c r="N405" i="1" s="1" a="1"/>
  <c r="N405" i="1" s="1"/>
  <c r="I405" i="1" a="1"/>
  <c r="I405" i="1" s="1"/>
  <c r="F405" i="1" a="1"/>
  <c r="F405" i="1" s="1"/>
  <c r="E405" i="1" a="1"/>
  <c r="E405" i="1"/>
  <c r="O404" i="1" a="1"/>
  <c r="O404" i="1"/>
  <c r="L404" i="1" a="1"/>
  <c r="L404" i="1" s="1"/>
  <c r="J404" i="1" a="1"/>
  <c r="J404" i="1"/>
  <c r="K404" i="1" s="1" a="1"/>
  <c r="K404" i="1" s="1"/>
  <c r="N404" i="1" s="1" a="1"/>
  <c r="N404" i="1" s="1"/>
  <c r="I404" i="1" a="1"/>
  <c r="I404" i="1" s="1"/>
  <c r="F404" i="1" a="1"/>
  <c r="F404" i="1" s="1"/>
  <c r="E404" i="1" a="1"/>
  <c r="E404" i="1"/>
  <c r="L403" i="1" a="1"/>
  <c r="L403" i="1" s="1"/>
  <c r="J403" i="1" a="1"/>
  <c r="J403" i="1" s="1"/>
  <c r="K403" i="1" s="1" a="1"/>
  <c r="K403" i="1" s="1"/>
  <c r="I403" i="1" a="1"/>
  <c r="I403" i="1" s="1"/>
  <c r="F403" i="1" a="1"/>
  <c r="F403" i="1" s="1"/>
  <c r="E403" i="1" a="1"/>
  <c r="E403" i="1"/>
  <c r="L402" i="1" a="1"/>
  <c r="L402" i="1" s="1"/>
  <c r="O402" i="1" s="1" a="1"/>
  <c r="O402" i="1" s="1"/>
  <c r="J402" i="1" a="1"/>
  <c r="J402" i="1"/>
  <c r="K402" i="1" s="1" a="1"/>
  <c r="K402" i="1" s="1"/>
  <c r="N402" i="1" s="1" a="1"/>
  <c r="N402" i="1" s="1"/>
  <c r="I402" i="1" a="1"/>
  <c r="I402" i="1" s="1"/>
  <c r="F402" i="1" a="1"/>
  <c r="F402" i="1" s="1"/>
  <c r="E402" i="1" a="1"/>
  <c r="E402" i="1"/>
  <c r="L401" i="1" a="1"/>
  <c r="L401" i="1" s="1"/>
  <c r="J401" i="1" a="1"/>
  <c r="J401" i="1" s="1"/>
  <c r="K401" i="1" s="1" a="1"/>
  <c r="K401" i="1" s="1"/>
  <c r="N401" i="1" s="1" a="1"/>
  <c r="N401" i="1" s="1"/>
  <c r="I401" i="1" a="1"/>
  <c r="I401" i="1" s="1"/>
  <c r="F401" i="1" a="1"/>
  <c r="F401" i="1" s="1"/>
  <c r="E401" i="1" a="1"/>
  <c r="E401" i="1"/>
  <c r="L400" i="1" a="1"/>
  <c r="L400" i="1" s="1"/>
  <c r="J400" i="1" a="1"/>
  <c r="J400" i="1"/>
  <c r="I400" i="1" a="1"/>
  <c r="I400" i="1" s="1"/>
  <c r="F400" i="1" a="1"/>
  <c r="F400" i="1" s="1"/>
  <c r="E400" i="1" a="1"/>
  <c r="E400" i="1"/>
  <c r="L399" i="1" a="1"/>
  <c r="L399" i="1" s="1"/>
  <c r="J399" i="1" a="1"/>
  <c r="J399" i="1"/>
  <c r="K399" i="1" s="1" a="1"/>
  <c r="K399" i="1" s="1"/>
  <c r="N399" i="1" s="1" a="1"/>
  <c r="N399" i="1" s="1"/>
  <c r="I399" i="1" a="1"/>
  <c r="I399" i="1" s="1"/>
  <c r="F399" i="1" a="1"/>
  <c r="F399" i="1" s="1"/>
  <c r="E399" i="1" a="1"/>
  <c r="E399" i="1"/>
  <c r="L398" i="1" a="1"/>
  <c r="L398" i="1" s="1"/>
  <c r="J398" i="1" a="1"/>
  <c r="J398" i="1" s="1"/>
  <c r="K398" i="1" s="1" a="1"/>
  <c r="K398" i="1" s="1"/>
  <c r="N398" i="1" s="1" a="1"/>
  <c r="N398" i="1" s="1"/>
  <c r="I398" i="1" a="1"/>
  <c r="I398" i="1" s="1"/>
  <c r="F398" i="1" a="1"/>
  <c r="F398" i="1" s="1"/>
  <c r="E398" i="1" a="1"/>
  <c r="E398" i="1"/>
  <c r="L397" i="1" a="1"/>
  <c r="L397" i="1" s="1"/>
  <c r="J397" i="1" a="1"/>
  <c r="J397" i="1" s="1"/>
  <c r="K397" i="1" s="1" a="1"/>
  <c r="K397" i="1" s="1"/>
  <c r="N397" i="1" s="1" a="1"/>
  <c r="N397" i="1" s="1"/>
  <c r="I397" i="1" a="1"/>
  <c r="I397" i="1" s="1"/>
  <c r="F397" i="1" a="1"/>
  <c r="F397" i="1" s="1"/>
  <c r="E397" i="1" a="1"/>
  <c r="E397" i="1"/>
  <c r="O396" i="1" a="1"/>
  <c r="O396" i="1"/>
  <c r="L396" i="1" a="1"/>
  <c r="L396" i="1" s="1"/>
  <c r="J396" i="1" a="1"/>
  <c r="J396" i="1"/>
  <c r="K396" i="1" s="1" a="1"/>
  <c r="K396" i="1" s="1"/>
  <c r="N396" i="1" s="1" a="1"/>
  <c r="N396" i="1" s="1"/>
  <c r="I396" i="1" a="1"/>
  <c r="I396" i="1" s="1"/>
  <c r="F396" i="1" a="1"/>
  <c r="F396" i="1" s="1"/>
  <c r="E396" i="1" a="1"/>
  <c r="E396" i="1"/>
  <c r="L395" i="1" a="1"/>
  <c r="L395" i="1" s="1"/>
  <c r="J395" i="1" a="1"/>
  <c r="J395" i="1" s="1"/>
  <c r="K395" i="1" s="1" a="1"/>
  <c r="K395" i="1" s="1"/>
  <c r="I395" i="1" a="1"/>
  <c r="I395" i="1" s="1"/>
  <c r="F395" i="1" a="1"/>
  <c r="F395" i="1" s="1"/>
  <c r="E395" i="1" a="1"/>
  <c r="E395" i="1"/>
  <c r="L394" i="1" a="1"/>
  <c r="L394" i="1" s="1"/>
  <c r="O394" i="1" s="1" a="1"/>
  <c r="O394" i="1" s="1"/>
  <c r="J394" i="1" a="1"/>
  <c r="J394" i="1"/>
  <c r="K394" i="1" s="1" a="1"/>
  <c r="K394" i="1" s="1"/>
  <c r="N394" i="1" s="1" a="1"/>
  <c r="N394" i="1" s="1"/>
  <c r="I394" i="1" a="1"/>
  <c r="I394" i="1" s="1"/>
  <c r="F394" i="1" a="1"/>
  <c r="F394" i="1" s="1"/>
  <c r="E394" i="1" a="1"/>
  <c r="E394" i="1"/>
  <c r="L393" i="1" a="1"/>
  <c r="L393" i="1" s="1"/>
  <c r="J393" i="1" a="1"/>
  <c r="J393" i="1" s="1"/>
  <c r="K393" i="1" s="1" a="1"/>
  <c r="K393" i="1" s="1"/>
  <c r="N393" i="1" s="1" a="1"/>
  <c r="N393" i="1" s="1"/>
  <c r="I393" i="1" a="1"/>
  <c r="I393" i="1" s="1"/>
  <c r="F393" i="1" a="1"/>
  <c r="F393" i="1" s="1"/>
  <c r="E393" i="1" a="1"/>
  <c r="E393" i="1"/>
  <c r="L392" i="1" a="1"/>
  <c r="L392" i="1" s="1"/>
  <c r="J392" i="1" a="1"/>
  <c r="J392" i="1"/>
  <c r="I392" i="1" a="1"/>
  <c r="I392" i="1" s="1"/>
  <c r="F392" i="1" a="1"/>
  <c r="F392" i="1" s="1"/>
  <c r="E392" i="1" a="1"/>
  <c r="E392" i="1"/>
  <c r="L391" i="1" a="1"/>
  <c r="L391" i="1" s="1"/>
  <c r="J391" i="1" a="1"/>
  <c r="J391" i="1"/>
  <c r="K391" i="1" s="1" a="1"/>
  <c r="K391" i="1" s="1"/>
  <c r="N391" i="1" s="1" a="1"/>
  <c r="N391" i="1" s="1"/>
  <c r="I391" i="1" a="1"/>
  <c r="I391" i="1" s="1"/>
  <c r="F391" i="1" a="1"/>
  <c r="F391" i="1" s="1"/>
  <c r="E391" i="1" a="1"/>
  <c r="E391" i="1"/>
  <c r="L390" i="1" a="1"/>
  <c r="L390" i="1" s="1"/>
  <c r="J390" i="1" a="1"/>
  <c r="J390" i="1" s="1"/>
  <c r="K390" i="1" s="1" a="1"/>
  <c r="K390" i="1" s="1"/>
  <c r="N390" i="1" s="1" a="1"/>
  <c r="N390" i="1" s="1"/>
  <c r="I390" i="1" a="1"/>
  <c r="I390" i="1" s="1"/>
  <c r="F390" i="1" a="1"/>
  <c r="F390" i="1" s="1"/>
  <c r="E390" i="1" a="1"/>
  <c r="E390" i="1"/>
  <c r="L389" i="1" a="1"/>
  <c r="L389" i="1" s="1"/>
  <c r="J389" i="1" a="1"/>
  <c r="J389" i="1" s="1"/>
  <c r="K389" i="1" s="1" a="1"/>
  <c r="K389" i="1" s="1"/>
  <c r="N389" i="1" s="1" a="1"/>
  <c r="N389" i="1" s="1"/>
  <c r="I389" i="1" a="1"/>
  <c r="I389" i="1" s="1"/>
  <c r="F389" i="1" a="1"/>
  <c r="F389" i="1" s="1"/>
  <c r="E389" i="1" a="1"/>
  <c r="E389" i="1"/>
  <c r="O388" i="1" a="1"/>
  <c r="O388" i="1"/>
  <c r="L388" i="1" a="1"/>
  <c r="L388" i="1" s="1"/>
  <c r="J388" i="1" a="1"/>
  <c r="J388" i="1"/>
  <c r="K388" i="1" s="1" a="1"/>
  <c r="K388" i="1" s="1"/>
  <c r="N388" i="1" s="1" a="1"/>
  <c r="N388" i="1" s="1"/>
  <c r="I388" i="1" a="1"/>
  <c r="I388" i="1" s="1"/>
  <c r="F388" i="1" a="1"/>
  <c r="F388" i="1" s="1"/>
  <c r="E388" i="1" a="1"/>
  <c r="E388" i="1"/>
  <c r="L387" i="1" a="1"/>
  <c r="L387" i="1" s="1"/>
  <c r="J387" i="1" a="1"/>
  <c r="J387" i="1" s="1"/>
  <c r="K387" i="1" s="1" a="1"/>
  <c r="K387" i="1" s="1"/>
  <c r="I387" i="1" a="1"/>
  <c r="I387" i="1" s="1"/>
  <c r="F387" i="1" a="1"/>
  <c r="F387" i="1" s="1"/>
  <c r="E387" i="1" a="1"/>
  <c r="E387" i="1"/>
  <c r="L386" i="1" a="1"/>
  <c r="L386" i="1" s="1"/>
  <c r="O386" i="1" s="1" a="1"/>
  <c r="O386" i="1" s="1"/>
  <c r="J386" i="1" a="1"/>
  <c r="J386" i="1"/>
  <c r="K386" i="1" s="1" a="1"/>
  <c r="K386" i="1" s="1"/>
  <c r="N386" i="1" s="1" a="1"/>
  <c r="N386" i="1" s="1"/>
  <c r="I386" i="1" a="1"/>
  <c r="I386" i="1" s="1"/>
  <c r="F386" i="1" a="1"/>
  <c r="F386" i="1" s="1"/>
  <c r="E386" i="1" a="1"/>
  <c r="E386" i="1"/>
  <c r="L385" i="1" a="1"/>
  <c r="L385" i="1" s="1"/>
  <c r="J385" i="1" a="1"/>
  <c r="J385" i="1" s="1"/>
  <c r="K385" i="1" s="1" a="1"/>
  <c r="K385" i="1" s="1"/>
  <c r="N385" i="1" s="1" a="1"/>
  <c r="N385" i="1" s="1"/>
  <c r="I385" i="1" a="1"/>
  <c r="I385" i="1" s="1"/>
  <c r="F385" i="1" a="1"/>
  <c r="F385" i="1" s="1"/>
  <c r="E385" i="1" a="1"/>
  <c r="E385" i="1"/>
  <c r="L384" i="1" a="1"/>
  <c r="L384" i="1" s="1"/>
  <c r="J384" i="1" a="1"/>
  <c r="J384" i="1"/>
  <c r="I384" i="1" a="1"/>
  <c r="I384" i="1" s="1"/>
  <c r="F384" i="1" a="1"/>
  <c r="F384" i="1" s="1"/>
  <c r="E384" i="1" a="1"/>
  <c r="E384" i="1"/>
  <c r="L383" i="1" a="1"/>
  <c r="L383" i="1" s="1"/>
  <c r="J383" i="1" a="1"/>
  <c r="J383" i="1"/>
  <c r="K383" i="1" s="1" a="1"/>
  <c r="K383" i="1" s="1"/>
  <c r="N383" i="1" s="1" a="1"/>
  <c r="N383" i="1" s="1"/>
  <c r="I383" i="1" a="1"/>
  <c r="I383" i="1" s="1"/>
  <c r="F383" i="1" a="1"/>
  <c r="F383" i="1" s="1"/>
  <c r="E383" i="1" a="1"/>
  <c r="E383" i="1"/>
  <c r="L382" i="1" a="1"/>
  <c r="L382" i="1" s="1"/>
  <c r="J382" i="1" a="1"/>
  <c r="J382" i="1" s="1"/>
  <c r="K382" i="1" s="1" a="1"/>
  <c r="K382" i="1" s="1"/>
  <c r="N382" i="1" s="1" a="1"/>
  <c r="N382" i="1" s="1"/>
  <c r="I382" i="1" a="1"/>
  <c r="I382" i="1" s="1"/>
  <c r="F382" i="1" a="1"/>
  <c r="F382" i="1" s="1"/>
  <c r="E382" i="1" a="1"/>
  <c r="E382" i="1"/>
  <c r="L381" i="1" a="1"/>
  <c r="L381" i="1" s="1"/>
  <c r="J381" i="1" a="1"/>
  <c r="J381" i="1" s="1"/>
  <c r="K381" i="1" s="1" a="1"/>
  <c r="K381" i="1" s="1"/>
  <c r="N381" i="1" s="1" a="1"/>
  <c r="N381" i="1" s="1"/>
  <c r="I381" i="1" a="1"/>
  <c r="I381" i="1" s="1"/>
  <c r="F381" i="1" a="1"/>
  <c r="F381" i="1" s="1"/>
  <c r="E381" i="1" a="1"/>
  <c r="E381" i="1"/>
  <c r="O380" i="1" a="1"/>
  <c r="O380" i="1"/>
  <c r="L380" i="1" a="1"/>
  <c r="L380" i="1" s="1"/>
  <c r="J380" i="1" a="1"/>
  <c r="J380" i="1"/>
  <c r="K380" i="1" s="1" a="1"/>
  <c r="K380" i="1" s="1"/>
  <c r="N380" i="1" s="1" a="1"/>
  <c r="N380" i="1" s="1"/>
  <c r="I380" i="1" a="1"/>
  <c r="I380" i="1" s="1"/>
  <c r="F380" i="1" a="1"/>
  <c r="F380" i="1" s="1"/>
  <c r="E380" i="1" a="1"/>
  <c r="E380" i="1"/>
  <c r="L379" i="1" a="1"/>
  <c r="L379" i="1" s="1"/>
  <c r="J379" i="1" a="1"/>
  <c r="J379" i="1" s="1"/>
  <c r="K379" i="1" s="1" a="1"/>
  <c r="K379" i="1" s="1"/>
  <c r="I379" i="1" a="1"/>
  <c r="I379" i="1" s="1"/>
  <c r="F379" i="1" a="1"/>
  <c r="F379" i="1" s="1"/>
  <c r="E379" i="1" a="1"/>
  <c r="E379" i="1"/>
  <c r="L378" i="1" a="1"/>
  <c r="L378" i="1" s="1"/>
  <c r="O378" i="1" s="1" a="1"/>
  <c r="O378" i="1" s="1"/>
  <c r="J378" i="1" a="1"/>
  <c r="J378" i="1"/>
  <c r="K378" i="1" s="1" a="1"/>
  <c r="K378" i="1" s="1"/>
  <c r="N378" i="1" s="1" a="1"/>
  <c r="N378" i="1" s="1"/>
  <c r="I378" i="1" a="1"/>
  <c r="I378" i="1" s="1"/>
  <c r="F378" i="1" a="1"/>
  <c r="F378" i="1" s="1"/>
  <c r="E378" i="1" a="1"/>
  <c r="E378" i="1"/>
  <c r="L377" i="1" a="1"/>
  <c r="L377" i="1" s="1"/>
  <c r="J377" i="1" a="1"/>
  <c r="J377" i="1" s="1"/>
  <c r="K377" i="1" s="1" a="1"/>
  <c r="K377" i="1" s="1"/>
  <c r="N377" i="1" s="1" a="1"/>
  <c r="N377" i="1" s="1"/>
  <c r="I377" i="1" a="1"/>
  <c r="I377" i="1" s="1"/>
  <c r="F377" i="1" a="1"/>
  <c r="F377" i="1" s="1"/>
  <c r="E377" i="1" a="1"/>
  <c r="E377" i="1"/>
  <c r="L376" i="1" a="1"/>
  <c r="L376" i="1" s="1"/>
  <c r="J376" i="1" a="1"/>
  <c r="J376" i="1"/>
  <c r="I376" i="1" a="1"/>
  <c r="I376" i="1" s="1"/>
  <c r="F376" i="1" a="1"/>
  <c r="F376" i="1" s="1"/>
  <c r="E376" i="1" a="1"/>
  <c r="E376" i="1"/>
  <c r="L375" i="1" a="1"/>
  <c r="L375" i="1" s="1"/>
  <c r="J375" i="1" a="1"/>
  <c r="J375" i="1"/>
  <c r="K375" i="1" s="1" a="1"/>
  <c r="K375" i="1" s="1"/>
  <c r="N375" i="1" s="1" a="1"/>
  <c r="N375" i="1" s="1"/>
  <c r="I375" i="1" a="1"/>
  <c r="I375" i="1" s="1"/>
  <c r="F375" i="1" a="1"/>
  <c r="F375" i="1" s="1"/>
  <c r="E375" i="1" a="1"/>
  <c r="E375" i="1"/>
  <c r="L374" i="1" a="1"/>
  <c r="L374" i="1" s="1"/>
  <c r="J374" i="1" a="1"/>
  <c r="J374" i="1" s="1"/>
  <c r="K374" i="1" s="1" a="1"/>
  <c r="K374" i="1" s="1"/>
  <c r="N374" i="1" s="1" a="1"/>
  <c r="N374" i="1" s="1"/>
  <c r="I374" i="1" a="1"/>
  <c r="I374" i="1" s="1"/>
  <c r="F374" i="1" a="1"/>
  <c r="F374" i="1" s="1"/>
  <c r="E374" i="1" a="1"/>
  <c r="E374" i="1"/>
  <c r="L373" i="1" a="1"/>
  <c r="L373" i="1" s="1"/>
  <c r="J373" i="1" a="1"/>
  <c r="J373" i="1" s="1"/>
  <c r="K373" i="1" s="1" a="1"/>
  <c r="K373" i="1" s="1"/>
  <c r="N373" i="1" s="1" a="1"/>
  <c r="N373" i="1" s="1"/>
  <c r="I373" i="1" a="1"/>
  <c r="I373" i="1" s="1"/>
  <c r="F373" i="1" a="1"/>
  <c r="F373" i="1" s="1"/>
  <c r="E373" i="1" a="1"/>
  <c r="E373" i="1" s="1"/>
  <c r="L372" i="1" a="1"/>
  <c r="L372" i="1" s="1"/>
  <c r="O372" i="1" s="1" a="1"/>
  <c r="O372" i="1" s="1"/>
  <c r="J372" i="1" a="1"/>
  <c r="J372" i="1" s="1"/>
  <c r="K372" i="1" s="1" a="1"/>
  <c r="K372" i="1" s="1"/>
  <c r="N372" i="1" s="1" a="1"/>
  <c r="N372" i="1" s="1"/>
  <c r="I372" i="1" a="1"/>
  <c r="I372" i="1" s="1"/>
  <c r="F372" i="1" a="1"/>
  <c r="F372" i="1" s="1"/>
  <c r="E372" i="1" a="1"/>
  <c r="E372" i="1" s="1"/>
  <c r="L371" i="1" a="1"/>
  <c r="L371" i="1" s="1"/>
  <c r="J371" i="1" a="1"/>
  <c r="J371" i="1" s="1"/>
  <c r="K371" i="1" s="1" a="1"/>
  <c r="K371" i="1" s="1"/>
  <c r="N371" i="1" s="1" a="1"/>
  <c r="N371" i="1" s="1"/>
  <c r="I371" i="1" a="1"/>
  <c r="I371" i="1" s="1"/>
  <c r="F371" i="1" a="1"/>
  <c r="F371" i="1" s="1"/>
  <c r="E371" i="1" a="1"/>
  <c r="E371" i="1" s="1"/>
  <c r="L370" i="1" a="1"/>
  <c r="L370" i="1" s="1"/>
  <c r="J370" i="1" a="1"/>
  <c r="J370" i="1" s="1"/>
  <c r="K370" i="1" s="1" a="1"/>
  <c r="K370" i="1" s="1"/>
  <c r="N370" i="1" s="1" a="1"/>
  <c r="N370" i="1" s="1"/>
  <c r="I370" i="1" a="1"/>
  <c r="I370" i="1" s="1"/>
  <c r="F370" i="1" a="1"/>
  <c r="F370" i="1" s="1"/>
  <c r="E370" i="1" a="1"/>
  <c r="E370" i="1" s="1"/>
  <c r="L369" i="1" a="1"/>
  <c r="L369" i="1" s="1"/>
  <c r="J369" i="1" a="1"/>
  <c r="J369" i="1" s="1"/>
  <c r="K369" i="1" s="1" a="1"/>
  <c r="K369" i="1" s="1"/>
  <c r="N369" i="1" s="1" a="1"/>
  <c r="N369" i="1" s="1"/>
  <c r="I369" i="1" a="1"/>
  <c r="I369" i="1" s="1"/>
  <c r="F369" i="1" a="1"/>
  <c r="F369" i="1" s="1"/>
  <c r="E369" i="1" a="1"/>
  <c r="E369" i="1" s="1"/>
  <c r="L368" i="1" a="1"/>
  <c r="L368" i="1" s="1"/>
  <c r="O368" i="1" s="1" a="1"/>
  <c r="O368" i="1" s="1"/>
  <c r="J368" i="1" a="1"/>
  <c r="J368" i="1" s="1"/>
  <c r="K368" i="1" s="1" a="1"/>
  <c r="K368" i="1" s="1"/>
  <c r="N368" i="1" s="1" a="1"/>
  <c r="N368" i="1" s="1"/>
  <c r="I368" i="1" a="1"/>
  <c r="I368" i="1" s="1"/>
  <c r="F368" i="1" a="1"/>
  <c r="F368" i="1" s="1"/>
  <c r="E368" i="1" a="1"/>
  <c r="E368" i="1" s="1"/>
  <c r="L367" i="1" a="1"/>
  <c r="L367" i="1" s="1"/>
  <c r="J367" i="1" a="1"/>
  <c r="J367" i="1" s="1"/>
  <c r="K367" i="1" s="1" a="1"/>
  <c r="K367" i="1" s="1"/>
  <c r="N367" i="1" s="1" a="1"/>
  <c r="N367" i="1" s="1"/>
  <c r="I367" i="1" a="1"/>
  <c r="I367" i="1" s="1"/>
  <c r="F367" i="1" a="1"/>
  <c r="F367" i="1" s="1"/>
  <c r="E367" i="1" a="1"/>
  <c r="E367" i="1" s="1"/>
  <c r="L366" i="1" a="1"/>
  <c r="L366" i="1" s="1"/>
  <c r="J366" i="1" a="1"/>
  <c r="J366" i="1" s="1"/>
  <c r="K366" i="1" s="1" a="1"/>
  <c r="K366" i="1" s="1"/>
  <c r="N366" i="1" s="1" a="1"/>
  <c r="N366" i="1" s="1"/>
  <c r="I366" i="1" a="1"/>
  <c r="I366" i="1" s="1"/>
  <c r="F366" i="1" a="1"/>
  <c r="F366" i="1" s="1"/>
  <c r="E366" i="1" a="1"/>
  <c r="E366" i="1" s="1"/>
  <c r="L365" i="1" a="1"/>
  <c r="L365" i="1" s="1"/>
  <c r="J365" i="1" a="1"/>
  <c r="J365" i="1" s="1"/>
  <c r="K365" i="1" s="1" a="1"/>
  <c r="K365" i="1" s="1"/>
  <c r="N365" i="1" s="1" a="1"/>
  <c r="N365" i="1" s="1"/>
  <c r="I365" i="1" a="1"/>
  <c r="I365" i="1" s="1"/>
  <c r="F365" i="1" a="1"/>
  <c r="F365" i="1" s="1"/>
  <c r="E365" i="1" a="1"/>
  <c r="E365" i="1" s="1"/>
  <c r="L364" i="1" a="1"/>
  <c r="L364" i="1" s="1"/>
  <c r="O364" i="1" s="1" a="1"/>
  <c r="O364" i="1" s="1"/>
  <c r="J364" i="1" a="1"/>
  <c r="J364" i="1" s="1"/>
  <c r="K364" i="1" s="1" a="1"/>
  <c r="K364" i="1" s="1"/>
  <c r="N364" i="1" s="1" a="1"/>
  <c r="N364" i="1" s="1"/>
  <c r="I364" i="1" a="1"/>
  <c r="I364" i="1" s="1"/>
  <c r="F364" i="1" a="1"/>
  <c r="F364" i="1" s="1"/>
  <c r="E364" i="1" a="1"/>
  <c r="E364" i="1" s="1"/>
  <c r="L363" i="1" a="1"/>
  <c r="L363" i="1" s="1"/>
  <c r="J363" i="1" a="1"/>
  <c r="J363" i="1" s="1"/>
  <c r="K363" i="1" s="1" a="1"/>
  <c r="K363" i="1" s="1"/>
  <c r="N363" i="1" s="1" a="1"/>
  <c r="N363" i="1" s="1"/>
  <c r="I363" i="1" a="1"/>
  <c r="I363" i="1" s="1"/>
  <c r="F363" i="1" a="1"/>
  <c r="F363" i="1" s="1"/>
  <c r="E363" i="1" a="1"/>
  <c r="E363" i="1" s="1"/>
  <c r="L362" i="1" a="1"/>
  <c r="L362" i="1" s="1"/>
  <c r="J362" i="1" a="1"/>
  <c r="J362" i="1" s="1"/>
  <c r="K362" i="1" s="1" a="1"/>
  <c r="K362" i="1" s="1"/>
  <c r="N362" i="1" s="1" a="1"/>
  <c r="N362" i="1" s="1"/>
  <c r="I362" i="1" a="1"/>
  <c r="I362" i="1" s="1"/>
  <c r="F362" i="1" a="1"/>
  <c r="F362" i="1" s="1"/>
  <c r="E362" i="1" a="1"/>
  <c r="E362" i="1" s="1"/>
  <c r="L361" i="1" a="1"/>
  <c r="L361" i="1" s="1"/>
  <c r="J361" i="1" a="1"/>
  <c r="J361" i="1" s="1"/>
  <c r="K361" i="1" s="1" a="1"/>
  <c r="K361" i="1" s="1"/>
  <c r="N361" i="1" s="1" a="1"/>
  <c r="N361" i="1" s="1"/>
  <c r="I361" i="1" a="1"/>
  <c r="I361" i="1" s="1"/>
  <c r="F361" i="1" a="1"/>
  <c r="F361" i="1" s="1"/>
  <c r="E361" i="1" a="1"/>
  <c r="E361" i="1" s="1"/>
  <c r="L360" i="1" a="1"/>
  <c r="L360" i="1" s="1"/>
  <c r="O360" i="1" s="1" a="1"/>
  <c r="O360" i="1" s="1"/>
  <c r="J360" i="1" a="1"/>
  <c r="J360" i="1" s="1"/>
  <c r="K360" i="1" s="1" a="1"/>
  <c r="K360" i="1" s="1"/>
  <c r="N360" i="1" s="1" a="1"/>
  <c r="N360" i="1" s="1"/>
  <c r="I360" i="1" a="1"/>
  <c r="I360" i="1" s="1"/>
  <c r="F360" i="1" a="1"/>
  <c r="F360" i="1" s="1"/>
  <c r="E360" i="1" a="1"/>
  <c r="E360" i="1" s="1"/>
  <c r="L359" i="1" a="1"/>
  <c r="L359" i="1" s="1"/>
  <c r="J359" i="1" a="1"/>
  <c r="J359" i="1" s="1"/>
  <c r="K359" i="1" s="1" a="1"/>
  <c r="K359" i="1" s="1"/>
  <c r="N359" i="1" s="1" a="1"/>
  <c r="N359" i="1" s="1"/>
  <c r="I359" i="1" a="1"/>
  <c r="I359" i="1" s="1"/>
  <c r="F359" i="1" a="1"/>
  <c r="F359" i="1" s="1"/>
  <c r="E359" i="1" a="1"/>
  <c r="E359" i="1" s="1"/>
  <c r="L358" i="1" a="1"/>
  <c r="L358" i="1" s="1"/>
  <c r="J358" i="1" a="1"/>
  <c r="J358" i="1" s="1"/>
  <c r="K358" i="1" s="1" a="1"/>
  <c r="K358" i="1" s="1"/>
  <c r="N358" i="1" s="1" a="1"/>
  <c r="N358" i="1" s="1"/>
  <c r="I358" i="1" a="1"/>
  <c r="I358" i="1" s="1"/>
  <c r="F358" i="1" a="1"/>
  <c r="F358" i="1" s="1"/>
  <c r="E358" i="1" a="1"/>
  <c r="E358" i="1" s="1"/>
  <c r="L357" i="1" a="1"/>
  <c r="L357" i="1" s="1"/>
  <c r="J357" i="1" a="1"/>
  <c r="J357" i="1" s="1"/>
  <c r="K357" i="1" s="1" a="1"/>
  <c r="K357" i="1" s="1"/>
  <c r="N357" i="1" s="1" a="1"/>
  <c r="N357" i="1" s="1"/>
  <c r="I357" i="1" a="1"/>
  <c r="I357" i="1" s="1"/>
  <c r="F357" i="1" a="1"/>
  <c r="F357" i="1" s="1"/>
  <c r="E357" i="1" a="1"/>
  <c r="E357" i="1" s="1"/>
  <c r="L356" i="1" a="1"/>
  <c r="L356" i="1" s="1"/>
  <c r="O356" i="1" s="1" a="1"/>
  <c r="O356" i="1" s="1"/>
  <c r="J356" i="1" a="1"/>
  <c r="J356" i="1" s="1"/>
  <c r="K356" i="1" s="1" a="1"/>
  <c r="K356" i="1" s="1"/>
  <c r="N356" i="1" s="1" a="1"/>
  <c r="N356" i="1" s="1"/>
  <c r="I356" i="1" a="1"/>
  <c r="I356" i="1" s="1"/>
  <c r="F356" i="1" a="1"/>
  <c r="F356" i="1" s="1"/>
  <c r="E356" i="1" a="1"/>
  <c r="E356" i="1" s="1"/>
  <c r="L355" i="1" a="1"/>
  <c r="L355" i="1" s="1"/>
  <c r="J355" i="1" a="1"/>
  <c r="J355" i="1" s="1"/>
  <c r="K355" i="1" s="1" a="1"/>
  <c r="K355" i="1" s="1"/>
  <c r="N355" i="1" s="1" a="1"/>
  <c r="N355" i="1" s="1"/>
  <c r="I355" i="1" a="1"/>
  <c r="I355" i="1" s="1"/>
  <c r="F355" i="1" a="1"/>
  <c r="F355" i="1" s="1"/>
  <c r="E355" i="1" a="1"/>
  <c r="E355" i="1" s="1"/>
  <c r="N354" i="1" a="1"/>
  <c r="N354" i="1" s="1"/>
  <c r="L354" i="1" a="1"/>
  <c r="L354" i="1" s="1"/>
  <c r="O354" i="1" s="1" a="1"/>
  <c r="O354" i="1" s="1"/>
  <c r="J354" i="1" a="1"/>
  <c r="J354" i="1"/>
  <c r="K354" i="1" s="1" a="1"/>
  <c r="K354" i="1" s="1"/>
  <c r="I354" i="1" a="1"/>
  <c r="I354" i="1" s="1"/>
  <c r="F354" i="1" a="1"/>
  <c r="F354" i="1" s="1"/>
  <c r="E354" i="1" a="1"/>
  <c r="E354" i="1" s="1"/>
  <c r="L353" i="1" a="1"/>
  <c r="L353" i="1" s="1"/>
  <c r="J353" i="1" a="1"/>
  <c r="J353" i="1" s="1"/>
  <c r="K353" i="1" s="1" a="1"/>
  <c r="K353" i="1" s="1"/>
  <c r="I353" i="1" a="1"/>
  <c r="I353" i="1" s="1"/>
  <c r="F353" i="1" a="1"/>
  <c r="F353" i="1" s="1"/>
  <c r="E353" i="1" a="1"/>
  <c r="E353" i="1" s="1"/>
  <c r="O352" i="1" a="1"/>
  <c r="O352" i="1" s="1"/>
  <c r="L352" i="1" a="1"/>
  <c r="L352" i="1" s="1"/>
  <c r="J352" i="1" a="1"/>
  <c r="J352" i="1"/>
  <c r="K352" i="1" s="1" a="1"/>
  <c r="K352" i="1" s="1"/>
  <c r="N352" i="1" s="1" a="1"/>
  <c r="N352" i="1" s="1"/>
  <c r="I352" i="1" a="1"/>
  <c r="I352" i="1" s="1"/>
  <c r="F352" i="1" a="1"/>
  <c r="F352" i="1" s="1"/>
  <c r="E352" i="1" a="1"/>
  <c r="E352" i="1" s="1"/>
  <c r="L351" i="1" a="1"/>
  <c r="L351" i="1" s="1"/>
  <c r="J351" i="1" a="1"/>
  <c r="J351" i="1" s="1"/>
  <c r="K351" i="1" s="1" a="1"/>
  <c r="K351" i="1" s="1"/>
  <c r="I351" i="1" a="1"/>
  <c r="I351" i="1" s="1"/>
  <c r="F351" i="1" a="1"/>
  <c r="F351" i="1" s="1"/>
  <c r="E351" i="1" a="1"/>
  <c r="E351" i="1" s="1"/>
  <c r="L350" i="1" a="1"/>
  <c r="L350" i="1" s="1"/>
  <c r="J350" i="1" a="1"/>
  <c r="J350" i="1"/>
  <c r="I350" i="1" a="1"/>
  <c r="I350" i="1" s="1"/>
  <c r="F350" i="1" a="1"/>
  <c r="F350" i="1" s="1"/>
  <c r="E350" i="1" a="1"/>
  <c r="E350" i="1" s="1"/>
  <c r="L349" i="1" a="1"/>
  <c r="L349" i="1" s="1"/>
  <c r="J349" i="1" a="1"/>
  <c r="J349" i="1"/>
  <c r="K349" i="1" s="1" a="1"/>
  <c r="K349" i="1" s="1"/>
  <c r="O349" i="1" s="1" a="1"/>
  <c r="O349" i="1" s="1"/>
  <c r="I349" i="1" a="1"/>
  <c r="I349" i="1" s="1"/>
  <c r="F349" i="1" a="1"/>
  <c r="F349" i="1" s="1"/>
  <c r="E349" i="1" a="1"/>
  <c r="E349" i="1" s="1"/>
  <c r="L348" i="1" a="1"/>
  <c r="L348" i="1" s="1"/>
  <c r="J348" i="1" a="1"/>
  <c r="J348" i="1" s="1"/>
  <c r="K348" i="1" s="1" a="1"/>
  <c r="K348" i="1" s="1"/>
  <c r="N348" i="1" s="1" a="1"/>
  <c r="N348" i="1" s="1"/>
  <c r="I348" i="1" a="1"/>
  <c r="I348" i="1" s="1"/>
  <c r="F348" i="1" a="1"/>
  <c r="F348" i="1" s="1"/>
  <c r="E348" i="1" a="1"/>
  <c r="E348" i="1" s="1"/>
  <c r="L347" i="1" a="1"/>
  <c r="L347" i="1" s="1"/>
  <c r="J347" i="1" a="1"/>
  <c r="J347" i="1" s="1"/>
  <c r="K347" i="1" s="1" a="1"/>
  <c r="K347" i="1" s="1"/>
  <c r="N347" i="1" s="1" a="1"/>
  <c r="N347" i="1" s="1"/>
  <c r="I347" i="1" a="1"/>
  <c r="I347" i="1" s="1"/>
  <c r="F347" i="1" a="1"/>
  <c r="F347" i="1" s="1"/>
  <c r="E347" i="1" a="1"/>
  <c r="E347" i="1" s="1"/>
  <c r="N346" i="1" a="1"/>
  <c r="N346" i="1" s="1"/>
  <c r="L346" i="1" a="1"/>
  <c r="L346" i="1" s="1"/>
  <c r="O346" i="1" s="1" a="1"/>
  <c r="O346" i="1" s="1"/>
  <c r="J346" i="1" a="1"/>
  <c r="J346" i="1"/>
  <c r="K346" i="1" s="1" a="1"/>
  <c r="K346" i="1" s="1"/>
  <c r="I346" i="1" a="1"/>
  <c r="I346" i="1" s="1"/>
  <c r="F346" i="1" a="1"/>
  <c r="F346" i="1" s="1"/>
  <c r="E346" i="1" a="1"/>
  <c r="E346" i="1" s="1"/>
  <c r="L345" i="1" a="1"/>
  <c r="L345" i="1" s="1"/>
  <c r="J345" i="1" a="1"/>
  <c r="J345" i="1" s="1"/>
  <c r="K345" i="1" s="1" a="1"/>
  <c r="K345" i="1" s="1"/>
  <c r="I345" i="1" a="1"/>
  <c r="I345" i="1" s="1"/>
  <c r="F345" i="1" a="1"/>
  <c r="F345" i="1" s="1"/>
  <c r="E345" i="1" a="1"/>
  <c r="E345" i="1" s="1"/>
  <c r="O344" i="1" a="1"/>
  <c r="O344" i="1" s="1"/>
  <c r="L344" i="1" a="1"/>
  <c r="L344" i="1" s="1"/>
  <c r="J344" i="1" a="1"/>
  <c r="J344" i="1"/>
  <c r="K344" i="1" s="1" a="1"/>
  <c r="K344" i="1" s="1"/>
  <c r="N344" i="1" s="1" a="1"/>
  <c r="N344" i="1" s="1"/>
  <c r="I344" i="1" a="1"/>
  <c r="I344" i="1" s="1"/>
  <c r="F344" i="1" a="1"/>
  <c r="F344" i="1" s="1"/>
  <c r="E344" i="1" a="1"/>
  <c r="E344" i="1" s="1"/>
  <c r="L343" i="1" a="1"/>
  <c r="L343" i="1" s="1"/>
  <c r="J343" i="1" a="1"/>
  <c r="J343" i="1" s="1"/>
  <c r="K343" i="1" s="1" a="1"/>
  <c r="K343" i="1" s="1"/>
  <c r="I343" i="1" a="1"/>
  <c r="I343" i="1" s="1"/>
  <c r="F343" i="1" a="1"/>
  <c r="F343" i="1" s="1"/>
  <c r="E343" i="1" a="1"/>
  <c r="E343" i="1" s="1"/>
  <c r="L342" i="1" a="1"/>
  <c r="L342" i="1" s="1"/>
  <c r="J342" i="1" a="1"/>
  <c r="J342" i="1"/>
  <c r="I342" i="1" a="1"/>
  <c r="I342" i="1" s="1"/>
  <c r="F342" i="1" a="1"/>
  <c r="F342" i="1" s="1"/>
  <c r="E342" i="1" a="1"/>
  <c r="E342" i="1" s="1"/>
  <c r="L341" i="1" a="1"/>
  <c r="L341" i="1" s="1"/>
  <c r="J341" i="1" a="1"/>
  <c r="J341" i="1"/>
  <c r="K341" i="1" s="1" a="1"/>
  <c r="K341" i="1" s="1"/>
  <c r="O341" i="1" s="1" a="1"/>
  <c r="O341" i="1" s="1"/>
  <c r="I341" i="1" a="1"/>
  <c r="I341" i="1" s="1"/>
  <c r="F341" i="1" a="1"/>
  <c r="F341" i="1" s="1"/>
  <c r="E341" i="1" a="1"/>
  <c r="E341" i="1" s="1"/>
  <c r="L340" i="1" a="1"/>
  <c r="L340" i="1" s="1"/>
  <c r="O340" i="1" s="1" a="1"/>
  <c r="O340" i="1" s="1"/>
  <c r="J340" i="1" a="1"/>
  <c r="J340" i="1" s="1"/>
  <c r="K340" i="1" s="1" a="1"/>
  <c r="K340" i="1" s="1"/>
  <c r="N340" i="1" s="1" a="1"/>
  <c r="N340" i="1" s="1"/>
  <c r="I340" i="1" a="1"/>
  <c r="I340" i="1" s="1"/>
  <c r="F340" i="1" a="1"/>
  <c r="F340" i="1" s="1"/>
  <c r="E340" i="1" a="1"/>
  <c r="E340" i="1" s="1"/>
  <c r="L339" i="1" a="1"/>
  <c r="L339" i="1" s="1"/>
  <c r="J339" i="1" a="1"/>
  <c r="J339" i="1" s="1"/>
  <c r="K339" i="1" s="1" a="1"/>
  <c r="K339" i="1" s="1"/>
  <c r="N339" i="1" s="1" a="1"/>
  <c r="N339" i="1" s="1"/>
  <c r="I339" i="1" a="1"/>
  <c r="I339" i="1" s="1"/>
  <c r="F339" i="1" a="1"/>
  <c r="F339" i="1" s="1"/>
  <c r="E339" i="1" a="1"/>
  <c r="E339" i="1" s="1"/>
  <c r="N338" i="1" a="1"/>
  <c r="N338" i="1" s="1"/>
  <c r="L338" i="1" a="1"/>
  <c r="L338" i="1" s="1"/>
  <c r="O338" i="1" s="1" a="1"/>
  <c r="O338" i="1" s="1"/>
  <c r="J338" i="1" a="1"/>
  <c r="J338" i="1"/>
  <c r="K338" i="1" s="1" a="1"/>
  <c r="K338" i="1" s="1"/>
  <c r="I338" i="1" a="1"/>
  <c r="I338" i="1" s="1"/>
  <c r="F338" i="1" a="1"/>
  <c r="F338" i="1" s="1"/>
  <c r="E338" i="1" a="1"/>
  <c r="E338" i="1" s="1"/>
  <c r="L337" i="1" a="1"/>
  <c r="L337" i="1" s="1"/>
  <c r="J337" i="1" a="1"/>
  <c r="J337" i="1" s="1"/>
  <c r="K337" i="1" s="1" a="1"/>
  <c r="K337" i="1" s="1"/>
  <c r="I337" i="1" a="1"/>
  <c r="I337" i="1" s="1"/>
  <c r="F337" i="1" a="1"/>
  <c r="F337" i="1" s="1"/>
  <c r="E337" i="1" a="1"/>
  <c r="E337" i="1" s="1"/>
  <c r="O336" i="1" a="1"/>
  <c r="O336" i="1" s="1"/>
  <c r="L336" i="1" a="1"/>
  <c r="L336" i="1" s="1"/>
  <c r="J336" i="1" a="1"/>
  <c r="J336" i="1"/>
  <c r="K336" i="1" s="1" a="1"/>
  <c r="K336" i="1" s="1"/>
  <c r="N336" i="1" s="1" a="1"/>
  <c r="N336" i="1" s="1"/>
  <c r="I336" i="1" a="1"/>
  <c r="I336" i="1" s="1"/>
  <c r="F336" i="1" a="1"/>
  <c r="F336" i="1" s="1"/>
  <c r="E336" i="1" a="1"/>
  <c r="E336" i="1" s="1"/>
  <c r="L335" i="1" a="1"/>
  <c r="L335" i="1" s="1"/>
  <c r="J335" i="1" a="1"/>
  <c r="J335" i="1" s="1"/>
  <c r="K335" i="1" s="1" a="1"/>
  <c r="K335" i="1" s="1"/>
  <c r="I335" i="1" a="1"/>
  <c r="I335" i="1" s="1"/>
  <c r="F335" i="1" a="1"/>
  <c r="F335" i="1" s="1"/>
  <c r="E335" i="1" a="1"/>
  <c r="E335" i="1" s="1"/>
  <c r="L334" i="1" a="1"/>
  <c r="L334" i="1" s="1"/>
  <c r="J334" i="1" a="1"/>
  <c r="J334" i="1"/>
  <c r="I334" i="1" a="1"/>
  <c r="I334" i="1" s="1"/>
  <c r="F334" i="1" a="1"/>
  <c r="F334" i="1" s="1"/>
  <c r="E334" i="1" a="1"/>
  <c r="E334" i="1" s="1"/>
  <c r="L333" i="1" a="1"/>
  <c r="L333" i="1" s="1"/>
  <c r="J333" i="1" a="1"/>
  <c r="J333" i="1"/>
  <c r="K333" i="1" s="1" a="1"/>
  <c r="K333" i="1" s="1"/>
  <c r="O333" i="1" s="1" a="1"/>
  <c r="O333" i="1" s="1"/>
  <c r="I333" i="1" a="1"/>
  <c r="I333" i="1" s="1"/>
  <c r="F333" i="1" a="1"/>
  <c r="F333" i="1" s="1"/>
  <c r="E333" i="1" a="1"/>
  <c r="E333" i="1" s="1"/>
  <c r="L332" i="1" a="1"/>
  <c r="L332" i="1" s="1"/>
  <c r="J332" i="1" a="1"/>
  <c r="J332" i="1" s="1"/>
  <c r="K332" i="1" s="1" a="1"/>
  <c r="K332" i="1" s="1"/>
  <c r="N332" i="1" s="1" a="1"/>
  <c r="N332" i="1" s="1"/>
  <c r="I332" i="1" a="1"/>
  <c r="I332" i="1" s="1"/>
  <c r="F332" i="1" a="1"/>
  <c r="F332" i="1" s="1"/>
  <c r="E332" i="1" a="1"/>
  <c r="E332" i="1" s="1"/>
  <c r="L331" i="1" a="1"/>
  <c r="L331" i="1" s="1"/>
  <c r="J331" i="1" a="1"/>
  <c r="J331" i="1" s="1"/>
  <c r="K331" i="1" s="1" a="1"/>
  <c r="K331" i="1" s="1"/>
  <c r="N331" i="1" s="1" a="1"/>
  <c r="N331" i="1" s="1"/>
  <c r="I331" i="1" a="1"/>
  <c r="I331" i="1" s="1"/>
  <c r="F331" i="1" a="1"/>
  <c r="F331" i="1" s="1"/>
  <c r="E331" i="1" a="1"/>
  <c r="E331" i="1" s="1"/>
  <c r="N330" i="1" a="1"/>
  <c r="N330" i="1" s="1"/>
  <c r="L330" i="1" a="1"/>
  <c r="L330" i="1" s="1"/>
  <c r="O330" i="1" s="1" a="1"/>
  <c r="O330" i="1" s="1"/>
  <c r="J330" i="1" a="1"/>
  <c r="J330" i="1"/>
  <c r="K330" i="1" s="1" a="1"/>
  <c r="K330" i="1" s="1"/>
  <c r="I330" i="1" a="1"/>
  <c r="I330" i="1" s="1"/>
  <c r="F330" i="1" a="1"/>
  <c r="F330" i="1" s="1"/>
  <c r="E330" i="1" a="1"/>
  <c r="E330" i="1" s="1"/>
  <c r="L329" i="1" a="1"/>
  <c r="L329" i="1" s="1"/>
  <c r="J329" i="1" a="1"/>
  <c r="J329" i="1" s="1"/>
  <c r="K329" i="1" s="1" a="1"/>
  <c r="K329" i="1" s="1"/>
  <c r="I329" i="1" a="1"/>
  <c r="I329" i="1" s="1"/>
  <c r="F329" i="1" a="1"/>
  <c r="F329" i="1" s="1"/>
  <c r="E329" i="1" a="1"/>
  <c r="E329" i="1" s="1"/>
  <c r="O328" i="1" a="1"/>
  <c r="O328" i="1" s="1"/>
  <c r="L328" i="1" a="1"/>
  <c r="L328" i="1" s="1"/>
  <c r="J328" i="1" a="1"/>
  <c r="J328" i="1"/>
  <c r="K328" i="1" s="1" a="1"/>
  <c r="K328" i="1" s="1"/>
  <c r="N328" i="1" s="1" a="1"/>
  <c r="N328" i="1" s="1"/>
  <c r="I328" i="1" a="1"/>
  <c r="I328" i="1" s="1"/>
  <c r="F328" i="1" a="1"/>
  <c r="F328" i="1" s="1"/>
  <c r="E328" i="1" a="1"/>
  <c r="E328" i="1" s="1"/>
  <c r="L327" i="1" a="1"/>
  <c r="L327" i="1" s="1"/>
  <c r="J327" i="1" a="1"/>
  <c r="J327" i="1" s="1"/>
  <c r="K327" i="1" s="1" a="1"/>
  <c r="K327" i="1" s="1"/>
  <c r="I327" i="1" a="1"/>
  <c r="I327" i="1" s="1"/>
  <c r="F327" i="1" a="1"/>
  <c r="F327" i="1" s="1"/>
  <c r="E327" i="1" a="1"/>
  <c r="E327" i="1" s="1"/>
  <c r="L326" i="1" a="1"/>
  <c r="L326" i="1" s="1"/>
  <c r="J326" i="1" a="1"/>
  <c r="J326" i="1"/>
  <c r="I326" i="1" a="1"/>
  <c r="I326" i="1" s="1"/>
  <c r="F326" i="1" a="1"/>
  <c r="F326" i="1" s="1"/>
  <c r="E326" i="1" a="1"/>
  <c r="E326" i="1" s="1"/>
  <c r="L325" i="1" a="1"/>
  <c r="L325" i="1" s="1"/>
  <c r="J325" i="1" a="1"/>
  <c r="J325" i="1"/>
  <c r="K325" i="1" s="1" a="1"/>
  <c r="K325" i="1" s="1"/>
  <c r="O325" i="1" s="1" a="1"/>
  <c r="O325" i="1" s="1"/>
  <c r="I325" i="1" a="1"/>
  <c r="I325" i="1" s="1"/>
  <c r="F325" i="1" a="1"/>
  <c r="F325" i="1" s="1"/>
  <c r="E325" i="1" a="1"/>
  <c r="E325" i="1" s="1"/>
  <c r="L324" i="1" a="1"/>
  <c r="L324" i="1" s="1"/>
  <c r="O324" i="1" s="1" a="1"/>
  <c r="O324" i="1" s="1"/>
  <c r="J324" i="1" a="1"/>
  <c r="J324" i="1" s="1"/>
  <c r="K324" i="1" s="1" a="1"/>
  <c r="K324" i="1" s="1"/>
  <c r="N324" i="1" s="1" a="1"/>
  <c r="N324" i="1" s="1"/>
  <c r="I324" i="1" a="1"/>
  <c r="I324" i="1" s="1"/>
  <c r="F324" i="1" a="1"/>
  <c r="F324" i="1" s="1"/>
  <c r="E324" i="1" a="1"/>
  <c r="E324" i="1" s="1"/>
  <c r="L323" i="1" a="1"/>
  <c r="L323" i="1" s="1"/>
  <c r="J323" i="1" a="1"/>
  <c r="J323" i="1" s="1"/>
  <c r="K323" i="1" s="1" a="1"/>
  <c r="K323" i="1" s="1"/>
  <c r="N323" i="1" s="1" a="1"/>
  <c r="N323" i="1" s="1"/>
  <c r="I323" i="1" a="1"/>
  <c r="I323" i="1" s="1"/>
  <c r="F323" i="1" a="1"/>
  <c r="F323" i="1" s="1"/>
  <c r="E323" i="1" a="1"/>
  <c r="E323" i="1" s="1"/>
  <c r="N322" i="1" a="1"/>
  <c r="N322" i="1" s="1"/>
  <c r="L322" i="1" a="1"/>
  <c r="L322" i="1" s="1"/>
  <c r="O322" i="1" s="1" a="1"/>
  <c r="O322" i="1" s="1"/>
  <c r="J322" i="1" a="1"/>
  <c r="J322" i="1"/>
  <c r="K322" i="1" s="1" a="1"/>
  <c r="K322" i="1" s="1"/>
  <c r="I322" i="1" a="1"/>
  <c r="I322" i="1" s="1"/>
  <c r="F322" i="1" a="1"/>
  <c r="F322" i="1" s="1"/>
  <c r="E322" i="1" a="1"/>
  <c r="E322" i="1" s="1"/>
  <c r="L321" i="1" a="1"/>
  <c r="L321" i="1" s="1"/>
  <c r="J321" i="1" a="1"/>
  <c r="J321" i="1" s="1"/>
  <c r="K321" i="1" s="1" a="1"/>
  <c r="K321" i="1" s="1"/>
  <c r="I321" i="1" a="1"/>
  <c r="I321" i="1" s="1"/>
  <c r="F321" i="1" a="1"/>
  <c r="F321" i="1" s="1"/>
  <c r="E321" i="1" a="1"/>
  <c r="E321" i="1" s="1"/>
  <c r="O320" i="1" a="1"/>
  <c r="O320" i="1" s="1"/>
  <c r="L320" i="1" a="1"/>
  <c r="L320" i="1" s="1"/>
  <c r="J320" i="1" a="1"/>
  <c r="J320" i="1"/>
  <c r="K320" i="1" s="1" a="1"/>
  <c r="K320" i="1" s="1"/>
  <c r="N320" i="1" s="1" a="1"/>
  <c r="N320" i="1" s="1"/>
  <c r="I320" i="1" a="1"/>
  <c r="I320" i="1" s="1"/>
  <c r="F320" i="1" a="1"/>
  <c r="F320" i="1" s="1"/>
  <c r="E320" i="1" a="1"/>
  <c r="E320" i="1" s="1"/>
  <c r="L319" i="1" a="1"/>
  <c r="L319" i="1" s="1"/>
  <c r="J319" i="1" a="1"/>
  <c r="J319" i="1" s="1"/>
  <c r="K319" i="1" s="1" a="1"/>
  <c r="K319" i="1" s="1"/>
  <c r="I319" i="1" a="1"/>
  <c r="I319" i="1" s="1"/>
  <c r="F319" i="1" a="1"/>
  <c r="F319" i="1" s="1"/>
  <c r="E319" i="1" a="1"/>
  <c r="E319" i="1" s="1"/>
  <c r="L318" i="1" a="1"/>
  <c r="L318" i="1" s="1"/>
  <c r="J318" i="1" a="1"/>
  <c r="J318" i="1"/>
  <c r="I318" i="1" a="1"/>
  <c r="I318" i="1" s="1"/>
  <c r="F318" i="1" a="1"/>
  <c r="F318" i="1" s="1"/>
  <c r="E318" i="1" a="1"/>
  <c r="E318" i="1" s="1"/>
  <c r="L317" i="1" a="1"/>
  <c r="L317" i="1" s="1"/>
  <c r="J317" i="1" a="1"/>
  <c r="J317" i="1"/>
  <c r="K317" i="1" s="1" a="1"/>
  <c r="K317" i="1" s="1"/>
  <c r="O317" i="1" s="1" a="1"/>
  <c r="O317" i="1" s="1"/>
  <c r="I317" i="1" a="1"/>
  <c r="I317" i="1" s="1"/>
  <c r="F317" i="1" a="1"/>
  <c r="F317" i="1" s="1"/>
  <c r="E317" i="1" a="1"/>
  <c r="E317" i="1" s="1"/>
  <c r="L316" i="1" a="1"/>
  <c r="L316" i="1" s="1"/>
  <c r="J316" i="1" a="1"/>
  <c r="J316" i="1" s="1"/>
  <c r="K316" i="1" s="1" a="1"/>
  <c r="K316" i="1" s="1"/>
  <c r="N316" i="1" s="1" a="1"/>
  <c r="N316" i="1" s="1"/>
  <c r="I316" i="1" a="1"/>
  <c r="I316" i="1" s="1"/>
  <c r="F316" i="1" a="1"/>
  <c r="F316" i="1" s="1"/>
  <c r="E316" i="1" a="1"/>
  <c r="E316" i="1" s="1"/>
  <c r="L315" i="1" a="1"/>
  <c r="L315" i="1" s="1"/>
  <c r="J315" i="1" a="1"/>
  <c r="J315" i="1" s="1"/>
  <c r="K315" i="1" s="1" a="1"/>
  <c r="K315" i="1" s="1"/>
  <c r="N315" i="1" s="1" a="1"/>
  <c r="N315" i="1" s="1"/>
  <c r="I315" i="1" a="1"/>
  <c r="I315" i="1" s="1"/>
  <c r="F315" i="1" a="1"/>
  <c r="F315" i="1" s="1"/>
  <c r="E315" i="1" a="1"/>
  <c r="E315" i="1" s="1"/>
  <c r="N314" i="1" a="1"/>
  <c r="N314" i="1" s="1"/>
  <c r="L314" i="1" a="1"/>
  <c r="L314" i="1" s="1"/>
  <c r="O314" i="1" s="1" a="1"/>
  <c r="O314" i="1" s="1"/>
  <c r="J314" i="1" a="1"/>
  <c r="J314" i="1"/>
  <c r="K314" i="1" s="1" a="1"/>
  <c r="K314" i="1" s="1"/>
  <c r="I314" i="1" a="1"/>
  <c r="I314" i="1" s="1"/>
  <c r="F314" i="1" a="1"/>
  <c r="F314" i="1" s="1"/>
  <c r="E314" i="1" a="1"/>
  <c r="E314" i="1" s="1"/>
  <c r="L313" i="1" a="1"/>
  <c r="L313" i="1" s="1"/>
  <c r="J313" i="1" a="1"/>
  <c r="J313" i="1" s="1"/>
  <c r="K313" i="1" s="1" a="1"/>
  <c r="K313" i="1" s="1"/>
  <c r="I313" i="1" a="1"/>
  <c r="I313" i="1" s="1"/>
  <c r="F313" i="1" a="1"/>
  <c r="F313" i="1" s="1"/>
  <c r="E313" i="1" a="1"/>
  <c r="E313" i="1" s="1"/>
  <c r="O312" i="1" a="1"/>
  <c r="O312" i="1" s="1"/>
  <c r="L312" i="1" a="1"/>
  <c r="L312" i="1" s="1"/>
  <c r="J312" i="1" a="1"/>
  <c r="J312" i="1"/>
  <c r="K312" i="1" s="1" a="1"/>
  <c r="K312" i="1" s="1"/>
  <c r="N312" i="1" s="1" a="1"/>
  <c r="N312" i="1" s="1"/>
  <c r="I312" i="1" a="1"/>
  <c r="I312" i="1" s="1"/>
  <c r="F312" i="1" a="1"/>
  <c r="F312" i="1" s="1"/>
  <c r="E312" i="1" a="1"/>
  <c r="E312" i="1" s="1"/>
  <c r="L311" i="1" a="1"/>
  <c r="L311" i="1" s="1"/>
  <c r="J311" i="1" a="1"/>
  <c r="J311" i="1" s="1"/>
  <c r="K311" i="1" s="1" a="1"/>
  <c r="K311" i="1" s="1"/>
  <c r="I311" i="1" a="1"/>
  <c r="I311" i="1" s="1"/>
  <c r="F311" i="1" a="1"/>
  <c r="F311" i="1" s="1"/>
  <c r="E311" i="1" a="1"/>
  <c r="E311" i="1" s="1"/>
  <c r="L310" i="1" a="1"/>
  <c r="L310" i="1" s="1"/>
  <c r="J310" i="1" a="1"/>
  <c r="J310" i="1"/>
  <c r="I310" i="1" a="1"/>
  <c r="I310" i="1" s="1"/>
  <c r="F310" i="1" a="1"/>
  <c r="F310" i="1" s="1"/>
  <c r="E310" i="1" a="1"/>
  <c r="E310" i="1" s="1"/>
  <c r="L309" i="1" a="1"/>
  <c r="L309" i="1" s="1"/>
  <c r="J309" i="1" a="1"/>
  <c r="J309" i="1"/>
  <c r="K309" i="1" s="1" a="1"/>
  <c r="K309" i="1" s="1"/>
  <c r="O309" i="1" s="1" a="1"/>
  <c r="O309" i="1" s="1"/>
  <c r="I309" i="1" a="1"/>
  <c r="I309" i="1" s="1"/>
  <c r="F309" i="1" a="1"/>
  <c r="F309" i="1" s="1"/>
  <c r="E309" i="1" a="1"/>
  <c r="E309" i="1" s="1"/>
  <c r="L308" i="1" a="1"/>
  <c r="L308" i="1" s="1"/>
  <c r="O308" i="1" s="1" a="1"/>
  <c r="O308" i="1" s="1"/>
  <c r="J308" i="1" a="1"/>
  <c r="J308" i="1" s="1"/>
  <c r="K308" i="1" s="1" a="1"/>
  <c r="K308" i="1" s="1"/>
  <c r="N308" i="1" s="1" a="1"/>
  <c r="N308" i="1" s="1"/>
  <c r="I308" i="1" a="1"/>
  <c r="I308" i="1" s="1"/>
  <c r="F308" i="1" a="1"/>
  <c r="F308" i="1" s="1"/>
  <c r="E308" i="1" a="1"/>
  <c r="E308" i="1" s="1"/>
  <c r="L307" i="1" a="1"/>
  <c r="L307" i="1" s="1"/>
  <c r="J307" i="1" a="1"/>
  <c r="J307" i="1"/>
  <c r="K307" i="1" s="1" a="1"/>
  <c r="K307" i="1" s="1"/>
  <c r="N307" i="1" s="1" a="1"/>
  <c r="N307" i="1" s="1"/>
  <c r="I307" i="1" a="1"/>
  <c r="I307" i="1" s="1"/>
  <c r="F307" i="1" a="1"/>
  <c r="F307" i="1" s="1"/>
  <c r="E307" i="1" a="1"/>
  <c r="E307" i="1" s="1"/>
  <c r="O306" i="1" a="1"/>
  <c r="O306" i="1"/>
  <c r="L306" i="1" a="1"/>
  <c r="L306" i="1" s="1"/>
  <c r="K306" i="1" a="1"/>
  <c r="K306" i="1" s="1"/>
  <c r="N306" i="1" s="1" a="1"/>
  <c r="N306" i="1" s="1"/>
  <c r="J306" i="1" a="1"/>
  <c r="J306" i="1"/>
  <c r="I306" i="1" a="1"/>
  <c r="I306" i="1" s="1"/>
  <c r="F306" i="1" a="1"/>
  <c r="F306" i="1" s="1"/>
  <c r="E306" i="1" a="1"/>
  <c r="E306" i="1" s="1"/>
  <c r="L305" i="1" a="1"/>
  <c r="L305" i="1" s="1"/>
  <c r="J305" i="1" a="1"/>
  <c r="J305" i="1"/>
  <c r="K305" i="1" s="1" a="1"/>
  <c r="K305" i="1" s="1"/>
  <c r="I305" i="1" a="1"/>
  <c r="I305" i="1" s="1"/>
  <c r="F305" i="1" a="1"/>
  <c r="F305" i="1" s="1"/>
  <c r="E305" i="1" a="1"/>
  <c r="E305" i="1" s="1"/>
  <c r="L304" i="1" a="1"/>
  <c r="L304" i="1" s="1"/>
  <c r="J304" i="1" a="1"/>
  <c r="J304" i="1" s="1"/>
  <c r="K304" i="1" s="1" a="1"/>
  <c r="K304" i="1" s="1"/>
  <c r="I304" i="1" a="1"/>
  <c r="I304" i="1" s="1"/>
  <c r="F304" i="1" a="1"/>
  <c r="F304" i="1" s="1"/>
  <c r="E304" i="1" a="1"/>
  <c r="E304" i="1" s="1"/>
  <c r="L303" i="1" a="1"/>
  <c r="L303" i="1" s="1"/>
  <c r="O303" i="1" s="1" a="1"/>
  <c r="O303" i="1" s="1"/>
  <c r="J303" i="1" a="1"/>
  <c r="J303" i="1"/>
  <c r="K303" i="1" s="1" a="1"/>
  <c r="K303" i="1" s="1"/>
  <c r="N303" i="1" s="1" a="1"/>
  <c r="N303" i="1" s="1"/>
  <c r="I303" i="1" a="1"/>
  <c r="I303" i="1" s="1"/>
  <c r="F303" i="1" a="1"/>
  <c r="F303" i="1" s="1"/>
  <c r="E303" i="1" a="1"/>
  <c r="E303" i="1" s="1"/>
  <c r="O302" i="1" a="1"/>
  <c r="O302" i="1"/>
  <c r="L302" i="1" a="1"/>
  <c r="L302" i="1" s="1"/>
  <c r="K302" i="1" a="1"/>
  <c r="K302" i="1" s="1"/>
  <c r="N302" i="1" s="1" a="1"/>
  <c r="N302" i="1" s="1"/>
  <c r="J302" i="1" a="1"/>
  <c r="J302" i="1"/>
  <c r="I302" i="1" a="1"/>
  <c r="I302" i="1" s="1"/>
  <c r="F302" i="1" a="1"/>
  <c r="F302" i="1" s="1"/>
  <c r="E302" i="1" a="1"/>
  <c r="E302" i="1" s="1"/>
  <c r="L301" i="1" a="1"/>
  <c r="L301" i="1" s="1"/>
  <c r="J301" i="1" a="1"/>
  <c r="J301" i="1"/>
  <c r="K301" i="1" s="1" a="1"/>
  <c r="K301" i="1" s="1"/>
  <c r="I301" i="1" a="1"/>
  <c r="I301" i="1" s="1"/>
  <c r="F301" i="1" a="1"/>
  <c r="F301" i="1" s="1"/>
  <c r="E301" i="1" a="1"/>
  <c r="E301" i="1" s="1"/>
  <c r="L300" i="1" a="1"/>
  <c r="L300" i="1" s="1"/>
  <c r="J300" i="1" a="1"/>
  <c r="J300" i="1" s="1"/>
  <c r="K300" i="1" s="1" a="1"/>
  <c r="K300" i="1" s="1"/>
  <c r="I300" i="1" a="1"/>
  <c r="I300" i="1" s="1"/>
  <c r="F300" i="1" a="1"/>
  <c r="F300" i="1" s="1"/>
  <c r="E300" i="1" a="1"/>
  <c r="E300" i="1" s="1"/>
  <c r="L299" i="1" a="1"/>
  <c r="L299" i="1" s="1"/>
  <c r="J299" i="1" a="1"/>
  <c r="J299" i="1"/>
  <c r="K299" i="1" s="1" a="1"/>
  <c r="K299" i="1" s="1"/>
  <c r="N299" i="1" s="1" a="1"/>
  <c r="N299" i="1" s="1"/>
  <c r="I299" i="1" a="1"/>
  <c r="I299" i="1" s="1"/>
  <c r="F299" i="1" a="1"/>
  <c r="F299" i="1" s="1"/>
  <c r="E299" i="1" a="1"/>
  <c r="E299" i="1" s="1"/>
  <c r="O298" i="1" a="1"/>
  <c r="O298" i="1"/>
  <c r="L298" i="1" a="1"/>
  <c r="L298" i="1" s="1"/>
  <c r="K298" i="1" a="1"/>
  <c r="K298" i="1" s="1"/>
  <c r="N298" i="1" s="1" a="1"/>
  <c r="N298" i="1" s="1"/>
  <c r="J298" i="1" a="1"/>
  <c r="J298" i="1"/>
  <c r="I298" i="1" a="1"/>
  <c r="I298" i="1" s="1"/>
  <c r="F298" i="1" a="1"/>
  <c r="F298" i="1" s="1"/>
  <c r="E298" i="1" a="1"/>
  <c r="E298" i="1" s="1"/>
  <c r="L297" i="1" a="1"/>
  <c r="L297" i="1" s="1"/>
  <c r="J297" i="1" a="1"/>
  <c r="J297" i="1"/>
  <c r="K297" i="1" s="1" a="1"/>
  <c r="K297" i="1" s="1"/>
  <c r="I297" i="1" a="1"/>
  <c r="I297" i="1" s="1"/>
  <c r="F297" i="1" a="1"/>
  <c r="F297" i="1" s="1"/>
  <c r="E297" i="1" a="1"/>
  <c r="E297" i="1" s="1"/>
  <c r="L296" i="1" a="1"/>
  <c r="L296" i="1" s="1"/>
  <c r="J296" i="1" a="1"/>
  <c r="J296" i="1" s="1"/>
  <c r="K296" i="1" s="1" a="1"/>
  <c r="K296" i="1" s="1"/>
  <c r="I296" i="1" a="1"/>
  <c r="I296" i="1" s="1"/>
  <c r="F296" i="1" a="1"/>
  <c r="F296" i="1" s="1"/>
  <c r="E296" i="1" a="1"/>
  <c r="E296" i="1" s="1"/>
  <c r="L295" i="1" a="1"/>
  <c r="L295" i="1" s="1"/>
  <c r="O295" i="1" s="1" a="1"/>
  <c r="O295" i="1" s="1"/>
  <c r="J295" i="1" a="1"/>
  <c r="J295" i="1"/>
  <c r="K295" i="1" s="1" a="1"/>
  <c r="K295" i="1" s="1"/>
  <c r="N295" i="1" s="1" a="1"/>
  <c r="N295" i="1" s="1"/>
  <c r="I295" i="1" a="1"/>
  <c r="I295" i="1" s="1"/>
  <c r="F295" i="1" a="1"/>
  <c r="F295" i="1" s="1"/>
  <c r="E295" i="1" a="1"/>
  <c r="E295" i="1" s="1"/>
  <c r="O294" i="1" a="1"/>
  <c r="O294" i="1"/>
  <c r="L294" i="1" a="1"/>
  <c r="L294" i="1" s="1"/>
  <c r="K294" i="1" a="1"/>
  <c r="K294" i="1" s="1"/>
  <c r="N294" i="1" s="1" a="1"/>
  <c r="N294" i="1" s="1"/>
  <c r="J294" i="1" a="1"/>
  <c r="J294" i="1"/>
  <c r="I294" i="1" a="1"/>
  <c r="I294" i="1" s="1"/>
  <c r="F294" i="1" a="1"/>
  <c r="F294" i="1" s="1"/>
  <c r="E294" i="1" a="1"/>
  <c r="E294" i="1" s="1"/>
  <c r="L293" i="1" a="1"/>
  <c r="L293" i="1" s="1"/>
  <c r="J293" i="1" a="1"/>
  <c r="J293" i="1"/>
  <c r="K293" i="1" s="1" a="1"/>
  <c r="K293" i="1" s="1"/>
  <c r="I293" i="1" a="1"/>
  <c r="I293" i="1" s="1"/>
  <c r="F293" i="1" a="1"/>
  <c r="F293" i="1" s="1"/>
  <c r="E293" i="1" a="1"/>
  <c r="E293" i="1" s="1"/>
  <c r="L292" i="1" a="1"/>
  <c r="L292" i="1" s="1"/>
  <c r="J292" i="1" a="1"/>
  <c r="J292" i="1" s="1"/>
  <c r="K292" i="1" s="1" a="1"/>
  <c r="K292" i="1" s="1"/>
  <c r="I292" i="1" a="1"/>
  <c r="I292" i="1" s="1"/>
  <c r="F292" i="1" a="1"/>
  <c r="F292" i="1" s="1"/>
  <c r="E292" i="1" a="1"/>
  <c r="E292" i="1" s="1"/>
  <c r="L291" i="1" a="1"/>
  <c r="L291" i="1" s="1"/>
  <c r="J291" i="1" a="1"/>
  <c r="J291" i="1"/>
  <c r="K291" i="1" s="1" a="1"/>
  <c r="K291" i="1" s="1"/>
  <c r="N291" i="1" s="1" a="1"/>
  <c r="N291" i="1" s="1"/>
  <c r="I291" i="1" a="1"/>
  <c r="I291" i="1" s="1"/>
  <c r="F291" i="1" a="1"/>
  <c r="F291" i="1" s="1"/>
  <c r="E291" i="1" a="1"/>
  <c r="E291" i="1" s="1"/>
  <c r="O290" i="1" a="1"/>
  <c r="O290" i="1"/>
  <c r="L290" i="1" a="1"/>
  <c r="L290" i="1" s="1"/>
  <c r="K290" i="1" a="1"/>
  <c r="K290" i="1" s="1"/>
  <c r="N290" i="1" s="1" a="1"/>
  <c r="N290" i="1" s="1"/>
  <c r="J290" i="1" a="1"/>
  <c r="J290" i="1"/>
  <c r="I290" i="1" a="1"/>
  <c r="I290" i="1" s="1"/>
  <c r="F290" i="1" a="1"/>
  <c r="F290" i="1" s="1"/>
  <c r="E290" i="1" a="1"/>
  <c r="E290" i="1" s="1"/>
  <c r="L289" i="1" a="1"/>
  <c r="L289" i="1" s="1"/>
  <c r="J289" i="1" a="1"/>
  <c r="J289" i="1"/>
  <c r="K289" i="1" s="1" a="1"/>
  <c r="K289" i="1" s="1"/>
  <c r="I289" i="1" a="1"/>
  <c r="I289" i="1" s="1"/>
  <c r="F289" i="1" a="1"/>
  <c r="F289" i="1" s="1"/>
  <c r="E289" i="1" a="1"/>
  <c r="E289" i="1" s="1"/>
  <c r="L288" i="1" a="1"/>
  <c r="L288" i="1" s="1"/>
  <c r="J288" i="1" a="1"/>
  <c r="J288" i="1" s="1"/>
  <c r="K288" i="1" s="1" a="1"/>
  <c r="K288" i="1" s="1"/>
  <c r="I288" i="1" a="1"/>
  <c r="I288" i="1" s="1"/>
  <c r="F288" i="1" a="1"/>
  <c r="F288" i="1" s="1"/>
  <c r="E288" i="1" a="1"/>
  <c r="E288" i="1" s="1"/>
  <c r="L287" i="1" a="1"/>
  <c r="L287" i="1" s="1"/>
  <c r="O287" i="1" s="1" a="1"/>
  <c r="O287" i="1" s="1"/>
  <c r="J287" i="1" a="1"/>
  <c r="J287" i="1"/>
  <c r="K287" i="1" s="1" a="1"/>
  <c r="K287" i="1" s="1"/>
  <c r="N287" i="1" s="1" a="1"/>
  <c r="N287" i="1" s="1"/>
  <c r="I287" i="1" a="1"/>
  <c r="I287" i="1" s="1"/>
  <c r="F287" i="1" a="1"/>
  <c r="F287" i="1" s="1"/>
  <c r="E287" i="1" a="1"/>
  <c r="E287" i="1" s="1"/>
  <c r="O286" i="1" a="1"/>
  <c r="O286" i="1"/>
  <c r="L286" i="1" a="1"/>
  <c r="L286" i="1" s="1"/>
  <c r="K286" i="1" a="1"/>
  <c r="K286" i="1" s="1"/>
  <c r="N286" i="1" s="1" a="1"/>
  <c r="N286" i="1" s="1"/>
  <c r="J286" i="1" a="1"/>
  <c r="J286" i="1"/>
  <c r="I286" i="1" a="1"/>
  <c r="I286" i="1" s="1"/>
  <c r="F286" i="1" a="1"/>
  <c r="F286" i="1" s="1"/>
  <c r="E286" i="1" a="1"/>
  <c r="E286" i="1" s="1"/>
  <c r="L285" i="1" a="1"/>
  <c r="L285" i="1" s="1"/>
  <c r="J285" i="1" a="1"/>
  <c r="J285" i="1"/>
  <c r="K285" i="1" s="1" a="1"/>
  <c r="K285" i="1" s="1"/>
  <c r="I285" i="1" a="1"/>
  <c r="I285" i="1" s="1"/>
  <c r="F285" i="1" a="1"/>
  <c r="F285" i="1" s="1"/>
  <c r="E285" i="1" a="1"/>
  <c r="E285" i="1" s="1"/>
  <c r="L284" i="1" a="1"/>
  <c r="L284" i="1" s="1"/>
  <c r="J284" i="1" a="1"/>
  <c r="J284" i="1" s="1"/>
  <c r="K284" i="1" s="1" a="1"/>
  <c r="K284" i="1" s="1"/>
  <c r="I284" i="1" a="1"/>
  <c r="I284" i="1" s="1"/>
  <c r="F284" i="1" a="1"/>
  <c r="F284" i="1" s="1"/>
  <c r="E284" i="1" a="1"/>
  <c r="E284" i="1" s="1"/>
  <c r="L283" i="1" a="1"/>
  <c r="L283" i="1" s="1"/>
  <c r="J283" i="1" a="1"/>
  <c r="J283" i="1"/>
  <c r="K283" i="1" s="1" a="1"/>
  <c r="K283" i="1" s="1"/>
  <c r="N283" i="1" s="1" a="1"/>
  <c r="N283" i="1" s="1"/>
  <c r="I283" i="1" a="1"/>
  <c r="I283" i="1" s="1"/>
  <c r="F283" i="1" a="1"/>
  <c r="F283" i="1" s="1"/>
  <c r="E283" i="1" a="1"/>
  <c r="E283" i="1" s="1"/>
  <c r="O282" i="1" a="1"/>
  <c r="O282" i="1"/>
  <c r="L282" i="1" a="1"/>
  <c r="L282" i="1" s="1"/>
  <c r="K282" i="1" a="1"/>
  <c r="K282" i="1" s="1"/>
  <c r="N282" i="1" s="1" a="1"/>
  <c r="N282" i="1" s="1"/>
  <c r="J282" i="1" a="1"/>
  <c r="J282" i="1"/>
  <c r="I282" i="1" a="1"/>
  <c r="I282" i="1" s="1"/>
  <c r="F282" i="1" a="1"/>
  <c r="F282" i="1" s="1"/>
  <c r="E282" i="1" a="1"/>
  <c r="E282" i="1" s="1"/>
  <c r="L281" i="1" a="1"/>
  <c r="L281" i="1" s="1"/>
  <c r="O281" i="1" s="1" a="1"/>
  <c r="O281" i="1" s="1"/>
  <c r="J281" i="1" a="1"/>
  <c r="J281" i="1"/>
  <c r="K281" i="1" s="1" a="1"/>
  <c r="K281" i="1" s="1"/>
  <c r="N281" i="1" s="1" a="1"/>
  <c r="N281" i="1" s="1"/>
  <c r="I281" i="1" a="1"/>
  <c r="I281" i="1" s="1"/>
  <c r="F281" i="1" a="1"/>
  <c r="F281" i="1" s="1"/>
  <c r="E281" i="1" a="1"/>
  <c r="E281" i="1" s="1"/>
  <c r="L280" i="1" a="1"/>
  <c r="L280" i="1" s="1"/>
  <c r="J280" i="1" a="1"/>
  <c r="J280" i="1" s="1"/>
  <c r="K280" i="1" s="1" a="1"/>
  <c r="K280" i="1" s="1"/>
  <c r="I280" i="1" a="1"/>
  <c r="I280" i="1" s="1"/>
  <c r="F280" i="1" a="1"/>
  <c r="F280" i="1" s="1"/>
  <c r="E280" i="1" a="1"/>
  <c r="E280" i="1" s="1"/>
  <c r="L279" i="1" a="1"/>
  <c r="L279" i="1" s="1"/>
  <c r="O279" i="1" s="1" a="1"/>
  <c r="O279" i="1" s="1"/>
  <c r="J279" i="1" a="1"/>
  <c r="J279" i="1"/>
  <c r="K279" i="1" s="1" a="1"/>
  <c r="K279" i="1" s="1"/>
  <c r="N279" i="1" s="1" a="1"/>
  <c r="N279" i="1" s="1"/>
  <c r="I279" i="1" a="1"/>
  <c r="I279" i="1" s="1"/>
  <c r="F279" i="1" a="1"/>
  <c r="F279" i="1" s="1"/>
  <c r="E279" i="1" a="1"/>
  <c r="E279" i="1" s="1"/>
  <c r="O278" i="1" a="1"/>
  <c r="O278" i="1"/>
  <c r="L278" i="1" a="1"/>
  <c r="L278" i="1" s="1"/>
  <c r="K278" i="1" a="1"/>
  <c r="K278" i="1" s="1"/>
  <c r="N278" i="1" s="1" a="1"/>
  <c r="N278" i="1" s="1"/>
  <c r="J278" i="1" a="1"/>
  <c r="J278" i="1"/>
  <c r="I278" i="1" a="1"/>
  <c r="I278" i="1" s="1"/>
  <c r="F278" i="1" a="1"/>
  <c r="F278" i="1" s="1"/>
  <c r="E278" i="1" a="1"/>
  <c r="E278" i="1" s="1"/>
  <c r="L277" i="1" a="1"/>
  <c r="L277" i="1" s="1"/>
  <c r="J277" i="1" a="1"/>
  <c r="J277" i="1"/>
  <c r="K277" i="1" s="1" a="1"/>
  <c r="K277" i="1" s="1"/>
  <c r="N277" i="1" s="1" a="1"/>
  <c r="N277" i="1" s="1"/>
  <c r="I277" i="1" a="1"/>
  <c r="I277" i="1" s="1"/>
  <c r="F277" i="1" a="1"/>
  <c r="F277" i="1" s="1"/>
  <c r="E277" i="1" a="1"/>
  <c r="E277" i="1" s="1"/>
  <c r="L276" i="1" a="1"/>
  <c r="L276" i="1" s="1"/>
  <c r="J276" i="1" a="1"/>
  <c r="J276" i="1" s="1"/>
  <c r="K276" i="1" s="1" a="1"/>
  <c r="K276" i="1" s="1"/>
  <c r="I276" i="1" a="1"/>
  <c r="I276" i="1" s="1"/>
  <c r="F276" i="1" a="1"/>
  <c r="F276" i="1" s="1"/>
  <c r="E276" i="1" a="1"/>
  <c r="E276" i="1" s="1"/>
  <c r="L275" i="1" a="1"/>
  <c r="L275" i="1" s="1"/>
  <c r="J275" i="1" a="1"/>
  <c r="J275" i="1"/>
  <c r="K275" i="1" s="1" a="1"/>
  <c r="K275" i="1" s="1"/>
  <c r="N275" i="1" s="1" a="1"/>
  <c r="N275" i="1" s="1"/>
  <c r="I275" i="1" a="1"/>
  <c r="I275" i="1" s="1"/>
  <c r="F275" i="1" a="1"/>
  <c r="F275" i="1" s="1"/>
  <c r="E275" i="1" a="1"/>
  <c r="E275" i="1" s="1"/>
  <c r="O274" i="1" a="1"/>
  <c r="O274" i="1"/>
  <c r="L274" i="1" a="1"/>
  <c r="L274" i="1" s="1"/>
  <c r="K274" i="1" a="1"/>
  <c r="K274" i="1" s="1"/>
  <c r="N274" i="1" s="1" a="1"/>
  <c r="N274" i="1" s="1"/>
  <c r="J274" i="1" a="1"/>
  <c r="J274" i="1"/>
  <c r="I274" i="1" a="1"/>
  <c r="I274" i="1" s="1"/>
  <c r="F274" i="1" a="1"/>
  <c r="F274" i="1" s="1"/>
  <c r="E274" i="1" a="1"/>
  <c r="E274" i="1" s="1"/>
  <c r="L273" i="1" a="1"/>
  <c r="L273" i="1" s="1"/>
  <c r="O273" i="1" s="1" a="1"/>
  <c r="O273" i="1" s="1"/>
  <c r="J273" i="1" a="1"/>
  <c r="J273" i="1"/>
  <c r="K273" i="1" s="1" a="1"/>
  <c r="K273" i="1" s="1"/>
  <c r="N273" i="1" s="1" a="1"/>
  <c r="N273" i="1" s="1"/>
  <c r="I273" i="1" a="1"/>
  <c r="I273" i="1" s="1"/>
  <c r="F273" i="1" a="1"/>
  <c r="F273" i="1" s="1"/>
  <c r="E273" i="1" a="1"/>
  <c r="E273" i="1" s="1"/>
  <c r="L272" i="1" a="1"/>
  <c r="L272" i="1" s="1"/>
  <c r="J272" i="1" a="1"/>
  <c r="J272" i="1" s="1"/>
  <c r="K272" i="1" s="1" a="1"/>
  <c r="K272" i="1" s="1"/>
  <c r="I272" i="1" a="1"/>
  <c r="I272" i="1" s="1"/>
  <c r="F272" i="1" a="1"/>
  <c r="F272" i="1" s="1"/>
  <c r="E272" i="1" a="1"/>
  <c r="E272" i="1" s="1"/>
  <c r="L271" i="1" a="1"/>
  <c r="L271" i="1" s="1"/>
  <c r="O271" i="1" s="1" a="1"/>
  <c r="O271" i="1" s="1"/>
  <c r="J271" i="1" a="1"/>
  <c r="J271" i="1"/>
  <c r="K271" i="1" s="1" a="1"/>
  <c r="K271" i="1" s="1"/>
  <c r="N271" i="1" s="1" a="1"/>
  <c r="N271" i="1" s="1"/>
  <c r="I271" i="1" a="1"/>
  <c r="I271" i="1" s="1"/>
  <c r="F271" i="1" a="1"/>
  <c r="F271" i="1" s="1"/>
  <c r="E271" i="1" a="1"/>
  <c r="E271" i="1" s="1"/>
  <c r="O270" i="1" a="1"/>
  <c r="O270" i="1"/>
  <c r="L270" i="1" a="1"/>
  <c r="L270" i="1" s="1"/>
  <c r="K270" i="1" a="1"/>
  <c r="K270" i="1" s="1"/>
  <c r="N270" i="1" s="1" a="1"/>
  <c r="N270" i="1" s="1"/>
  <c r="J270" i="1" a="1"/>
  <c r="J270" i="1"/>
  <c r="I270" i="1" a="1"/>
  <c r="I270" i="1" s="1"/>
  <c r="F270" i="1" a="1"/>
  <c r="F270" i="1" s="1"/>
  <c r="E270" i="1" a="1"/>
  <c r="E270" i="1" s="1"/>
  <c r="L269" i="1" a="1"/>
  <c r="L269" i="1" s="1"/>
  <c r="J269" i="1" a="1"/>
  <c r="J269" i="1"/>
  <c r="K269" i="1" s="1" a="1"/>
  <c r="K269" i="1" s="1"/>
  <c r="N269" i="1" s="1" a="1"/>
  <c r="N269" i="1" s="1"/>
  <c r="I269" i="1" a="1"/>
  <c r="I269" i="1" s="1"/>
  <c r="F269" i="1" a="1"/>
  <c r="F269" i="1" s="1"/>
  <c r="E269" i="1" a="1"/>
  <c r="E269" i="1" s="1"/>
  <c r="L268" i="1" a="1"/>
  <c r="L268" i="1" s="1"/>
  <c r="J268" i="1" a="1"/>
  <c r="J268" i="1" s="1"/>
  <c r="K268" i="1" s="1" a="1"/>
  <c r="K268" i="1" s="1"/>
  <c r="I268" i="1" a="1"/>
  <c r="I268" i="1" s="1"/>
  <c r="F268" i="1" a="1"/>
  <c r="F268" i="1" s="1"/>
  <c r="E268" i="1" a="1"/>
  <c r="E268" i="1" s="1"/>
  <c r="L267" i="1" a="1"/>
  <c r="L267" i="1" s="1"/>
  <c r="J267" i="1" a="1"/>
  <c r="J267" i="1"/>
  <c r="K267" i="1" s="1" a="1"/>
  <c r="K267" i="1" s="1"/>
  <c r="N267" i="1" s="1" a="1"/>
  <c r="N267" i="1" s="1"/>
  <c r="I267" i="1" a="1"/>
  <c r="I267" i="1" s="1"/>
  <c r="F267" i="1" a="1"/>
  <c r="F267" i="1" s="1"/>
  <c r="E267" i="1" a="1"/>
  <c r="E267" i="1" s="1"/>
  <c r="O266" i="1" a="1"/>
  <c r="O266" i="1"/>
  <c r="L266" i="1" a="1"/>
  <c r="L266" i="1" s="1"/>
  <c r="K266" i="1" a="1"/>
  <c r="K266" i="1" s="1"/>
  <c r="N266" i="1" s="1" a="1"/>
  <c r="N266" i="1" s="1"/>
  <c r="J266" i="1" a="1"/>
  <c r="J266" i="1"/>
  <c r="I266" i="1" a="1"/>
  <c r="I266" i="1" s="1"/>
  <c r="F266" i="1" a="1"/>
  <c r="F266" i="1" s="1"/>
  <c r="E266" i="1" a="1"/>
  <c r="E266" i="1" s="1"/>
  <c r="L265" i="1" a="1"/>
  <c r="L265" i="1" s="1"/>
  <c r="O265" i="1" s="1" a="1"/>
  <c r="O265" i="1" s="1"/>
  <c r="J265" i="1" a="1"/>
  <c r="J265" i="1"/>
  <c r="K265" i="1" s="1" a="1"/>
  <c r="K265" i="1" s="1"/>
  <c r="N265" i="1" s="1" a="1"/>
  <c r="N265" i="1" s="1"/>
  <c r="I265" i="1" a="1"/>
  <c r="I265" i="1" s="1"/>
  <c r="F265" i="1" a="1"/>
  <c r="F265" i="1" s="1"/>
  <c r="E265" i="1" a="1"/>
  <c r="E265" i="1" s="1"/>
  <c r="L264" i="1" a="1"/>
  <c r="L264" i="1" s="1"/>
  <c r="J264" i="1" a="1"/>
  <c r="J264" i="1" s="1"/>
  <c r="K264" i="1" s="1" a="1"/>
  <c r="K264" i="1" s="1"/>
  <c r="I264" i="1" a="1"/>
  <c r="I264" i="1" s="1"/>
  <c r="F264" i="1" a="1"/>
  <c r="F264" i="1" s="1"/>
  <c r="E264" i="1" a="1"/>
  <c r="E264" i="1" s="1"/>
  <c r="L263" i="1" a="1"/>
  <c r="L263" i="1" s="1"/>
  <c r="O263" i="1" s="1" a="1"/>
  <c r="O263" i="1" s="1"/>
  <c r="J263" i="1" a="1"/>
  <c r="J263" i="1"/>
  <c r="K263" i="1" s="1" a="1"/>
  <c r="K263" i="1" s="1"/>
  <c r="N263" i="1" s="1" a="1"/>
  <c r="N263" i="1" s="1"/>
  <c r="I263" i="1" a="1"/>
  <c r="I263" i="1" s="1"/>
  <c r="F263" i="1" a="1"/>
  <c r="F263" i="1" s="1"/>
  <c r="E263" i="1" a="1"/>
  <c r="E263" i="1" s="1"/>
  <c r="O262" i="1" a="1"/>
  <c r="O262" i="1"/>
  <c r="L262" i="1" a="1"/>
  <c r="L262" i="1" s="1"/>
  <c r="K262" i="1" a="1"/>
  <c r="K262" i="1" s="1"/>
  <c r="N262" i="1" s="1" a="1"/>
  <c r="N262" i="1" s="1"/>
  <c r="J262" i="1" a="1"/>
  <c r="J262" i="1"/>
  <c r="I262" i="1" a="1"/>
  <c r="I262" i="1" s="1"/>
  <c r="F262" i="1" a="1"/>
  <c r="F262" i="1" s="1"/>
  <c r="E262" i="1" a="1"/>
  <c r="E262" i="1" s="1"/>
  <c r="L261" i="1" a="1"/>
  <c r="L261" i="1" s="1"/>
  <c r="J261" i="1" a="1"/>
  <c r="J261" i="1"/>
  <c r="K261" i="1" s="1" a="1"/>
  <c r="K261" i="1" s="1"/>
  <c r="N261" i="1" s="1" a="1"/>
  <c r="N261" i="1" s="1"/>
  <c r="I261" i="1" a="1"/>
  <c r="I261" i="1" s="1"/>
  <c r="F261" i="1" a="1"/>
  <c r="F261" i="1" s="1"/>
  <c r="E261" i="1" a="1"/>
  <c r="E261" i="1" s="1"/>
  <c r="L260" i="1" a="1"/>
  <c r="L260" i="1" s="1"/>
  <c r="J260" i="1" a="1"/>
  <c r="J260" i="1" s="1"/>
  <c r="K260" i="1" s="1" a="1"/>
  <c r="K260" i="1" s="1"/>
  <c r="I260" i="1" a="1"/>
  <c r="I260" i="1" s="1"/>
  <c r="F260" i="1" a="1"/>
  <c r="F260" i="1" s="1"/>
  <c r="E260" i="1" a="1"/>
  <c r="E260" i="1" s="1"/>
  <c r="L259" i="1" a="1"/>
  <c r="L259" i="1" s="1"/>
  <c r="J259" i="1" a="1"/>
  <c r="J259" i="1"/>
  <c r="K259" i="1" s="1" a="1"/>
  <c r="K259" i="1" s="1"/>
  <c r="N259" i="1" s="1" a="1"/>
  <c r="N259" i="1" s="1"/>
  <c r="I259" i="1" a="1"/>
  <c r="I259" i="1" s="1"/>
  <c r="F259" i="1" a="1"/>
  <c r="F259" i="1" s="1"/>
  <c r="E259" i="1" a="1"/>
  <c r="E259" i="1" s="1"/>
  <c r="O258" i="1" a="1"/>
  <c r="O258" i="1"/>
  <c r="L258" i="1" a="1"/>
  <c r="L258" i="1" s="1"/>
  <c r="K258" i="1" a="1"/>
  <c r="K258" i="1" s="1"/>
  <c r="N258" i="1" s="1" a="1"/>
  <c r="N258" i="1" s="1"/>
  <c r="J258" i="1" a="1"/>
  <c r="J258" i="1"/>
  <c r="I258" i="1" a="1"/>
  <c r="I258" i="1" s="1"/>
  <c r="F258" i="1" a="1"/>
  <c r="F258" i="1" s="1"/>
  <c r="E258" i="1" a="1"/>
  <c r="E258" i="1" s="1"/>
  <c r="O257" i="1" a="1"/>
  <c r="O257" i="1" s="1"/>
  <c r="L257" i="1" a="1"/>
  <c r="L257" i="1" s="1"/>
  <c r="K257" i="1" a="1"/>
  <c r="K257" i="1"/>
  <c r="N257" i="1" s="1" a="1"/>
  <c r="N257" i="1" s="1"/>
  <c r="J257" i="1" a="1"/>
  <c r="J257" i="1" s="1"/>
  <c r="I257" i="1" a="1"/>
  <c r="I257" i="1" s="1"/>
  <c r="F257" i="1" a="1"/>
  <c r="F257" i="1" s="1"/>
  <c r="E257" i="1" a="1"/>
  <c r="E257" i="1" s="1"/>
  <c r="L256" i="1" a="1"/>
  <c r="L256" i="1" s="1"/>
  <c r="O256" i="1" s="1" a="1"/>
  <c r="O256" i="1" s="1"/>
  <c r="K256" i="1" a="1"/>
  <c r="K256" i="1" s="1"/>
  <c r="N256" i="1" s="1" a="1"/>
  <c r="N256" i="1" s="1"/>
  <c r="J256" i="1" a="1"/>
  <c r="J256" i="1" s="1"/>
  <c r="I256" i="1" a="1"/>
  <c r="I256" i="1" s="1"/>
  <c r="F256" i="1" a="1"/>
  <c r="F256" i="1" s="1"/>
  <c r="E256" i="1" a="1"/>
  <c r="E256" i="1" s="1"/>
  <c r="L255" i="1" a="1"/>
  <c r="L255" i="1" s="1"/>
  <c r="J255" i="1" a="1"/>
  <c r="J255" i="1" s="1"/>
  <c r="K255" i="1" s="1" a="1"/>
  <c r="K255" i="1" s="1"/>
  <c r="I255" i="1" a="1"/>
  <c r="I255" i="1" s="1"/>
  <c r="F255" i="1" a="1"/>
  <c r="F255" i="1" s="1"/>
  <c r="E255" i="1" a="1"/>
  <c r="E255" i="1"/>
  <c r="L254" i="1" a="1"/>
  <c r="L254" i="1" s="1"/>
  <c r="O254" i="1" s="1" a="1"/>
  <c r="O254" i="1" s="1"/>
  <c r="J254" i="1" a="1"/>
  <c r="J254" i="1" s="1"/>
  <c r="I254" i="1" a="1"/>
  <c r="I254" i="1" s="1"/>
  <c r="K254" i="1" s="1" a="1"/>
  <c r="K254" i="1" s="1"/>
  <c r="N254" i="1" s="1" a="1"/>
  <c r="N254" i="1" s="1"/>
  <c r="F254" i="1" a="1"/>
  <c r="F254" i="1" s="1"/>
  <c r="E254" i="1" a="1"/>
  <c r="E254" i="1" s="1"/>
  <c r="L253" i="1" a="1"/>
  <c r="L253" i="1" s="1"/>
  <c r="J253" i="1" a="1"/>
  <c r="J253" i="1" s="1"/>
  <c r="K253" i="1" s="1" a="1"/>
  <c r="K253" i="1" s="1"/>
  <c r="I253" i="1" a="1"/>
  <c r="I253" i="1" s="1"/>
  <c r="F253" i="1" a="1"/>
  <c r="F253" i="1" s="1"/>
  <c r="E253" i="1" a="1"/>
  <c r="E253" i="1" s="1"/>
  <c r="L252" i="1" a="1"/>
  <c r="L252" i="1" s="1"/>
  <c r="K252" i="1" a="1"/>
  <c r="K252" i="1" s="1"/>
  <c r="N252" i="1" s="1" a="1"/>
  <c r="N252" i="1" s="1"/>
  <c r="J252" i="1" a="1"/>
  <c r="J252" i="1" s="1"/>
  <c r="I252" i="1" a="1"/>
  <c r="I252" i="1" s="1"/>
  <c r="F252" i="1" a="1"/>
  <c r="F252" i="1" s="1"/>
  <c r="E252" i="1" a="1"/>
  <c r="E252" i="1" s="1"/>
  <c r="L251" i="1" a="1"/>
  <c r="L251" i="1" s="1"/>
  <c r="J251" i="1" a="1"/>
  <c r="J251" i="1" s="1"/>
  <c r="K251" i="1" s="1" a="1"/>
  <c r="K251" i="1" s="1"/>
  <c r="I251" i="1" a="1"/>
  <c r="I251" i="1" s="1"/>
  <c r="F251" i="1" a="1"/>
  <c r="F251" i="1" s="1"/>
  <c r="E251" i="1" a="1"/>
  <c r="E251" i="1"/>
  <c r="L250" i="1" a="1"/>
  <c r="L250" i="1" s="1"/>
  <c r="J250" i="1" a="1"/>
  <c r="J250" i="1" s="1"/>
  <c r="I250" i="1" a="1"/>
  <c r="I250" i="1" s="1"/>
  <c r="K250" i="1" s="1" a="1"/>
  <c r="K250" i="1" s="1"/>
  <c r="N250" i="1" s="1" a="1"/>
  <c r="N250" i="1" s="1"/>
  <c r="F250" i="1" a="1"/>
  <c r="F250" i="1" s="1"/>
  <c r="E250" i="1" a="1"/>
  <c r="E250" i="1" s="1"/>
  <c r="L249" i="1" a="1"/>
  <c r="L249" i="1" s="1"/>
  <c r="J249" i="1" a="1"/>
  <c r="J249" i="1" s="1"/>
  <c r="K249" i="1" s="1" a="1"/>
  <c r="K249" i="1" s="1"/>
  <c r="I249" i="1" a="1"/>
  <c r="I249" i="1" s="1"/>
  <c r="F249" i="1" a="1"/>
  <c r="F249" i="1" s="1"/>
  <c r="E249" i="1" a="1"/>
  <c r="E249" i="1" s="1"/>
  <c r="L248" i="1" a="1"/>
  <c r="L248" i="1" s="1"/>
  <c r="O248" i="1" s="1" a="1"/>
  <c r="O248" i="1" s="1"/>
  <c r="K248" i="1" a="1"/>
  <c r="K248" i="1" s="1"/>
  <c r="N248" i="1" s="1" a="1"/>
  <c r="N248" i="1" s="1"/>
  <c r="J248" i="1" a="1"/>
  <c r="J248" i="1" s="1"/>
  <c r="I248" i="1" a="1"/>
  <c r="I248" i="1" s="1"/>
  <c r="F248" i="1" a="1"/>
  <c r="F248" i="1" s="1"/>
  <c r="E248" i="1" a="1"/>
  <c r="E248" i="1" s="1"/>
  <c r="L247" i="1" a="1"/>
  <c r="L247" i="1" s="1"/>
  <c r="J247" i="1" a="1"/>
  <c r="J247" i="1" s="1"/>
  <c r="K247" i="1" s="1" a="1"/>
  <c r="K247" i="1" s="1"/>
  <c r="I247" i="1" a="1"/>
  <c r="I247" i="1" s="1"/>
  <c r="F247" i="1" a="1"/>
  <c r="F247" i="1" s="1"/>
  <c r="E247" i="1" a="1"/>
  <c r="E247" i="1"/>
  <c r="L246" i="1" a="1"/>
  <c r="L246" i="1" s="1"/>
  <c r="O246" i="1" s="1" a="1"/>
  <c r="O246" i="1" s="1"/>
  <c r="J246" i="1" a="1"/>
  <c r="J246" i="1" s="1"/>
  <c r="I246" i="1" a="1"/>
  <c r="I246" i="1" s="1"/>
  <c r="K246" i="1" s="1" a="1"/>
  <c r="K246" i="1" s="1"/>
  <c r="N246" i="1" s="1" a="1"/>
  <c r="N246" i="1" s="1"/>
  <c r="F246" i="1" a="1"/>
  <c r="F246" i="1" s="1"/>
  <c r="E246" i="1" a="1"/>
  <c r="E246" i="1" s="1"/>
  <c r="L245" i="1" a="1"/>
  <c r="L245" i="1" s="1"/>
  <c r="J245" i="1" a="1"/>
  <c r="J245" i="1" s="1"/>
  <c r="K245" i="1" s="1" a="1"/>
  <c r="K245" i="1" s="1"/>
  <c r="I245" i="1" a="1"/>
  <c r="I245" i="1" s="1"/>
  <c r="F245" i="1" a="1"/>
  <c r="F245" i="1" s="1"/>
  <c r="E245" i="1" a="1"/>
  <c r="E245" i="1" s="1"/>
  <c r="L244" i="1" a="1"/>
  <c r="L244" i="1" s="1"/>
  <c r="K244" i="1" a="1"/>
  <c r="K244" i="1" s="1"/>
  <c r="N244" i="1" s="1" a="1"/>
  <c r="N244" i="1" s="1"/>
  <c r="J244" i="1" a="1"/>
  <c r="J244" i="1" s="1"/>
  <c r="I244" i="1" a="1"/>
  <c r="I244" i="1" s="1"/>
  <c r="F244" i="1" a="1"/>
  <c r="F244" i="1" s="1"/>
  <c r="E244" i="1" a="1"/>
  <c r="E244" i="1" s="1"/>
  <c r="L243" i="1" a="1"/>
  <c r="L243" i="1" s="1"/>
  <c r="J243" i="1" a="1"/>
  <c r="J243" i="1" s="1"/>
  <c r="K243" i="1" s="1" a="1"/>
  <c r="K243" i="1" s="1"/>
  <c r="I243" i="1" a="1"/>
  <c r="I243" i="1" s="1"/>
  <c r="F243" i="1" a="1"/>
  <c r="F243" i="1" s="1"/>
  <c r="E243" i="1" a="1"/>
  <c r="E243" i="1"/>
  <c r="L242" i="1" a="1"/>
  <c r="L242" i="1" s="1"/>
  <c r="J242" i="1" a="1"/>
  <c r="J242" i="1" s="1"/>
  <c r="I242" i="1" a="1"/>
  <c r="I242" i="1" s="1"/>
  <c r="K242" i="1" s="1" a="1"/>
  <c r="K242" i="1" s="1"/>
  <c r="N242" i="1" s="1" a="1"/>
  <c r="N242" i="1" s="1"/>
  <c r="F242" i="1" a="1"/>
  <c r="F242" i="1" s="1"/>
  <c r="E242" i="1" a="1"/>
  <c r="E242" i="1" s="1"/>
  <c r="L241" i="1" a="1"/>
  <c r="L241" i="1" s="1"/>
  <c r="J241" i="1" a="1"/>
  <c r="J241" i="1" s="1"/>
  <c r="K241" i="1" s="1" a="1"/>
  <c r="K241" i="1" s="1"/>
  <c r="I241" i="1" a="1"/>
  <c r="I241" i="1" s="1"/>
  <c r="F241" i="1" a="1"/>
  <c r="F241" i="1" s="1"/>
  <c r="E241" i="1" a="1"/>
  <c r="E241" i="1" s="1"/>
  <c r="L240" i="1" a="1"/>
  <c r="L240" i="1" s="1"/>
  <c r="O240" i="1" s="1" a="1"/>
  <c r="O240" i="1" s="1"/>
  <c r="K240" i="1" a="1"/>
  <c r="K240" i="1" s="1"/>
  <c r="N240" i="1" s="1" a="1"/>
  <c r="N240" i="1" s="1"/>
  <c r="J240" i="1" a="1"/>
  <c r="J240" i="1" s="1"/>
  <c r="I240" i="1" a="1"/>
  <c r="I240" i="1" s="1"/>
  <c r="F240" i="1" a="1"/>
  <c r="F240" i="1" s="1"/>
  <c r="E240" i="1" a="1"/>
  <c r="E240" i="1" s="1"/>
  <c r="L239" i="1" a="1"/>
  <c r="L239" i="1" s="1"/>
  <c r="J239" i="1" a="1"/>
  <c r="J239" i="1" s="1"/>
  <c r="K239" i="1" s="1" a="1"/>
  <c r="K239" i="1" s="1"/>
  <c r="I239" i="1" a="1"/>
  <c r="I239" i="1" s="1"/>
  <c r="F239" i="1" a="1"/>
  <c r="F239" i="1" s="1"/>
  <c r="E239" i="1" a="1"/>
  <c r="E239" i="1"/>
  <c r="L238" i="1" a="1"/>
  <c r="L238" i="1" s="1"/>
  <c r="O238" i="1" s="1" a="1"/>
  <c r="O238" i="1" s="1"/>
  <c r="J238" i="1" a="1"/>
  <c r="J238" i="1" s="1"/>
  <c r="I238" i="1" a="1"/>
  <c r="I238" i="1" s="1"/>
  <c r="K238" i="1" s="1" a="1"/>
  <c r="K238" i="1" s="1"/>
  <c r="N238" i="1" s="1" a="1"/>
  <c r="N238" i="1" s="1"/>
  <c r="F238" i="1" a="1"/>
  <c r="F238" i="1" s="1"/>
  <c r="E238" i="1" a="1"/>
  <c r="E238" i="1" s="1"/>
  <c r="L237" i="1" a="1"/>
  <c r="L237" i="1" s="1"/>
  <c r="J237" i="1" a="1"/>
  <c r="J237" i="1" s="1"/>
  <c r="K237" i="1" s="1" a="1"/>
  <c r="K237" i="1" s="1"/>
  <c r="I237" i="1" a="1"/>
  <c r="I237" i="1" s="1"/>
  <c r="F237" i="1" a="1"/>
  <c r="F237" i="1" s="1"/>
  <c r="E237" i="1" a="1"/>
  <c r="E237" i="1" s="1"/>
  <c r="L236" i="1" a="1"/>
  <c r="L236" i="1" s="1"/>
  <c r="K236" i="1" a="1"/>
  <c r="K236" i="1" s="1"/>
  <c r="N236" i="1" s="1" a="1"/>
  <c r="N236" i="1" s="1"/>
  <c r="J236" i="1" a="1"/>
  <c r="J236" i="1" s="1"/>
  <c r="I236" i="1" a="1"/>
  <c r="I236" i="1" s="1"/>
  <c r="F236" i="1" a="1"/>
  <c r="F236" i="1" s="1"/>
  <c r="E236" i="1" a="1"/>
  <c r="E236" i="1" s="1"/>
  <c r="L235" i="1" a="1"/>
  <c r="L235" i="1" s="1"/>
  <c r="J235" i="1" a="1"/>
  <c r="J235" i="1" s="1"/>
  <c r="K235" i="1" s="1" a="1"/>
  <c r="K235" i="1" s="1"/>
  <c r="I235" i="1" a="1"/>
  <c r="I235" i="1" s="1"/>
  <c r="F235" i="1" a="1"/>
  <c r="F235" i="1" s="1"/>
  <c r="E235" i="1" a="1"/>
  <c r="E235" i="1"/>
  <c r="L234" i="1" a="1"/>
  <c r="L234" i="1" s="1"/>
  <c r="J234" i="1" a="1"/>
  <c r="J234" i="1" s="1"/>
  <c r="I234" i="1" a="1"/>
  <c r="I234" i="1" s="1"/>
  <c r="K234" i="1" s="1" a="1"/>
  <c r="K234" i="1" s="1"/>
  <c r="N234" i="1" s="1" a="1"/>
  <c r="N234" i="1" s="1"/>
  <c r="F234" i="1" a="1"/>
  <c r="F234" i="1" s="1"/>
  <c r="E234" i="1" a="1"/>
  <c r="E234" i="1" s="1"/>
  <c r="L233" i="1" a="1"/>
  <c r="L233" i="1" s="1"/>
  <c r="J233" i="1" a="1"/>
  <c r="J233" i="1" s="1"/>
  <c r="K233" i="1" s="1" a="1"/>
  <c r="K233" i="1" s="1"/>
  <c r="I233" i="1" a="1"/>
  <c r="I233" i="1" s="1"/>
  <c r="F233" i="1" a="1"/>
  <c r="F233" i="1" s="1"/>
  <c r="E233" i="1" a="1"/>
  <c r="E233" i="1" s="1"/>
  <c r="L232" i="1" a="1"/>
  <c r="L232" i="1" s="1"/>
  <c r="O232" i="1" s="1" a="1"/>
  <c r="O232" i="1" s="1"/>
  <c r="K232" i="1" a="1"/>
  <c r="K232" i="1" s="1"/>
  <c r="N232" i="1" s="1" a="1"/>
  <c r="N232" i="1" s="1"/>
  <c r="J232" i="1" a="1"/>
  <c r="J232" i="1" s="1"/>
  <c r="I232" i="1" a="1"/>
  <c r="I232" i="1" s="1"/>
  <c r="F232" i="1" a="1"/>
  <c r="F232" i="1" s="1"/>
  <c r="E232" i="1" a="1"/>
  <c r="E232" i="1" s="1"/>
  <c r="L231" i="1" a="1"/>
  <c r="L231" i="1" s="1"/>
  <c r="J231" i="1" a="1"/>
  <c r="J231" i="1" s="1"/>
  <c r="K231" i="1" s="1" a="1"/>
  <c r="K231" i="1" s="1"/>
  <c r="I231" i="1" a="1"/>
  <c r="I231" i="1" s="1"/>
  <c r="F231" i="1" a="1"/>
  <c r="F231" i="1" s="1"/>
  <c r="E231" i="1" a="1"/>
  <c r="E231" i="1"/>
  <c r="L230" i="1" a="1"/>
  <c r="L230" i="1" s="1"/>
  <c r="O230" i="1" s="1" a="1"/>
  <c r="O230" i="1" s="1"/>
  <c r="J230" i="1" a="1"/>
  <c r="J230" i="1" s="1"/>
  <c r="I230" i="1" a="1"/>
  <c r="I230" i="1" s="1"/>
  <c r="K230" i="1" s="1" a="1"/>
  <c r="K230" i="1" s="1"/>
  <c r="N230" i="1" s="1" a="1"/>
  <c r="N230" i="1" s="1"/>
  <c r="F230" i="1" a="1"/>
  <c r="F230" i="1" s="1"/>
  <c r="E230" i="1" a="1"/>
  <c r="E230" i="1" s="1"/>
  <c r="L229" i="1" a="1"/>
  <c r="L229" i="1" s="1"/>
  <c r="J229" i="1" a="1"/>
  <c r="J229" i="1" s="1"/>
  <c r="K229" i="1" s="1" a="1"/>
  <c r="K229" i="1" s="1"/>
  <c r="I229" i="1" a="1"/>
  <c r="I229" i="1" s="1"/>
  <c r="F229" i="1" a="1"/>
  <c r="F229" i="1" s="1"/>
  <c r="E229" i="1" a="1"/>
  <c r="E229" i="1" s="1"/>
  <c r="L228" i="1" a="1"/>
  <c r="L228" i="1" s="1"/>
  <c r="K228" i="1" a="1"/>
  <c r="K228" i="1" s="1"/>
  <c r="N228" i="1" s="1" a="1"/>
  <c r="N228" i="1" s="1"/>
  <c r="J228" i="1" a="1"/>
  <c r="J228" i="1" s="1"/>
  <c r="I228" i="1" a="1"/>
  <c r="I228" i="1" s="1"/>
  <c r="F228" i="1" a="1"/>
  <c r="F228" i="1" s="1"/>
  <c r="E228" i="1" a="1"/>
  <c r="E228" i="1" s="1"/>
  <c r="L227" i="1" a="1"/>
  <c r="L227" i="1" s="1"/>
  <c r="J227" i="1" a="1"/>
  <c r="J227" i="1" s="1"/>
  <c r="K227" i="1" s="1" a="1"/>
  <c r="K227" i="1" s="1"/>
  <c r="I227" i="1" a="1"/>
  <c r="I227" i="1" s="1"/>
  <c r="F227" i="1" a="1"/>
  <c r="F227" i="1" s="1"/>
  <c r="E227" i="1" a="1"/>
  <c r="E227" i="1"/>
  <c r="L226" i="1" a="1"/>
  <c r="L226" i="1" s="1"/>
  <c r="J226" i="1" a="1"/>
  <c r="J226" i="1" s="1"/>
  <c r="I226" i="1" a="1"/>
  <c r="I226" i="1" s="1"/>
  <c r="K226" i="1" s="1" a="1"/>
  <c r="K226" i="1" s="1"/>
  <c r="N226" i="1" s="1" a="1"/>
  <c r="N226" i="1" s="1"/>
  <c r="F226" i="1" a="1"/>
  <c r="F226" i="1" s="1"/>
  <c r="E226" i="1" a="1"/>
  <c r="E226" i="1" s="1"/>
  <c r="L225" i="1" a="1"/>
  <c r="L225" i="1" s="1"/>
  <c r="J225" i="1" a="1"/>
  <c r="J225" i="1" s="1"/>
  <c r="K225" i="1" s="1" a="1"/>
  <c r="K225" i="1" s="1"/>
  <c r="I225" i="1" a="1"/>
  <c r="I225" i="1" s="1"/>
  <c r="F225" i="1" a="1"/>
  <c r="F225" i="1" s="1"/>
  <c r="E225" i="1" a="1"/>
  <c r="E225" i="1" s="1"/>
  <c r="L224" i="1" a="1"/>
  <c r="L224" i="1" s="1"/>
  <c r="O224" i="1" s="1" a="1"/>
  <c r="O224" i="1" s="1"/>
  <c r="K224" i="1" a="1"/>
  <c r="K224" i="1" s="1"/>
  <c r="N224" i="1" s="1" a="1"/>
  <c r="N224" i="1" s="1"/>
  <c r="J224" i="1" a="1"/>
  <c r="J224" i="1" s="1"/>
  <c r="I224" i="1" a="1"/>
  <c r="I224" i="1" s="1"/>
  <c r="F224" i="1" a="1"/>
  <c r="F224" i="1" s="1"/>
  <c r="E224" i="1" a="1"/>
  <c r="E224" i="1" s="1"/>
  <c r="L223" i="1" a="1"/>
  <c r="L223" i="1" s="1"/>
  <c r="J223" i="1" a="1"/>
  <c r="J223" i="1" s="1"/>
  <c r="K223" i="1" s="1" a="1"/>
  <c r="K223" i="1" s="1"/>
  <c r="I223" i="1" a="1"/>
  <c r="I223" i="1" s="1"/>
  <c r="F223" i="1" a="1"/>
  <c r="F223" i="1" s="1"/>
  <c r="E223" i="1" a="1"/>
  <c r="E223" i="1"/>
  <c r="L222" i="1" a="1"/>
  <c r="L222" i="1" s="1"/>
  <c r="O222" i="1" s="1" a="1"/>
  <c r="O222" i="1" s="1"/>
  <c r="J222" i="1" a="1"/>
  <c r="J222" i="1" s="1"/>
  <c r="I222" i="1" a="1"/>
  <c r="I222" i="1" s="1"/>
  <c r="K222" i="1" s="1" a="1"/>
  <c r="K222" i="1" s="1"/>
  <c r="N222" i="1" s="1" a="1"/>
  <c r="N222" i="1" s="1"/>
  <c r="F222" i="1" a="1"/>
  <c r="F222" i="1" s="1"/>
  <c r="E222" i="1" a="1"/>
  <c r="E222" i="1" s="1"/>
  <c r="L221" i="1" a="1"/>
  <c r="L221" i="1" s="1"/>
  <c r="J221" i="1" a="1"/>
  <c r="J221" i="1" s="1"/>
  <c r="K221" i="1" s="1" a="1"/>
  <c r="K221" i="1" s="1"/>
  <c r="I221" i="1" a="1"/>
  <c r="I221" i="1" s="1"/>
  <c r="F221" i="1" a="1"/>
  <c r="F221" i="1" s="1"/>
  <c r="E221" i="1" a="1"/>
  <c r="E221" i="1" s="1"/>
  <c r="L220" i="1" a="1"/>
  <c r="L220" i="1" s="1"/>
  <c r="K220" i="1" a="1"/>
  <c r="K220" i="1" s="1"/>
  <c r="N220" i="1" s="1" a="1"/>
  <c r="N220" i="1" s="1"/>
  <c r="J220" i="1" a="1"/>
  <c r="J220" i="1" s="1"/>
  <c r="I220" i="1" a="1"/>
  <c r="I220" i="1" s="1"/>
  <c r="F220" i="1" a="1"/>
  <c r="F220" i="1" s="1"/>
  <c r="E220" i="1" a="1"/>
  <c r="E220" i="1" s="1"/>
  <c r="L219" i="1" a="1"/>
  <c r="L219" i="1" s="1"/>
  <c r="J219" i="1" a="1"/>
  <c r="J219" i="1" s="1"/>
  <c r="K219" i="1" s="1" a="1"/>
  <c r="K219" i="1" s="1"/>
  <c r="I219" i="1" a="1"/>
  <c r="I219" i="1" s="1"/>
  <c r="F219" i="1" a="1"/>
  <c r="F219" i="1" s="1"/>
  <c r="E219" i="1" a="1"/>
  <c r="E219" i="1"/>
  <c r="L218" i="1" a="1"/>
  <c r="L218" i="1" s="1"/>
  <c r="J218" i="1" a="1"/>
  <c r="J218" i="1" s="1"/>
  <c r="I218" i="1" a="1"/>
  <c r="I218" i="1" s="1"/>
  <c r="K218" i="1" s="1" a="1"/>
  <c r="K218" i="1" s="1"/>
  <c r="N218" i="1" s="1" a="1"/>
  <c r="N218" i="1" s="1"/>
  <c r="F218" i="1" a="1"/>
  <c r="F218" i="1" s="1"/>
  <c r="E218" i="1" a="1"/>
  <c r="E218" i="1" s="1"/>
  <c r="L217" i="1" a="1"/>
  <c r="L217" i="1" s="1"/>
  <c r="J217" i="1" a="1"/>
  <c r="J217" i="1" s="1"/>
  <c r="K217" i="1" s="1" a="1"/>
  <c r="K217" i="1" s="1"/>
  <c r="I217" i="1" a="1"/>
  <c r="I217" i="1" s="1"/>
  <c r="F217" i="1" a="1"/>
  <c r="F217" i="1" s="1"/>
  <c r="E217" i="1" a="1"/>
  <c r="E217" i="1" s="1"/>
  <c r="L216" i="1" a="1"/>
  <c r="L216" i="1" s="1"/>
  <c r="O216" i="1" s="1" a="1"/>
  <c r="O216" i="1" s="1"/>
  <c r="K216" i="1" a="1"/>
  <c r="K216" i="1" s="1"/>
  <c r="N216" i="1" s="1" a="1"/>
  <c r="N216" i="1" s="1"/>
  <c r="J216" i="1" a="1"/>
  <c r="J216" i="1" s="1"/>
  <c r="I216" i="1" a="1"/>
  <c r="I216" i="1" s="1"/>
  <c r="F216" i="1" a="1"/>
  <c r="F216" i="1" s="1"/>
  <c r="E216" i="1" a="1"/>
  <c r="E216" i="1" s="1"/>
  <c r="L215" i="1" a="1"/>
  <c r="L215" i="1" s="1"/>
  <c r="J215" i="1" a="1"/>
  <c r="J215" i="1" s="1"/>
  <c r="K215" i="1" s="1" a="1"/>
  <c r="K215" i="1" s="1"/>
  <c r="I215" i="1" a="1"/>
  <c r="I215" i="1" s="1"/>
  <c r="F215" i="1" a="1"/>
  <c r="F215" i="1" s="1"/>
  <c r="E215" i="1" a="1"/>
  <c r="E215" i="1"/>
  <c r="L214" i="1" a="1"/>
  <c r="L214" i="1" s="1"/>
  <c r="O214" i="1" s="1" a="1"/>
  <c r="O214" i="1" s="1"/>
  <c r="J214" i="1" a="1"/>
  <c r="J214" i="1" s="1"/>
  <c r="I214" i="1" a="1"/>
  <c r="I214" i="1" s="1"/>
  <c r="K214" i="1" s="1" a="1"/>
  <c r="K214" i="1" s="1"/>
  <c r="N214" i="1" s="1" a="1"/>
  <c r="N214" i="1" s="1"/>
  <c r="F214" i="1" a="1"/>
  <c r="F214" i="1" s="1"/>
  <c r="E214" i="1" a="1"/>
  <c r="E214" i="1" s="1"/>
  <c r="L213" i="1" a="1"/>
  <c r="L213" i="1" s="1"/>
  <c r="J213" i="1" a="1"/>
  <c r="J213" i="1" s="1"/>
  <c r="K213" i="1" s="1" a="1"/>
  <c r="K213" i="1" s="1"/>
  <c r="I213" i="1" a="1"/>
  <c r="I213" i="1" s="1"/>
  <c r="F213" i="1" a="1"/>
  <c r="F213" i="1" s="1"/>
  <c r="E213" i="1" a="1"/>
  <c r="E213" i="1" s="1"/>
  <c r="L212" i="1" a="1"/>
  <c r="L212" i="1" s="1"/>
  <c r="K212" i="1" a="1"/>
  <c r="K212" i="1" s="1"/>
  <c r="N212" i="1" s="1" a="1"/>
  <c r="N212" i="1" s="1"/>
  <c r="J212" i="1" a="1"/>
  <c r="J212" i="1" s="1"/>
  <c r="I212" i="1" a="1"/>
  <c r="I212" i="1" s="1"/>
  <c r="F212" i="1" a="1"/>
  <c r="F212" i="1" s="1"/>
  <c r="E212" i="1" a="1"/>
  <c r="E212" i="1" s="1"/>
  <c r="L211" i="1" a="1"/>
  <c r="L211" i="1" s="1"/>
  <c r="J211" i="1" a="1"/>
  <c r="J211" i="1" s="1"/>
  <c r="K211" i="1" s="1" a="1"/>
  <c r="K211" i="1" s="1"/>
  <c r="I211" i="1" a="1"/>
  <c r="I211" i="1" s="1"/>
  <c r="F211" i="1" a="1"/>
  <c r="F211" i="1" s="1"/>
  <c r="E211" i="1" a="1"/>
  <c r="E211" i="1"/>
  <c r="L210" i="1" a="1"/>
  <c r="L210" i="1" s="1"/>
  <c r="J210" i="1" a="1"/>
  <c r="J210" i="1" s="1"/>
  <c r="I210" i="1" a="1"/>
  <c r="I210" i="1" s="1"/>
  <c r="K210" i="1" s="1" a="1"/>
  <c r="K210" i="1" s="1"/>
  <c r="N210" i="1" s="1" a="1"/>
  <c r="N210" i="1" s="1"/>
  <c r="F210" i="1" a="1"/>
  <c r="F210" i="1" s="1"/>
  <c r="E210" i="1" a="1"/>
  <c r="E210" i="1" s="1"/>
  <c r="L209" i="1" a="1"/>
  <c r="L209" i="1" s="1"/>
  <c r="J209" i="1" a="1"/>
  <c r="J209" i="1" s="1"/>
  <c r="K209" i="1" s="1" a="1"/>
  <c r="K209" i="1" s="1"/>
  <c r="I209" i="1" a="1"/>
  <c r="I209" i="1" s="1"/>
  <c r="F209" i="1" a="1"/>
  <c r="F209" i="1" s="1"/>
  <c r="E209" i="1" a="1"/>
  <c r="E209" i="1" s="1"/>
  <c r="L208" i="1" a="1"/>
  <c r="L208" i="1" s="1"/>
  <c r="O208" i="1" s="1" a="1"/>
  <c r="O208" i="1" s="1"/>
  <c r="K208" i="1" a="1"/>
  <c r="K208" i="1" s="1"/>
  <c r="N208" i="1" s="1" a="1"/>
  <c r="N208" i="1" s="1"/>
  <c r="J208" i="1" a="1"/>
  <c r="J208" i="1" s="1"/>
  <c r="I208" i="1" a="1"/>
  <c r="I208" i="1" s="1"/>
  <c r="F208" i="1" a="1"/>
  <c r="F208" i="1" s="1"/>
  <c r="E208" i="1" a="1"/>
  <c r="E208" i="1" s="1"/>
  <c r="L207" i="1" a="1"/>
  <c r="L207" i="1" s="1"/>
  <c r="J207" i="1" a="1"/>
  <c r="J207" i="1" s="1"/>
  <c r="K207" i="1" s="1" a="1"/>
  <c r="K207" i="1" s="1"/>
  <c r="I207" i="1" a="1"/>
  <c r="I207" i="1" s="1"/>
  <c r="F207" i="1" a="1"/>
  <c r="F207" i="1" s="1"/>
  <c r="E207" i="1" a="1"/>
  <c r="E207" i="1"/>
  <c r="L206" i="1" a="1"/>
  <c r="L206" i="1" s="1"/>
  <c r="O206" i="1" s="1" a="1"/>
  <c r="O206" i="1" s="1"/>
  <c r="J206" i="1" a="1"/>
  <c r="J206" i="1" s="1"/>
  <c r="I206" i="1" a="1"/>
  <c r="I206" i="1" s="1"/>
  <c r="K206" i="1" s="1" a="1"/>
  <c r="K206" i="1" s="1"/>
  <c r="N206" i="1" s="1" a="1"/>
  <c r="N206" i="1" s="1"/>
  <c r="F206" i="1" a="1"/>
  <c r="F206" i="1" s="1"/>
  <c r="E206" i="1" a="1"/>
  <c r="E206" i="1" s="1"/>
  <c r="L205" i="1" a="1"/>
  <c r="L205" i="1" s="1"/>
  <c r="J205" i="1" a="1"/>
  <c r="J205" i="1" s="1"/>
  <c r="K205" i="1" s="1" a="1"/>
  <c r="K205" i="1" s="1"/>
  <c r="I205" i="1" a="1"/>
  <c r="I205" i="1" s="1"/>
  <c r="F205" i="1" a="1"/>
  <c r="F205" i="1" s="1"/>
  <c r="E205" i="1" a="1"/>
  <c r="E205" i="1" s="1"/>
  <c r="L204" i="1" a="1"/>
  <c r="L204" i="1" s="1"/>
  <c r="K204" i="1" a="1"/>
  <c r="K204" i="1" s="1"/>
  <c r="N204" i="1" s="1" a="1"/>
  <c r="N204" i="1" s="1"/>
  <c r="J204" i="1" a="1"/>
  <c r="J204" i="1" s="1"/>
  <c r="I204" i="1" a="1"/>
  <c r="I204" i="1" s="1"/>
  <c r="F204" i="1" a="1"/>
  <c r="F204" i="1" s="1"/>
  <c r="E204" i="1" a="1"/>
  <c r="E204" i="1" s="1"/>
  <c r="L203" i="1" a="1"/>
  <c r="L203" i="1" s="1"/>
  <c r="J203" i="1" a="1"/>
  <c r="J203" i="1" s="1"/>
  <c r="K203" i="1" s="1" a="1"/>
  <c r="K203" i="1" s="1"/>
  <c r="I203" i="1" a="1"/>
  <c r="I203" i="1" s="1"/>
  <c r="F203" i="1" a="1"/>
  <c r="F203" i="1" s="1"/>
  <c r="E203" i="1" a="1"/>
  <c r="E203" i="1"/>
  <c r="L202" i="1" a="1"/>
  <c r="L202" i="1" s="1"/>
  <c r="J202" i="1" a="1"/>
  <c r="J202" i="1" s="1"/>
  <c r="I202" i="1" a="1"/>
  <c r="I202" i="1" s="1"/>
  <c r="K202" i="1" s="1" a="1"/>
  <c r="K202" i="1" s="1"/>
  <c r="N202" i="1" s="1" a="1"/>
  <c r="N202" i="1" s="1"/>
  <c r="F202" i="1" a="1"/>
  <c r="F202" i="1" s="1"/>
  <c r="E202" i="1" a="1"/>
  <c r="E202" i="1" s="1"/>
  <c r="L201" i="1" a="1"/>
  <c r="L201" i="1" s="1"/>
  <c r="J201" i="1" a="1"/>
  <c r="J201" i="1" s="1"/>
  <c r="K201" i="1" s="1" a="1"/>
  <c r="K201" i="1" s="1"/>
  <c r="I201" i="1" a="1"/>
  <c r="I201" i="1" s="1"/>
  <c r="F201" i="1" a="1"/>
  <c r="F201" i="1" s="1"/>
  <c r="E201" i="1" a="1"/>
  <c r="E201" i="1" s="1"/>
  <c r="L200" i="1" a="1"/>
  <c r="L200" i="1" s="1"/>
  <c r="O200" i="1" s="1" a="1"/>
  <c r="O200" i="1" s="1"/>
  <c r="K200" i="1" a="1"/>
  <c r="K200" i="1" s="1"/>
  <c r="N200" i="1" s="1" a="1"/>
  <c r="N200" i="1" s="1"/>
  <c r="J200" i="1" a="1"/>
  <c r="J200" i="1" s="1"/>
  <c r="I200" i="1" a="1"/>
  <c r="I200" i="1" s="1"/>
  <c r="F200" i="1" a="1"/>
  <c r="F200" i="1" s="1"/>
  <c r="E200" i="1" a="1"/>
  <c r="E200" i="1" s="1"/>
  <c r="L199" i="1" a="1"/>
  <c r="L199" i="1" s="1"/>
  <c r="J199" i="1" a="1"/>
  <c r="J199" i="1" s="1"/>
  <c r="K199" i="1" s="1" a="1"/>
  <c r="K199" i="1" s="1"/>
  <c r="I199" i="1" a="1"/>
  <c r="I199" i="1" s="1"/>
  <c r="F199" i="1" a="1"/>
  <c r="F199" i="1" s="1"/>
  <c r="E199" i="1" a="1"/>
  <c r="E199" i="1"/>
  <c r="L198" i="1" a="1"/>
  <c r="L198" i="1" s="1"/>
  <c r="O198" i="1" s="1" a="1"/>
  <c r="O198" i="1" s="1"/>
  <c r="J198" i="1" a="1"/>
  <c r="J198" i="1" s="1"/>
  <c r="I198" i="1" a="1"/>
  <c r="I198" i="1" s="1"/>
  <c r="K198" i="1" s="1" a="1"/>
  <c r="K198" i="1" s="1"/>
  <c r="N198" i="1" s="1" a="1"/>
  <c r="N198" i="1" s="1"/>
  <c r="F198" i="1" a="1"/>
  <c r="F198" i="1" s="1"/>
  <c r="E198" i="1" a="1"/>
  <c r="E198" i="1" s="1"/>
  <c r="L197" i="1" a="1"/>
  <c r="L197" i="1" s="1"/>
  <c r="J197" i="1" a="1"/>
  <c r="J197" i="1" s="1"/>
  <c r="K197" i="1" s="1" a="1"/>
  <c r="K197" i="1" s="1"/>
  <c r="I197" i="1" a="1"/>
  <c r="I197" i="1" s="1"/>
  <c r="F197" i="1" a="1"/>
  <c r="F197" i="1" s="1"/>
  <c r="E197" i="1" a="1"/>
  <c r="E197" i="1" s="1"/>
  <c r="L196" i="1" a="1"/>
  <c r="L196" i="1" s="1"/>
  <c r="K196" i="1" a="1"/>
  <c r="K196" i="1" s="1"/>
  <c r="N196" i="1" s="1" a="1"/>
  <c r="N196" i="1" s="1"/>
  <c r="J196" i="1" a="1"/>
  <c r="J196" i="1" s="1"/>
  <c r="I196" i="1" a="1"/>
  <c r="I196" i="1" s="1"/>
  <c r="F196" i="1" a="1"/>
  <c r="F196" i="1" s="1"/>
  <c r="E196" i="1" a="1"/>
  <c r="E196" i="1" s="1"/>
  <c r="L195" i="1" a="1"/>
  <c r="L195" i="1" s="1"/>
  <c r="J195" i="1" a="1"/>
  <c r="J195" i="1" s="1"/>
  <c r="K195" i="1" s="1" a="1"/>
  <c r="K195" i="1" s="1"/>
  <c r="I195" i="1" a="1"/>
  <c r="I195" i="1" s="1"/>
  <c r="F195" i="1" a="1"/>
  <c r="F195" i="1" s="1"/>
  <c r="E195" i="1" a="1"/>
  <c r="E195" i="1"/>
  <c r="L194" i="1" a="1"/>
  <c r="L194" i="1" s="1"/>
  <c r="J194" i="1" a="1"/>
  <c r="J194" i="1" s="1"/>
  <c r="I194" i="1" a="1"/>
  <c r="I194" i="1" s="1"/>
  <c r="K194" i="1" s="1" a="1"/>
  <c r="K194" i="1" s="1"/>
  <c r="N194" i="1" s="1" a="1"/>
  <c r="N194" i="1" s="1"/>
  <c r="F194" i="1" a="1"/>
  <c r="F194" i="1" s="1"/>
  <c r="E194" i="1" a="1"/>
  <c r="E194" i="1" s="1"/>
  <c r="L193" i="1" a="1"/>
  <c r="L193" i="1" s="1"/>
  <c r="J193" i="1" a="1"/>
  <c r="J193" i="1" s="1"/>
  <c r="K193" i="1" s="1" a="1"/>
  <c r="K193" i="1" s="1"/>
  <c r="I193" i="1" a="1"/>
  <c r="I193" i="1" s="1"/>
  <c r="F193" i="1" a="1"/>
  <c r="F193" i="1" s="1"/>
  <c r="E193" i="1" a="1"/>
  <c r="E193" i="1" s="1"/>
  <c r="L192" i="1" a="1"/>
  <c r="L192" i="1" s="1"/>
  <c r="O192" i="1" s="1" a="1"/>
  <c r="O192" i="1" s="1"/>
  <c r="K192" i="1" a="1"/>
  <c r="K192" i="1" s="1"/>
  <c r="N192" i="1" s="1" a="1"/>
  <c r="N192" i="1" s="1"/>
  <c r="J192" i="1" a="1"/>
  <c r="J192" i="1" s="1"/>
  <c r="I192" i="1" a="1"/>
  <c r="I192" i="1" s="1"/>
  <c r="F192" i="1" a="1"/>
  <c r="F192" i="1" s="1"/>
  <c r="E192" i="1" a="1"/>
  <c r="E192" i="1" s="1"/>
  <c r="L191" i="1" a="1"/>
  <c r="L191" i="1" s="1"/>
  <c r="J191" i="1" a="1"/>
  <c r="J191" i="1" s="1"/>
  <c r="K191" i="1" s="1" a="1"/>
  <c r="K191" i="1" s="1"/>
  <c r="I191" i="1" a="1"/>
  <c r="I191" i="1" s="1"/>
  <c r="F191" i="1" a="1"/>
  <c r="F191" i="1" s="1"/>
  <c r="E191" i="1" a="1"/>
  <c r="E191" i="1"/>
  <c r="L190" i="1" a="1"/>
  <c r="L190" i="1" s="1"/>
  <c r="O190" i="1" s="1" a="1"/>
  <c r="O190" i="1" s="1"/>
  <c r="J190" i="1" a="1"/>
  <c r="J190" i="1" s="1"/>
  <c r="I190" i="1" a="1"/>
  <c r="I190" i="1" s="1"/>
  <c r="K190" i="1" s="1" a="1"/>
  <c r="K190" i="1" s="1"/>
  <c r="N190" i="1" s="1" a="1"/>
  <c r="N190" i="1" s="1"/>
  <c r="F190" i="1" a="1"/>
  <c r="F190" i="1" s="1"/>
  <c r="E190" i="1" a="1"/>
  <c r="E190" i="1" s="1"/>
  <c r="L189" i="1" a="1"/>
  <c r="L189" i="1" s="1"/>
  <c r="J189" i="1" a="1"/>
  <c r="J189" i="1" s="1"/>
  <c r="K189" i="1" s="1" a="1"/>
  <c r="K189" i="1" s="1"/>
  <c r="I189" i="1" a="1"/>
  <c r="I189" i="1" s="1"/>
  <c r="F189" i="1" a="1"/>
  <c r="F189" i="1" s="1"/>
  <c r="E189" i="1" a="1"/>
  <c r="E189" i="1" s="1"/>
  <c r="L188" i="1" a="1"/>
  <c r="L188" i="1" s="1"/>
  <c r="K188" i="1" a="1"/>
  <c r="K188" i="1" s="1"/>
  <c r="N188" i="1" s="1" a="1"/>
  <c r="N188" i="1" s="1"/>
  <c r="J188" i="1" a="1"/>
  <c r="J188" i="1" s="1"/>
  <c r="I188" i="1" a="1"/>
  <c r="I188" i="1" s="1"/>
  <c r="F188" i="1" a="1"/>
  <c r="F188" i="1" s="1"/>
  <c r="E188" i="1" a="1"/>
  <c r="E188" i="1" s="1"/>
  <c r="L187" i="1" a="1"/>
  <c r="L187" i="1" s="1"/>
  <c r="J187" i="1" a="1"/>
  <c r="J187" i="1" s="1"/>
  <c r="K187" i="1" s="1" a="1"/>
  <c r="K187" i="1" s="1"/>
  <c r="I187" i="1" a="1"/>
  <c r="I187" i="1" s="1"/>
  <c r="F187" i="1" a="1"/>
  <c r="F187" i="1" s="1"/>
  <c r="E187" i="1" a="1"/>
  <c r="E187" i="1"/>
  <c r="L186" i="1" a="1"/>
  <c r="L186" i="1" s="1"/>
  <c r="J186" i="1" a="1"/>
  <c r="J186" i="1" s="1"/>
  <c r="I186" i="1" a="1"/>
  <c r="I186" i="1" s="1"/>
  <c r="K186" i="1" s="1" a="1"/>
  <c r="K186" i="1" s="1"/>
  <c r="N186" i="1" s="1" a="1"/>
  <c r="N186" i="1" s="1"/>
  <c r="F186" i="1" a="1"/>
  <c r="F186" i="1" s="1"/>
  <c r="E186" i="1" a="1"/>
  <c r="E186" i="1" s="1"/>
  <c r="L185" i="1" a="1"/>
  <c r="L185" i="1" s="1"/>
  <c r="J185" i="1" a="1"/>
  <c r="J185" i="1" s="1"/>
  <c r="K185" i="1" s="1" a="1"/>
  <c r="K185" i="1" s="1"/>
  <c r="I185" i="1" a="1"/>
  <c r="I185" i="1" s="1"/>
  <c r="F185" i="1" a="1"/>
  <c r="F185" i="1" s="1"/>
  <c r="E185" i="1" a="1"/>
  <c r="E185" i="1" s="1"/>
  <c r="L184" i="1" a="1"/>
  <c r="L184" i="1" s="1"/>
  <c r="O184" i="1" s="1" a="1"/>
  <c r="O184" i="1" s="1"/>
  <c r="K184" i="1" a="1"/>
  <c r="K184" i="1" s="1"/>
  <c r="N184" i="1" s="1" a="1"/>
  <c r="N184" i="1" s="1"/>
  <c r="J184" i="1" a="1"/>
  <c r="J184" i="1" s="1"/>
  <c r="I184" i="1" a="1"/>
  <c r="I184" i="1" s="1"/>
  <c r="F184" i="1" a="1"/>
  <c r="F184" i="1" s="1"/>
  <c r="E184" i="1" a="1"/>
  <c r="E184" i="1" s="1"/>
  <c r="L183" i="1" a="1"/>
  <c r="L183" i="1" s="1"/>
  <c r="J183" i="1" a="1"/>
  <c r="J183" i="1" s="1"/>
  <c r="K183" i="1" s="1" a="1"/>
  <c r="K183" i="1" s="1"/>
  <c r="I183" i="1" a="1"/>
  <c r="I183" i="1" s="1"/>
  <c r="F183" i="1" a="1"/>
  <c r="F183" i="1" s="1"/>
  <c r="E183" i="1" a="1"/>
  <c r="E183" i="1"/>
  <c r="L182" i="1" a="1"/>
  <c r="L182" i="1" s="1"/>
  <c r="O182" i="1" s="1" a="1"/>
  <c r="O182" i="1" s="1"/>
  <c r="J182" i="1" a="1"/>
  <c r="J182" i="1" s="1"/>
  <c r="I182" i="1" a="1"/>
  <c r="I182" i="1" s="1"/>
  <c r="K182" i="1" s="1" a="1"/>
  <c r="K182" i="1" s="1"/>
  <c r="N182" i="1" s="1" a="1"/>
  <c r="N182" i="1" s="1"/>
  <c r="F182" i="1" a="1"/>
  <c r="F182" i="1" s="1"/>
  <c r="E182" i="1" a="1"/>
  <c r="E182" i="1" s="1"/>
  <c r="L181" i="1" a="1"/>
  <c r="L181" i="1" s="1"/>
  <c r="J181" i="1" a="1"/>
  <c r="J181" i="1" s="1"/>
  <c r="K181" i="1" s="1" a="1"/>
  <c r="K181" i="1" s="1"/>
  <c r="I181" i="1" a="1"/>
  <c r="I181" i="1" s="1"/>
  <c r="F181" i="1" a="1"/>
  <c r="F181" i="1" s="1"/>
  <c r="E181" i="1" a="1"/>
  <c r="E181" i="1" s="1"/>
  <c r="L180" i="1" a="1"/>
  <c r="L180" i="1" s="1"/>
  <c r="K180" i="1" a="1"/>
  <c r="K180" i="1" s="1"/>
  <c r="N180" i="1" s="1" a="1"/>
  <c r="N180" i="1" s="1"/>
  <c r="J180" i="1" a="1"/>
  <c r="J180" i="1" s="1"/>
  <c r="I180" i="1" a="1"/>
  <c r="I180" i="1" s="1"/>
  <c r="F180" i="1" a="1"/>
  <c r="F180" i="1" s="1"/>
  <c r="E180" i="1" a="1"/>
  <c r="E180" i="1" s="1"/>
  <c r="L179" i="1" a="1"/>
  <c r="L179" i="1" s="1"/>
  <c r="J179" i="1" a="1"/>
  <c r="J179" i="1" s="1"/>
  <c r="K179" i="1" s="1" a="1"/>
  <c r="K179" i="1" s="1"/>
  <c r="I179" i="1" a="1"/>
  <c r="I179" i="1" s="1"/>
  <c r="F179" i="1" a="1"/>
  <c r="F179" i="1" s="1"/>
  <c r="E179" i="1" a="1"/>
  <c r="E179" i="1"/>
  <c r="L178" i="1" a="1"/>
  <c r="L178" i="1" s="1"/>
  <c r="J178" i="1" a="1"/>
  <c r="J178" i="1" s="1"/>
  <c r="I178" i="1" a="1"/>
  <c r="I178" i="1" s="1"/>
  <c r="K178" i="1" s="1" a="1"/>
  <c r="K178" i="1" s="1"/>
  <c r="N178" i="1" s="1" a="1"/>
  <c r="N178" i="1" s="1"/>
  <c r="F178" i="1" a="1"/>
  <c r="F178" i="1" s="1"/>
  <c r="E178" i="1" a="1"/>
  <c r="E178" i="1" s="1"/>
  <c r="L177" i="1" a="1"/>
  <c r="L177" i="1" s="1"/>
  <c r="J177" i="1" a="1"/>
  <c r="J177" i="1" s="1"/>
  <c r="K177" i="1" s="1" a="1"/>
  <c r="K177" i="1" s="1"/>
  <c r="I177" i="1" a="1"/>
  <c r="I177" i="1" s="1"/>
  <c r="F177" i="1" a="1"/>
  <c r="F177" i="1" s="1"/>
  <c r="E177" i="1" a="1"/>
  <c r="E177" i="1" s="1"/>
  <c r="L176" i="1" a="1"/>
  <c r="L176" i="1" s="1"/>
  <c r="J176" i="1" a="1"/>
  <c r="J176" i="1" s="1"/>
  <c r="I176" i="1" a="1"/>
  <c r="I176" i="1" s="1"/>
  <c r="F176" i="1" a="1"/>
  <c r="F176" i="1"/>
  <c r="E176" i="1" a="1"/>
  <c r="E176" i="1" s="1"/>
  <c r="L175" i="1" a="1"/>
  <c r="L175" i="1"/>
  <c r="O175" i="1" s="1" a="1"/>
  <c r="O175" i="1" s="1"/>
  <c r="J175" i="1" a="1"/>
  <c r="J175" i="1" s="1"/>
  <c r="I175" i="1" a="1"/>
  <c r="I175" i="1" s="1"/>
  <c r="K175" i="1" s="1" a="1"/>
  <c r="K175" i="1" s="1"/>
  <c r="N175" i="1" s="1" a="1"/>
  <c r="N175" i="1" s="1"/>
  <c r="F175" i="1" a="1"/>
  <c r="F175" i="1" s="1"/>
  <c r="E175" i="1" a="1"/>
  <c r="E175" i="1"/>
  <c r="L174" i="1" a="1"/>
  <c r="L174" i="1"/>
  <c r="J174" i="1" a="1"/>
  <c r="J174" i="1" s="1"/>
  <c r="I174" i="1" a="1"/>
  <c r="I174" i="1" s="1"/>
  <c r="F174" i="1" a="1"/>
  <c r="F174" i="1" s="1"/>
  <c r="E174" i="1" a="1"/>
  <c r="E174" i="1" s="1"/>
  <c r="L173" i="1" a="1"/>
  <c r="L173" i="1"/>
  <c r="J173" i="1" a="1"/>
  <c r="J173" i="1" s="1"/>
  <c r="I173" i="1" a="1"/>
  <c r="I173" i="1"/>
  <c r="K173" i="1" s="1" a="1"/>
  <c r="K173" i="1" s="1"/>
  <c r="F173" i="1" a="1"/>
  <c r="F173" i="1" s="1"/>
  <c r="E173" i="1" a="1"/>
  <c r="E173" i="1" s="1"/>
  <c r="L172" i="1" a="1"/>
  <c r="L172" i="1" s="1"/>
  <c r="J172" i="1" a="1"/>
  <c r="J172" i="1" s="1"/>
  <c r="I172" i="1" a="1"/>
  <c r="I172" i="1" s="1"/>
  <c r="F172" i="1" a="1"/>
  <c r="F172" i="1"/>
  <c r="E172" i="1" a="1"/>
  <c r="E172" i="1" s="1"/>
  <c r="L171" i="1" a="1"/>
  <c r="L171" i="1"/>
  <c r="J171" i="1" a="1"/>
  <c r="J171" i="1" s="1"/>
  <c r="I171" i="1" a="1"/>
  <c r="I171" i="1" s="1"/>
  <c r="K171" i="1" s="1" a="1"/>
  <c r="K171" i="1" s="1"/>
  <c r="N171" i="1" s="1" a="1"/>
  <c r="N171" i="1" s="1"/>
  <c r="F171" i="1" a="1"/>
  <c r="F171" i="1" s="1"/>
  <c r="E171" i="1" a="1"/>
  <c r="E171" i="1"/>
  <c r="L170" i="1" a="1"/>
  <c r="L170" i="1"/>
  <c r="J170" i="1" a="1"/>
  <c r="J170" i="1" s="1"/>
  <c r="I170" i="1" a="1"/>
  <c r="I170" i="1" s="1"/>
  <c r="F170" i="1" a="1"/>
  <c r="F170" i="1" s="1"/>
  <c r="E170" i="1" a="1"/>
  <c r="E170" i="1" s="1"/>
  <c r="L169" i="1" a="1"/>
  <c r="L169" i="1"/>
  <c r="J169" i="1" a="1"/>
  <c r="J169" i="1" s="1"/>
  <c r="I169" i="1" a="1"/>
  <c r="I169" i="1"/>
  <c r="K169" i="1" s="1" a="1"/>
  <c r="K169" i="1" s="1"/>
  <c r="F169" i="1" a="1"/>
  <c r="F169" i="1" s="1"/>
  <c r="E169" i="1" a="1"/>
  <c r="E169" i="1" s="1"/>
  <c r="L168" i="1" a="1"/>
  <c r="L168" i="1" s="1"/>
  <c r="J168" i="1" a="1"/>
  <c r="J168" i="1" s="1"/>
  <c r="I168" i="1" a="1"/>
  <c r="I168" i="1" s="1"/>
  <c r="F168" i="1" a="1"/>
  <c r="F168" i="1"/>
  <c r="E168" i="1" a="1"/>
  <c r="E168" i="1" s="1"/>
  <c r="L167" i="1" a="1"/>
  <c r="L167" i="1"/>
  <c r="O167" i="1" s="1" a="1"/>
  <c r="O167" i="1" s="1"/>
  <c r="J167" i="1" a="1"/>
  <c r="J167" i="1" s="1"/>
  <c r="I167" i="1" a="1"/>
  <c r="I167" i="1" s="1"/>
  <c r="K167" i="1" s="1" a="1"/>
  <c r="K167" i="1" s="1"/>
  <c r="N167" i="1" s="1" a="1"/>
  <c r="N167" i="1" s="1"/>
  <c r="F167" i="1" a="1"/>
  <c r="F167" i="1" s="1"/>
  <c r="E167" i="1" a="1"/>
  <c r="E167" i="1"/>
  <c r="L166" i="1" a="1"/>
  <c r="L166" i="1"/>
  <c r="J166" i="1" a="1"/>
  <c r="J166" i="1" s="1"/>
  <c r="I166" i="1" a="1"/>
  <c r="I166" i="1" s="1"/>
  <c r="F166" i="1" a="1"/>
  <c r="F166" i="1" s="1"/>
  <c r="E166" i="1" a="1"/>
  <c r="E166" i="1" s="1"/>
  <c r="L165" i="1" a="1"/>
  <c r="L165" i="1"/>
  <c r="J165" i="1" a="1"/>
  <c r="J165" i="1" s="1"/>
  <c r="I165" i="1" a="1"/>
  <c r="I165" i="1"/>
  <c r="K165" i="1" s="1" a="1"/>
  <c r="K165" i="1" s="1"/>
  <c r="F165" i="1" a="1"/>
  <c r="F165" i="1" s="1"/>
  <c r="E165" i="1" a="1"/>
  <c r="E165" i="1" s="1"/>
  <c r="O164" i="1" a="1"/>
  <c r="O164" i="1"/>
  <c r="L164" i="1" a="1"/>
  <c r="L164" i="1"/>
  <c r="K164" i="1" a="1"/>
  <c r="K164" i="1" s="1"/>
  <c r="J164" i="1" a="1"/>
  <c r="J164" i="1" s="1"/>
  <c r="N164" i="1" s="1" a="1"/>
  <c r="N164" i="1" s="1"/>
  <c r="I164" i="1" a="1"/>
  <c r="I164" i="1"/>
  <c r="F164" i="1" a="1"/>
  <c r="F164" i="1" s="1"/>
  <c r="E164" i="1" a="1"/>
  <c r="E164" i="1" s="1"/>
  <c r="L163" i="1" a="1"/>
  <c r="L163" i="1" s="1"/>
  <c r="J163" i="1" a="1"/>
  <c r="J163" i="1" s="1"/>
  <c r="I163" i="1" a="1"/>
  <c r="I163" i="1" s="1"/>
  <c r="F163" i="1" a="1"/>
  <c r="F163" i="1"/>
  <c r="E163" i="1" a="1"/>
  <c r="E163" i="1" s="1"/>
  <c r="L162" i="1" a="1"/>
  <c r="L162" i="1"/>
  <c r="J162" i="1" a="1"/>
  <c r="J162" i="1" s="1"/>
  <c r="K162" i="1" s="1" a="1"/>
  <c r="K162" i="1" s="1"/>
  <c r="N162" i="1" s="1" a="1"/>
  <c r="N162" i="1" s="1"/>
  <c r="I162" i="1" a="1"/>
  <c r="I162" i="1" s="1"/>
  <c r="F162" i="1" a="1"/>
  <c r="F162" i="1" s="1"/>
  <c r="E162" i="1" a="1"/>
  <c r="E162" i="1"/>
  <c r="L161" i="1" a="1"/>
  <c r="L161" i="1" s="1"/>
  <c r="J161" i="1" a="1"/>
  <c r="J161" i="1" s="1"/>
  <c r="I161" i="1" a="1"/>
  <c r="I161" i="1" s="1"/>
  <c r="F161" i="1" a="1"/>
  <c r="F161" i="1" s="1"/>
  <c r="E161" i="1" a="1"/>
  <c r="E161" i="1"/>
  <c r="L160" i="1" a="1"/>
  <c r="L160" i="1" s="1"/>
  <c r="J160" i="1" a="1"/>
  <c r="J160" i="1" s="1"/>
  <c r="K160" i="1" s="1" a="1"/>
  <c r="K160" i="1" s="1"/>
  <c r="N160" i="1" s="1" a="1"/>
  <c r="N160" i="1" s="1"/>
  <c r="I160" i="1" a="1"/>
  <c r="I160" i="1" s="1"/>
  <c r="F160" i="1" a="1"/>
  <c r="F160" i="1" s="1"/>
  <c r="E160" i="1" a="1"/>
  <c r="E160" i="1"/>
  <c r="L159" i="1" a="1"/>
  <c r="L159" i="1" s="1"/>
  <c r="J159" i="1" a="1"/>
  <c r="J159" i="1" s="1"/>
  <c r="I159" i="1" a="1"/>
  <c r="I159" i="1" s="1"/>
  <c r="F159" i="1" a="1"/>
  <c r="F159" i="1" s="1"/>
  <c r="E159" i="1" a="1"/>
  <c r="E159" i="1"/>
  <c r="L158" i="1" a="1"/>
  <c r="L158" i="1" s="1"/>
  <c r="J158" i="1" a="1"/>
  <c r="J158" i="1" s="1"/>
  <c r="K158" i="1" s="1" a="1"/>
  <c r="K158" i="1" s="1"/>
  <c r="N158" i="1" s="1" a="1"/>
  <c r="N158" i="1" s="1"/>
  <c r="I158" i="1" a="1"/>
  <c r="I158" i="1" s="1"/>
  <c r="F158" i="1" a="1"/>
  <c r="F158" i="1" s="1"/>
  <c r="E158" i="1" a="1"/>
  <c r="E158" i="1"/>
  <c r="L157" i="1" a="1"/>
  <c r="L157" i="1" s="1"/>
  <c r="J157" i="1" a="1"/>
  <c r="J157" i="1" s="1"/>
  <c r="I157" i="1" a="1"/>
  <c r="I157" i="1" s="1"/>
  <c r="F157" i="1" a="1"/>
  <c r="F157" i="1" s="1"/>
  <c r="E157" i="1" a="1"/>
  <c r="E157" i="1"/>
  <c r="L156" i="1" a="1"/>
  <c r="L156" i="1" s="1"/>
  <c r="J156" i="1" a="1"/>
  <c r="J156" i="1" s="1"/>
  <c r="K156" i="1" s="1" a="1"/>
  <c r="K156" i="1" s="1"/>
  <c r="N156" i="1" s="1" a="1"/>
  <c r="N156" i="1" s="1"/>
  <c r="I156" i="1" a="1"/>
  <c r="I156" i="1" s="1"/>
  <c r="F156" i="1" a="1"/>
  <c r="F156" i="1" s="1"/>
  <c r="E156" i="1" a="1"/>
  <c r="E156" i="1"/>
  <c r="L155" i="1" a="1"/>
  <c r="L155" i="1" s="1"/>
  <c r="J155" i="1" a="1"/>
  <c r="J155" i="1" s="1"/>
  <c r="I155" i="1" a="1"/>
  <c r="I155" i="1" s="1"/>
  <c r="F155" i="1" a="1"/>
  <c r="F155" i="1" s="1"/>
  <c r="E155" i="1" a="1"/>
  <c r="E155" i="1"/>
  <c r="L154" i="1" a="1"/>
  <c r="L154" i="1" s="1"/>
  <c r="J154" i="1" a="1"/>
  <c r="J154" i="1" s="1"/>
  <c r="K154" i="1" s="1" a="1"/>
  <c r="K154" i="1" s="1"/>
  <c r="N154" i="1" s="1" a="1"/>
  <c r="N154" i="1" s="1"/>
  <c r="I154" i="1" a="1"/>
  <c r="I154" i="1" s="1"/>
  <c r="F154" i="1" a="1"/>
  <c r="F154" i="1" s="1"/>
  <c r="E154" i="1" a="1"/>
  <c r="E154" i="1"/>
  <c r="L153" i="1" a="1"/>
  <c r="L153" i="1" s="1"/>
  <c r="J153" i="1" a="1"/>
  <c r="J153" i="1" s="1"/>
  <c r="I153" i="1" a="1"/>
  <c r="I153" i="1" s="1"/>
  <c r="F153" i="1" a="1"/>
  <c r="F153" i="1" s="1"/>
  <c r="E153" i="1" a="1"/>
  <c r="E153" i="1"/>
  <c r="L152" i="1" a="1"/>
  <c r="L152" i="1" s="1"/>
  <c r="J152" i="1" a="1"/>
  <c r="J152" i="1" s="1"/>
  <c r="K152" i="1" s="1" a="1"/>
  <c r="K152" i="1" s="1"/>
  <c r="N152" i="1" s="1" a="1"/>
  <c r="N152" i="1" s="1"/>
  <c r="I152" i="1" a="1"/>
  <c r="I152" i="1" s="1"/>
  <c r="F152" i="1" a="1"/>
  <c r="F152" i="1" s="1"/>
  <c r="E152" i="1" a="1"/>
  <c r="E152" i="1"/>
  <c r="L151" i="1" a="1"/>
  <c r="L151" i="1" s="1"/>
  <c r="J151" i="1" a="1"/>
  <c r="J151" i="1" s="1"/>
  <c r="I151" i="1" a="1"/>
  <c r="I151" i="1" s="1"/>
  <c r="F151" i="1" a="1"/>
  <c r="F151" i="1" s="1"/>
  <c r="E151" i="1" a="1"/>
  <c r="E151" i="1"/>
  <c r="L150" i="1" a="1"/>
  <c r="L150" i="1" s="1"/>
  <c r="J150" i="1" a="1"/>
  <c r="J150" i="1" s="1"/>
  <c r="K150" i="1" s="1" a="1"/>
  <c r="K150" i="1" s="1"/>
  <c r="N150" i="1" s="1" a="1"/>
  <c r="N150" i="1" s="1"/>
  <c r="I150" i="1" a="1"/>
  <c r="I150" i="1" s="1"/>
  <c r="F150" i="1" a="1"/>
  <c r="F150" i="1" s="1"/>
  <c r="E150" i="1" a="1"/>
  <c r="E150" i="1"/>
  <c r="L149" i="1" a="1"/>
  <c r="L149" i="1" s="1"/>
  <c r="J149" i="1" a="1"/>
  <c r="J149" i="1" s="1"/>
  <c r="I149" i="1" a="1"/>
  <c r="I149" i="1" s="1"/>
  <c r="F149" i="1" a="1"/>
  <c r="F149" i="1" s="1"/>
  <c r="E149" i="1" a="1"/>
  <c r="E149" i="1"/>
  <c r="L148" i="1" a="1"/>
  <c r="L148" i="1" s="1"/>
  <c r="J148" i="1" a="1"/>
  <c r="J148" i="1" s="1"/>
  <c r="K148" i="1" s="1" a="1"/>
  <c r="K148" i="1" s="1"/>
  <c r="N148" i="1" s="1" a="1"/>
  <c r="N148" i="1" s="1"/>
  <c r="I148" i="1" a="1"/>
  <c r="I148" i="1" s="1"/>
  <c r="F148" i="1" a="1"/>
  <c r="F148" i="1" s="1"/>
  <c r="E148" i="1" a="1"/>
  <c r="E148" i="1"/>
  <c r="L147" i="1" a="1"/>
  <c r="L147" i="1" s="1"/>
  <c r="J147" i="1" a="1"/>
  <c r="J147" i="1" s="1"/>
  <c r="I147" i="1" a="1"/>
  <c r="I147" i="1" s="1"/>
  <c r="F147" i="1" a="1"/>
  <c r="F147" i="1" s="1"/>
  <c r="E147" i="1" a="1"/>
  <c r="E147" i="1"/>
  <c r="L146" i="1" a="1"/>
  <c r="L146" i="1" s="1"/>
  <c r="J146" i="1" a="1"/>
  <c r="J146" i="1" s="1"/>
  <c r="K146" i="1" s="1" a="1"/>
  <c r="K146" i="1" s="1"/>
  <c r="N146" i="1" s="1" a="1"/>
  <c r="N146" i="1" s="1"/>
  <c r="I146" i="1" a="1"/>
  <c r="I146" i="1" s="1"/>
  <c r="F146" i="1" a="1"/>
  <c r="F146" i="1" s="1"/>
  <c r="E146" i="1" a="1"/>
  <c r="E146" i="1"/>
  <c r="L145" i="1" a="1"/>
  <c r="L145" i="1" s="1"/>
  <c r="J145" i="1" a="1"/>
  <c r="J145" i="1" s="1"/>
  <c r="I145" i="1" a="1"/>
  <c r="I145" i="1" s="1"/>
  <c r="F145" i="1" a="1"/>
  <c r="F145" i="1" s="1"/>
  <c r="E145" i="1" a="1"/>
  <c r="E145" i="1"/>
  <c r="L144" i="1" a="1"/>
  <c r="L144" i="1" s="1"/>
  <c r="J144" i="1" a="1"/>
  <c r="J144" i="1" s="1"/>
  <c r="K144" i="1" s="1" a="1"/>
  <c r="K144" i="1" s="1"/>
  <c r="N144" i="1" s="1" a="1"/>
  <c r="N144" i="1" s="1"/>
  <c r="I144" i="1" a="1"/>
  <c r="I144" i="1" s="1"/>
  <c r="F144" i="1" a="1"/>
  <c r="F144" i="1" s="1"/>
  <c r="E144" i="1" a="1"/>
  <c r="E144" i="1"/>
  <c r="L143" i="1" a="1"/>
  <c r="L143" i="1" s="1"/>
  <c r="J143" i="1" a="1"/>
  <c r="J143" i="1" s="1"/>
  <c r="I143" i="1" a="1"/>
  <c r="I143" i="1" s="1"/>
  <c r="F143" i="1" a="1"/>
  <c r="F143" i="1" s="1"/>
  <c r="E143" i="1" a="1"/>
  <c r="E143" i="1"/>
  <c r="L142" i="1" a="1"/>
  <c r="L142" i="1" s="1"/>
  <c r="J142" i="1" a="1"/>
  <c r="J142" i="1" s="1"/>
  <c r="K142" i="1" s="1" a="1"/>
  <c r="K142" i="1" s="1"/>
  <c r="N142" i="1" s="1" a="1"/>
  <c r="N142" i="1" s="1"/>
  <c r="I142" i="1" a="1"/>
  <c r="I142" i="1" s="1"/>
  <c r="F142" i="1" a="1"/>
  <c r="F142" i="1" s="1"/>
  <c r="E142" i="1" a="1"/>
  <c r="E142" i="1"/>
  <c r="L141" i="1" a="1"/>
  <c r="L141" i="1" s="1"/>
  <c r="J141" i="1" a="1"/>
  <c r="J141" i="1" s="1"/>
  <c r="I141" i="1" a="1"/>
  <c r="I141" i="1" s="1"/>
  <c r="F141" i="1" a="1"/>
  <c r="F141" i="1" s="1"/>
  <c r="E141" i="1" a="1"/>
  <c r="E141" i="1"/>
  <c r="L140" i="1" a="1"/>
  <c r="L140" i="1" s="1"/>
  <c r="J140" i="1" a="1"/>
  <c r="J140" i="1" s="1"/>
  <c r="K140" i="1" s="1" a="1"/>
  <c r="K140" i="1" s="1"/>
  <c r="N140" i="1" s="1" a="1"/>
  <c r="N140" i="1" s="1"/>
  <c r="I140" i="1" a="1"/>
  <c r="I140" i="1" s="1"/>
  <c r="F140" i="1" a="1"/>
  <c r="F140" i="1" s="1"/>
  <c r="E140" i="1" a="1"/>
  <c r="E140" i="1"/>
  <c r="L139" i="1" a="1"/>
  <c r="L139" i="1" s="1"/>
  <c r="J139" i="1" a="1"/>
  <c r="J139" i="1" s="1"/>
  <c r="I139" i="1" a="1"/>
  <c r="I139" i="1" s="1"/>
  <c r="F139" i="1" a="1"/>
  <c r="F139" i="1" s="1"/>
  <c r="E139" i="1" a="1"/>
  <c r="E139" i="1"/>
  <c r="L138" i="1" a="1"/>
  <c r="L138" i="1" s="1"/>
  <c r="J138" i="1" a="1"/>
  <c r="J138" i="1" s="1"/>
  <c r="K138" i="1" s="1" a="1"/>
  <c r="K138" i="1" s="1"/>
  <c r="N138" i="1" s="1" a="1"/>
  <c r="N138" i="1" s="1"/>
  <c r="I138" i="1" a="1"/>
  <c r="I138" i="1" s="1"/>
  <c r="F138" i="1" a="1"/>
  <c r="F138" i="1" s="1"/>
  <c r="E138" i="1" a="1"/>
  <c r="E138" i="1"/>
  <c r="L137" i="1" a="1"/>
  <c r="L137" i="1" s="1"/>
  <c r="J137" i="1" a="1"/>
  <c r="J137" i="1" s="1"/>
  <c r="I137" i="1" a="1"/>
  <c r="I137" i="1" s="1"/>
  <c r="F137" i="1" a="1"/>
  <c r="F137" i="1" s="1"/>
  <c r="E137" i="1" a="1"/>
  <c r="E137" i="1"/>
  <c r="L136" i="1" a="1"/>
  <c r="L136" i="1" s="1"/>
  <c r="J136" i="1" a="1"/>
  <c r="J136" i="1" s="1"/>
  <c r="K136" i="1" s="1" a="1"/>
  <c r="K136" i="1" s="1"/>
  <c r="N136" i="1" s="1" a="1"/>
  <c r="N136" i="1" s="1"/>
  <c r="I136" i="1" a="1"/>
  <c r="I136" i="1" s="1"/>
  <c r="F136" i="1" a="1"/>
  <c r="F136" i="1" s="1"/>
  <c r="E136" i="1" a="1"/>
  <c r="E136" i="1"/>
  <c r="L135" i="1" a="1"/>
  <c r="L135" i="1" s="1"/>
  <c r="J135" i="1" a="1"/>
  <c r="J135" i="1" s="1"/>
  <c r="I135" i="1" a="1"/>
  <c r="I135" i="1" s="1"/>
  <c r="F135" i="1" a="1"/>
  <c r="F135" i="1" s="1"/>
  <c r="E135" i="1" a="1"/>
  <c r="E135" i="1"/>
  <c r="L134" i="1" a="1"/>
  <c r="L134" i="1" s="1"/>
  <c r="J134" i="1" a="1"/>
  <c r="J134" i="1" s="1"/>
  <c r="K134" i="1" s="1" a="1"/>
  <c r="K134" i="1" s="1"/>
  <c r="N134" i="1" s="1" a="1"/>
  <c r="N134" i="1" s="1"/>
  <c r="I134" i="1" a="1"/>
  <c r="I134" i="1" s="1"/>
  <c r="F134" i="1" a="1"/>
  <c r="F134" i="1" s="1"/>
  <c r="E134" i="1" a="1"/>
  <c r="E134" i="1"/>
  <c r="L133" i="1" a="1"/>
  <c r="L133" i="1" s="1"/>
  <c r="J133" i="1" a="1"/>
  <c r="J133" i="1" s="1"/>
  <c r="I133" i="1" a="1"/>
  <c r="I133" i="1" s="1"/>
  <c r="F133" i="1" a="1"/>
  <c r="F133" i="1" s="1"/>
  <c r="E133" i="1" a="1"/>
  <c r="E133" i="1"/>
  <c r="L132" i="1" a="1"/>
  <c r="L132" i="1" s="1"/>
  <c r="J132" i="1" a="1"/>
  <c r="J132" i="1" s="1"/>
  <c r="K132" i="1" s="1" a="1"/>
  <c r="K132" i="1" s="1"/>
  <c r="N132" i="1" s="1" a="1"/>
  <c r="N132" i="1" s="1"/>
  <c r="I132" i="1" a="1"/>
  <c r="I132" i="1" s="1"/>
  <c r="F132" i="1" a="1"/>
  <c r="F132" i="1" s="1"/>
  <c r="E132" i="1" a="1"/>
  <c r="E132" i="1"/>
  <c r="L131" i="1" a="1"/>
  <c r="L131" i="1" s="1"/>
  <c r="J131" i="1" a="1"/>
  <c r="J131" i="1" s="1"/>
  <c r="I131" i="1" a="1"/>
  <c r="I131" i="1" s="1"/>
  <c r="F131" i="1" a="1"/>
  <c r="F131" i="1" s="1"/>
  <c r="E131" i="1" a="1"/>
  <c r="E131" i="1"/>
  <c r="L130" i="1" a="1"/>
  <c r="L130" i="1" s="1"/>
  <c r="J130" i="1" a="1"/>
  <c r="J130" i="1" s="1"/>
  <c r="K130" i="1" s="1" a="1"/>
  <c r="K130" i="1" s="1"/>
  <c r="N130" i="1" s="1" a="1"/>
  <c r="N130" i="1" s="1"/>
  <c r="I130" i="1" a="1"/>
  <c r="I130" i="1" s="1"/>
  <c r="F130" i="1" a="1"/>
  <c r="F130" i="1" s="1"/>
  <c r="E130" i="1" a="1"/>
  <c r="E130" i="1"/>
  <c r="L129" i="1" a="1"/>
  <c r="L129" i="1" s="1"/>
  <c r="J129" i="1" a="1"/>
  <c r="J129" i="1" s="1"/>
  <c r="I129" i="1" a="1"/>
  <c r="I129" i="1" s="1"/>
  <c r="F129" i="1" a="1"/>
  <c r="F129" i="1" s="1"/>
  <c r="E129" i="1" a="1"/>
  <c r="E129" i="1"/>
  <c r="L128" i="1" a="1"/>
  <c r="L128" i="1" s="1"/>
  <c r="J128" i="1" a="1"/>
  <c r="J128" i="1" s="1"/>
  <c r="K128" i="1" s="1" a="1"/>
  <c r="K128" i="1" s="1"/>
  <c r="N128" i="1" s="1" a="1"/>
  <c r="N128" i="1" s="1"/>
  <c r="I128" i="1" a="1"/>
  <c r="I128" i="1" s="1"/>
  <c r="F128" i="1" a="1"/>
  <c r="F128" i="1" s="1"/>
  <c r="E128" i="1" a="1"/>
  <c r="E128" i="1"/>
  <c r="L127" i="1" a="1"/>
  <c r="L127" i="1" s="1"/>
  <c r="J127" i="1" a="1"/>
  <c r="J127" i="1" s="1"/>
  <c r="I127" i="1" a="1"/>
  <c r="I127" i="1" s="1"/>
  <c r="F127" i="1" a="1"/>
  <c r="F127" i="1" s="1"/>
  <c r="E127" i="1" a="1"/>
  <c r="E127" i="1"/>
  <c r="L126" i="1" a="1"/>
  <c r="L126" i="1" s="1"/>
  <c r="J126" i="1" a="1"/>
  <c r="J126" i="1" s="1"/>
  <c r="K126" i="1" s="1" a="1"/>
  <c r="K126" i="1" s="1"/>
  <c r="N126" i="1" s="1" a="1"/>
  <c r="N126" i="1" s="1"/>
  <c r="I126" i="1" a="1"/>
  <c r="I126" i="1" s="1"/>
  <c r="F126" i="1" a="1"/>
  <c r="F126" i="1" s="1"/>
  <c r="E126" i="1" a="1"/>
  <c r="E126" i="1"/>
  <c r="L125" i="1" a="1"/>
  <c r="L125" i="1" s="1"/>
  <c r="J125" i="1" a="1"/>
  <c r="J125" i="1" s="1"/>
  <c r="I125" i="1" a="1"/>
  <c r="I125" i="1" s="1"/>
  <c r="F125" i="1" a="1"/>
  <c r="F125" i="1" s="1"/>
  <c r="E125" i="1" a="1"/>
  <c r="E125" i="1"/>
  <c r="L124" i="1" a="1"/>
  <c r="L124" i="1" s="1"/>
  <c r="J124" i="1" a="1"/>
  <c r="J124" i="1" s="1"/>
  <c r="K124" i="1" s="1" a="1"/>
  <c r="K124" i="1" s="1"/>
  <c r="N124" i="1" s="1" a="1"/>
  <c r="N124" i="1" s="1"/>
  <c r="I124" i="1" a="1"/>
  <c r="I124" i="1" s="1"/>
  <c r="F124" i="1" a="1"/>
  <c r="F124" i="1" s="1"/>
  <c r="E124" i="1" a="1"/>
  <c r="E124" i="1"/>
  <c r="L123" i="1" a="1"/>
  <c r="L123" i="1" s="1"/>
  <c r="J123" i="1" a="1"/>
  <c r="J123" i="1" s="1"/>
  <c r="I123" i="1" a="1"/>
  <c r="I123" i="1" s="1"/>
  <c r="F123" i="1" a="1"/>
  <c r="F123" i="1" s="1"/>
  <c r="E123" i="1" a="1"/>
  <c r="E123" i="1"/>
  <c r="L122" i="1" a="1"/>
  <c r="L122" i="1" s="1"/>
  <c r="J122" i="1" a="1"/>
  <c r="J122" i="1" s="1"/>
  <c r="K122" i="1" s="1" a="1"/>
  <c r="K122" i="1" s="1"/>
  <c r="N122" i="1" s="1" a="1"/>
  <c r="N122" i="1" s="1"/>
  <c r="I122" i="1" a="1"/>
  <c r="I122" i="1" s="1"/>
  <c r="F122" i="1" a="1"/>
  <c r="F122" i="1" s="1"/>
  <c r="E122" i="1" a="1"/>
  <c r="E122" i="1"/>
  <c r="L121" i="1" a="1"/>
  <c r="L121" i="1" s="1"/>
  <c r="J121" i="1" a="1"/>
  <c r="J121" i="1" s="1"/>
  <c r="I121" i="1" a="1"/>
  <c r="I121" i="1" s="1"/>
  <c r="F121" i="1" a="1"/>
  <c r="F121" i="1" s="1"/>
  <c r="E121" i="1" a="1"/>
  <c r="E121" i="1"/>
  <c r="L120" i="1" a="1"/>
  <c r="L120" i="1" s="1"/>
  <c r="J120" i="1" a="1"/>
  <c r="J120" i="1" s="1"/>
  <c r="K120" i="1" s="1" a="1"/>
  <c r="K120" i="1" s="1"/>
  <c r="N120" i="1" s="1" a="1"/>
  <c r="N120" i="1" s="1"/>
  <c r="I120" i="1" a="1"/>
  <c r="I120" i="1" s="1"/>
  <c r="F120" i="1" a="1"/>
  <c r="F120" i="1" s="1"/>
  <c r="E120" i="1" a="1"/>
  <c r="E120" i="1"/>
  <c r="L119" i="1" a="1"/>
  <c r="L119" i="1" s="1"/>
  <c r="J119" i="1" a="1"/>
  <c r="J119" i="1" s="1"/>
  <c r="I119" i="1" a="1"/>
  <c r="I119" i="1" s="1"/>
  <c r="F119" i="1" a="1"/>
  <c r="F119" i="1" s="1"/>
  <c r="E119" i="1" a="1"/>
  <c r="E119" i="1"/>
  <c r="L118" i="1" a="1"/>
  <c r="L118" i="1" s="1"/>
  <c r="J118" i="1" a="1"/>
  <c r="J118" i="1" s="1"/>
  <c r="K118" i="1" s="1" a="1"/>
  <c r="K118" i="1" s="1"/>
  <c r="N118" i="1" s="1" a="1"/>
  <c r="N118" i="1" s="1"/>
  <c r="I118" i="1" a="1"/>
  <c r="I118" i="1" s="1"/>
  <c r="F118" i="1" a="1"/>
  <c r="F118" i="1" s="1"/>
  <c r="E118" i="1" a="1"/>
  <c r="E118" i="1"/>
  <c r="L117" i="1" a="1"/>
  <c r="L117" i="1" s="1"/>
  <c r="J117" i="1" a="1"/>
  <c r="J117" i="1" s="1"/>
  <c r="I117" i="1" a="1"/>
  <c r="I117" i="1" s="1"/>
  <c r="F117" i="1" a="1"/>
  <c r="F117" i="1" s="1"/>
  <c r="E117" i="1" a="1"/>
  <c r="E117" i="1"/>
  <c r="L116" i="1" a="1"/>
  <c r="L116" i="1" s="1"/>
  <c r="J116" i="1" a="1"/>
  <c r="J116" i="1" s="1"/>
  <c r="K116" i="1" s="1" a="1"/>
  <c r="K116" i="1" s="1"/>
  <c r="N116" i="1" s="1" a="1"/>
  <c r="N116" i="1" s="1"/>
  <c r="I116" i="1" a="1"/>
  <c r="I116" i="1" s="1"/>
  <c r="F116" i="1" a="1"/>
  <c r="F116" i="1" s="1"/>
  <c r="E116" i="1" a="1"/>
  <c r="E116" i="1"/>
  <c r="L115" i="1" a="1"/>
  <c r="L115" i="1" s="1"/>
  <c r="J115" i="1" a="1"/>
  <c r="J115" i="1" s="1"/>
  <c r="I115" i="1" a="1"/>
  <c r="I115" i="1" s="1"/>
  <c r="F115" i="1" a="1"/>
  <c r="F115" i="1" s="1"/>
  <c r="E115" i="1" a="1"/>
  <c r="E115" i="1"/>
  <c r="L114" i="1" a="1"/>
  <c r="L114" i="1" s="1"/>
  <c r="J114" i="1" a="1"/>
  <c r="J114" i="1" s="1"/>
  <c r="K114" i="1" s="1" a="1"/>
  <c r="K114" i="1" s="1"/>
  <c r="N114" i="1" s="1" a="1"/>
  <c r="N114" i="1" s="1"/>
  <c r="I114" i="1" a="1"/>
  <c r="I114" i="1" s="1"/>
  <c r="F114" i="1" a="1"/>
  <c r="F114" i="1" s="1"/>
  <c r="E114" i="1" a="1"/>
  <c r="E114" i="1"/>
  <c r="L113" i="1" a="1"/>
  <c r="L113" i="1" s="1"/>
  <c r="J113" i="1" a="1"/>
  <c r="J113" i="1" s="1"/>
  <c r="I113" i="1" a="1"/>
  <c r="I113" i="1" s="1"/>
  <c r="F113" i="1" a="1"/>
  <c r="F113" i="1" s="1"/>
  <c r="E113" i="1" a="1"/>
  <c r="E113" i="1"/>
  <c r="L112" i="1" a="1"/>
  <c r="L112" i="1" s="1"/>
  <c r="J112" i="1" a="1"/>
  <c r="J112" i="1" s="1"/>
  <c r="K112" i="1" s="1" a="1"/>
  <c r="K112" i="1" s="1"/>
  <c r="N112" i="1" s="1" a="1"/>
  <c r="N112" i="1" s="1"/>
  <c r="I112" i="1" a="1"/>
  <c r="I112" i="1" s="1"/>
  <c r="F112" i="1" a="1"/>
  <c r="F112" i="1" s="1"/>
  <c r="E112" i="1" a="1"/>
  <c r="E112" i="1"/>
  <c r="L111" i="1" a="1"/>
  <c r="L111" i="1" s="1"/>
  <c r="J111" i="1" a="1"/>
  <c r="J111" i="1" s="1"/>
  <c r="I111" i="1" a="1"/>
  <c r="I111" i="1" s="1"/>
  <c r="F111" i="1" a="1"/>
  <c r="F111" i="1" s="1"/>
  <c r="E111" i="1" a="1"/>
  <c r="E111" i="1"/>
  <c r="L110" i="1" a="1"/>
  <c r="L110" i="1" s="1"/>
  <c r="J110" i="1" a="1"/>
  <c r="J110" i="1" s="1"/>
  <c r="K110" i="1" s="1" a="1"/>
  <c r="K110" i="1" s="1"/>
  <c r="N110" i="1" s="1" a="1"/>
  <c r="N110" i="1" s="1"/>
  <c r="I110" i="1" a="1"/>
  <c r="I110" i="1" s="1"/>
  <c r="F110" i="1" a="1"/>
  <c r="F110" i="1" s="1"/>
  <c r="E110" i="1" a="1"/>
  <c r="E110" i="1"/>
  <c r="L109" i="1" a="1"/>
  <c r="L109" i="1" s="1"/>
  <c r="J109" i="1" a="1"/>
  <c r="J109" i="1" s="1"/>
  <c r="I109" i="1" a="1"/>
  <c r="I109" i="1" s="1"/>
  <c r="F109" i="1" a="1"/>
  <c r="F109" i="1" s="1"/>
  <c r="E109" i="1" a="1"/>
  <c r="E109" i="1"/>
  <c r="L108" i="1" a="1"/>
  <c r="L108" i="1" s="1"/>
  <c r="J108" i="1" a="1"/>
  <c r="J108" i="1" s="1"/>
  <c r="K108" i="1" s="1" a="1"/>
  <c r="K108" i="1" s="1"/>
  <c r="N108" i="1" s="1" a="1"/>
  <c r="N108" i="1" s="1"/>
  <c r="I108" i="1" a="1"/>
  <c r="I108" i="1" s="1"/>
  <c r="F108" i="1" a="1"/>
  <c r="F108" i="1" s="1"/>
  <c r="E108" i="1" a="1"/>
  <c r="E108" i="1"/>
  <c r="L107" i="1" a="1"/>
  <c r="L107" i="1" s="1"/>
  <c r="J107" i="1" a="1"/>
  <c r="J107" i="1" s="1"/>
  <c r="I107" i="1" a="1"/>
  <c r="I107" i="1" s="1"/>
  <c r="F107" i="1" a="1"/>
  <c r="F107" i="1" s="1"/>
  <c r="E107" i="1" a="1"/>
  <c r="E107" i="1"/>
  <c r="L106" i="1" a="1"/>
  <c r="L106" i="1" s="1"/>
  <c r="J106" i="1" a="1"/>
  <c r="J106" i="1" s="1"/>
  <c r="K106" i="1" s="1" a="1"/>
  <c r="K106" i="1" s="1"/>
  <c r="N106" i="1" s="1" a="1"/>
  <c r="N106" i="1" s="1"/>
  <c r="I106" i="1" a="1"/>
  <c r="I106" i="1" s="1"/>
  <c r="F106" i="1" a="1"/>
  <c r="F106" i="1" s="1"/>
  <c r="E106" i="1" a="1"/>
  <c r="E106" i="1"/>
  <c r="L105" i="1" a="1"/>
  <c r="L105" i="1" s="1"/>
  <c r="J105" i="1" a="1"/>
  <c r="J105" i="1" s="1"/>
  <c r="I105" i="1" a="1"/>
  <c r="I105" i="1" s="1"/>
  <c r="F105" i="1" a="1"/>
  <c r="F105" i="1" s="1"/>
  <c r="E105" i="1" a="1"/>
  <c r="E105" i="1"/>
  <c r="L104" i="1" a="1"/>
  <c r="L104" i="1" s="1"/>
  <c r="J104" i="1" a="1"/>
  <c r="J104" i="1" s="1"/>
  <c r="K104" i="1" s="1" a="1"/>
  <c r="K104" i="1" s="1"/>
  <c r="N104" i="1" s="1" a="1"/>
  <c r="N104" i="1" s="1"/>
  <c r="I104" i="1" a="1"/>
  <c r="I104" i="1" s="1"/>
  <c r="F104" i="1" a="1"/>
  <c r="F104" i="1" s="1"/>
  <c r="E104" i="1" a="1"/>
  <c r="E104" i="1"/>
  <c r="L103" i="1" a="1"/>
  <c r="L103" i="1" s="1"/>
  <c r="J103" i="1" a="1"/>
  <c r="J103" i="1" s="1"/>
  <c r="I103" i="1" a="1"/>
  <c r="I103" i="1" s="1"/>
  <c r="F103" i="1" a="1"/>
  <c r="F103" i="1" s="1"/>
  <c r="E103" i="1" a="1"/>
  <c r="E103" i="1"/>
  <c r="L102" i="1" a="1"/>
  <c r="L102" i="1" s="1"/>
  <c r="J102" i="1" a="1"/>
  <c r="J102" i="1" s="1"/>
  <c r="K102" i="1" s="1" a="1"/>
  <c r="K102" i="1" s="1"/>
  <c r="N102" i="1" s="1" a="1"/>
  <c r="N102" i="1" s="1"/>
  <c r="I102" i="1" a="1"/>
  <c r="I102" i="1" s="1"/>
  <c r="F102" i="1" a="1"/>
  <c r="F102" i="1" s="1"/>
  <c r="E102" i="1" a="1"/>
  <c r="E102" i="1"/>
  <c r="L101" i="1" a="1"/>
  <c r="L101" i="1" s="1"/>
  <c r="J101" i="1" a="1"/>
  <c r="J101" i="1" s="1"/>
  <c r="I101" i="1" a="1"/>
  <c r="I101" i="1" s="1"/>
  <c r="F101" i="1" a="1"/>
  <c r="F101" i="1" s="1"/>
  <c r="E101" i="1" a="1"/>
  <c r="E101" i="1"/>
  <c r="L100" i="1" a="1"/>
  <c r="L100" i="1" s="1"/>
  <c r="J100" i="1" a="1"/>
  <c r="J100" i="1" s="1"/>
  <c r="K100" i="1" s="1" a="1"/>
  <c r="K100" i="1" s="1"/>
  <c r="N100" i="1" s="1" a="1"/>
  <c r="N100" i="1" s="1"/>
  <c r="I100" i="1" a="1"/>
  <c r="I100" i="1" s="1"/>
  <c r="F100" i="1" a="1"/>
  <c r="F100" i="1" s="1"/>
  <c r="E100" i="1" a="1"/>
  <c r="E100" i="1"/>
  <c r="L99" i="1" a="1"/>
  <c r="L99" i="1" s="1"/>
  <c r="J99" i="1" a="1"/>
  <c r="J99" i="1" s="1"/>
  <c r="I99" i="1" a="1"/>
  <c r="I99" i="1" s="1"/>
  <c r="F99" i="1" a="1"/>
  <c r="F99" i="1" s="1"/>
  <c r="E99" i="1" a="1"/>
  <c r="E99" i="1"/>
  <c r="L98" i="1" a="1"/>
  <c r="L98" i="1" s="1"/>
  <c r="J98" i="1" a="1"/>
  <c r="J98" i="1" s="1"/>
  <c r="K98" i="1" s="1" a="1"/>
  <c r="K98" i="1" s="1"/>
  <c r="N98" i="1" s="1" a="1"/>
  <c r="N98" i="1" s="1"/>
  <c r="I98" i="1" a="1"/>
  <c r="I98" i="1" s="1"/>
  <c r="F98" i="1" a="1"/>
  <c r="F98" i="1" s="1"/>
  <c r="E98" i="1" a="1"/>
  <c r="E98" i="1"/>
  <c r="L97" i="1" a="1"/>
  <c r="L97" i="1" s="1"/>
  <c r="J97" i="1" a="1"/>
  <c r="J97" i="1" s="1"/>
  <c r="I97" i="1" a="1"/>
  <c r="I97" i="1" s="1"/>
  <c r="F97" i="1" a="1"/>
  <c r="F97" i="1" s="1"/>
  <c r="E97" i="1" a="1"/>
  <c r="E97" i="1"/>
  <c r="L96" i="1" a="1"/>
  <c r="L96" i="1" s="1"/>
  <c r="J96" i="1" a="1"/>
  <c r="J96" i="1" s="1"/>
  <c r="K96" i="1" s="1" a="1"/>
  <c r="K96" i="1" s="1"/>
  <c r="N96" i="1" s="1" a="1"/>
  <c r="N96" i="1" s="1"/>
  <c r="I96" i="1" a="1"/>
  <c r="I96" i="1" s="1"/>
  <c r="F96" i="1" a="1"/>
  <c r="F96" i="1" s="1"/>
  <c r="E96" i="1" a="1"/>
  <c r="E96" i="1"/>
  <c r="L95" i="1" a="1"/>
  <c r="L95" i="1" s="1"/>
  <c r="J95" i="1" a="1"/>
  <c r="J95" i="1" s="1"/>
  <c r="I95" i="1" a="1"/>
  <c r="I95" i="1" s="1"/>
  <c r="F95" i="1" a="1"/>
  <c r="F95" i="1" s="1"/>
  <c r="E95" i="1" a="1"/>
  <c r="E95" i="1"/>
  <c r="L94" i="1" a="1"/>
  <c r="L94" i="1" s="1"/>
  <c r="J94" i="1" a="1"/>
  <c r="J94" i="1" s="1"/>
  <c r="K94" i="1" s="1" a="1"/>
  <c r="K94" i="1" s="1"/>
  <c r="N94" i="1" s="1" a="1"/>
  <c r="N94" i="1" s="1"/>
  <c r="I94" i="1" a="1"/>
  <c r="I94" i="1" s="1"/>
  <c r="F94" i="1" a="1"/>
  <c r="F94" i="1" s="1"/>
  <c r="E94" i="1" a="1"/>
  <c r="E94" i="1"/>
  <c r="L93" i="1" a="1"/>
  <c r="L93" i="1" s="1"/>
  <c r="J93" i="1" a="1"/>
  <c r="J93" i="1" s="1"/>
  <c r="I93" i="1" a="1"/>
  <c r="I93" i="1" s="1"/>
  <c r="F93" i="1" a="1"/>
  <c r="F93" i="1" s="1"/>
  <c r="E93" i="1" a="1"/>
  <c r="E93" i="1"/>
  <c r="L92" i="1" a="1"/>
  <c r="L92" i="1" s="1"/>
  <c r="J92" i="1" a="1"/>
  <c r="J92" i="1" s="1"/>
  <c r="K92" i="1" s="1" a="1"/>
  <c r="K92" i="1" s="1"/>
  <c r="N92" i="1" s="1" a="1"/>
  <c r="N92" i="1" s="1"/>
  <c r="I92" i="1" a="1"/>
  <c r="I92" i="1" s="1"/>
  <c r="F92" i="1" a="1"/>
  <c r="F92" i="1" s="1"/>
  <c r="E92" i="1" a="1"/>
  <c r="E92" i="1"/>
  <c r="L91" i="1" a="1"/>
  <c r="L91" i="1" s="1"/>
  <c r="J91" i="1" a="1"/>
  <c r="J91" i="1" s="1"/>
  <c r="I91" i="1" a="1"/>
  <c r="I91" i="1" s="1"/>
  <c r="F91" i="1" a="1"/>
  <c r="F91" i="1" s="1"/>
  <c r="E91" i="1" a="1"/>
  <c r="E91" i="1"/>
  <c r="L90" i="1" a="1"/>
  <c r="L90" i="1" s="1"/>
  <c r="J90" i="1" a="1"/>
  <c r="J90" i="1" s="1"/>
  <c r="K90" i="1" s="1" a="1"/>
  <c r="K90" i="1" s="1"/>
  <c r="N90" i="1" s="1" a="1"/>
  <c r="N90" i="1" s="1"/>
  <c r="I90" i="1" a="1"/>
  <c r="I90" i="1" s="1"/>
  <c r="F90" i="1" a="1"/>
  <c r="F90" i="1" s="1"/>
  <c r="E90" i="1" a="1"/>
  <c r="E90" i="1"/>
  <c r="L89" i="1" a="1"/>
  <c r="L89" i="1" s="1"/>
  <c r="J89" i="1" a="1"/>
  <c r="J89" i="1" s="1"/>
  <c r="I89" i="1" a="1"/>
  <c r="I89" i="1" s="1"/>
  <c r="F89" i="1" a="1"/>
  <c r="F89" i="1" s="1"/>
  <c r="E89" i="1" a="1"/>
  <c r="E89" i="1"/>
  <c r="L88" i="1" a="1"/>
  <c r="L88" i="1" s="1"/>
  <c r="J88" i="1" a="1"/>
  <c r="J88" i="1" s="1"/>
  <c r="K88" i="1" s="1" a="1"/>
  <c r="K88" i="1" s="1"/>
  <c r="N88" i="1" s="1" a="1"/>
  <c r="N88" i="1" s="1"/>
  <c r="I88" i="1" a="1"/>
  <c r="I88" i="1" s="1"/>
  <c r="F88" i="1" a="1"/>
  <c r="F88" i="1" s="1"/>
  <c r="E88" i="1" a="1"/>
  <c r="E88" i="1"/>
  <c r="L87" i="1" a="1"/>
  <c r="L87" i="1" s="1"/>
  <c r="J87" i="1" a="1"/>
  <c r="J87" i="1" s="1"/>
  <c r="I87" i="1" a="1"/>
  <c r="I87" i="1" s="1"/>
  <c r="F87" i="1" a="1"/>
  <c r="F87" i="1" s="1"/>
  <c r="E87" i="1" a="1"/>
  <c r="E87" i="1"/>
  <c r="L86" i="1" a="1"/>
  <c r="L86" i="1" s="1"/>
  <c r="J86" i="1" a="1"/>
  <c r="J86" i="1" s="1"/>
  <c r="K86" i="1" s="1" a="1"/>
  <c r="K86" i="1" s="1"/>
  <c r="N86" i="1" s="1" a="1"/>
  <c r="N86" i="1" s="1"/>
  <c r="I86" i="1" a="1"/>
  <c r="I86" i="1" s="1"/>
  <c r="F86" i="1" a="1"/>
  <c r="F86" i="1" s="1"/>
  <c r="E86" i="1" a="1"/>
  <c r="E86" i="1"/>
  <c r="L85" i="1" a="1"/>
  <c r="L85" i="1" s="1"/>
  <c r="J85" i="1" a="1"/>
  <c r="J85" i="1" s="1"/>
  <c r="I85" i="1" a="1"/>
  <c r="I85" i="1" s="1"/>
  <c r="F85" i="1" a="1"/>
  <c r="F85" i="1" s="1"/>
  <c r="E85" i="1" a="1"/>
  <c r="E85" i="1"/>
  <c r="L84" i="1" a="1"/>
  <c r="L84" i="1" s="1"/>
  <c r="J84" i="1" a="1"/>
  <c r="J84" i="1" s="1"/>
  <c r="K84" i="1" s="1" a="1"/>
  <c r="K84" i="1" s="1"/>
  <c r="N84" i="1" s="1" a="1"/>
  <c r="N84" i="1" s="1"/>
  <c r="I84" i="1" a="1"/>
  <c r="I84" i="1" s="1"/>
  <c r="F84" i="1" a="1"/>
  <c r="F84" i="1" s="1"/>
  <c r="E84" i="1" a="1"/>
  <c r="E84" i="1"/>
  <c r="L83" i="1" a="1"/>
  <c r="L83" i="1" s="1"/>
  <c r="J83" i="1" a="1"/>
  <c r="J83" i="1" s="1"/>
  <c r="I83" i="1" a="1"/>
  <c r="I83" i="1" s="1"/>
  <c r="F83" i="1" a="1"/>
  <c r="F83" i="1" s="1"/>
  <c r="E83" i="1" a="1"/>
  <c r="E83" i="1"/>
  <c r="L82" i="1" a="1"/>
  <c r="L82" i="1" s="1"/>
  <c r="J82" i="1" a="1"/>
  <c r="J82" i="1" s="1"/>
  <c r="K82" i="1" s="1" a="1"/>
  <c r="K82" i="1" s="1"/>
  <c r="N82" i="1" s="1" a="1"/>
  <c r="N82" i="1" s="1"/>
  <c r="I82" i="1" a="1"/>
  <c r="I82" i="1" s="1"/>
  <c r="F82" i="1" a="1"/>
  <c r="F82" i="1" s="1"/>
  <c r="E82" i="1" a="1"/>
  <c r="E82" i="1"/>
  <c r="L81" i="1" a="1"/>
  <c r="L81" i="1" s="1"/>
  <c r="J81" i="1" a="1"/>
  <c r="J81" i="1" s="1"/>
  <c r="I81" i="1" a="1"/>
  <c r="I81" i="1" s="1"/>
  <c r="F81" i="1" a="1"/>
  <c r="F81" i="1" s="1"/>
  <c r="E81" i="1" a="1"/>
  <c r="E81" i="1"/>
  <c r="L80" i="1" a="1"/>
  <c r="L80" i="1" s="1"/>
  <c r="J80" i="1" a="1"/>
  <c r="J80" i="1" s="1"/>
  <c r="K80" i="1" s="1" a="1"/>
  <c r="K80" i="1" s="1"/>
  <c r="N80" i="1" s="1" a="1"/>
  <c r="N80" i="1" s="1"/>
  <c r="I80" i="1" a="1"/>
  <c r="I80" i="1" s="1"/>
  <c r="F80" i="1" a="1"/>
  <c r="F80" i="1" s="1"/>
  <c r="E80" i="1" a="1"/>
  <c r="E80" i="1"/>
  <c r="O79" i="1" a="1"/>
  <c r="O79" i="1" s="1"/>
  <c r="L79" i="1" a="1"/>
  <c r="L79" i="1" s="1"/>
  <c r="K79" i="1" a="1"/>
  <c r="K79" i="1"/>
  <c r="N79" i="1" s="1" a="1"/>
  <c r="N79" i="1" s="1"/>
  <c r="J79" i="1" a="1"/>
  <c r="J79" i="1" s="1"/>
  <c r="I79" i="1" a="1"/>
  <c r="I79" i="1" s="1"/>
  <c r="F79" i="1" a="1"/>
  <c r="F79" i="1" s="1"/>
  <c r="E79" i="1" a="1"/>
  <c r="E79" i="1"/>
  <c r="L78" i="1" a="1"/>
  <c r="L78" i="1" s="1"/>
  <c r="J78" i="1" a="1"/>
  <c r="J78" i="1" s="1"/>
  <c r="I78" i="1" a="1"/>
  <c r="I78" i="1" s="1"/>
  <c r="F78" i="1" a="1"/>
  <c r="F78" i="1" s="1"/>
  <c r="E78" i="1" a="1"/>
  <c r="E78" i="1"/>
  <c r="L77" i="1" a="1"/>
  <c r="L77" i="1" s="1"/>
  <c r="J77" i="1" a="1"/>
  <c r="J77" i="1" s="1"/>
  <c r="I77" i="1" a="1"/>
  <c r="I77" i="1" s="1"/>
  <c r="F77" i="1" a="1"/>
  <c r="F77" i="1" s="1"/>
  <c r="E77" i="1" a="1"/>
  <c r="E77" i="1"/>
  <c r="L76" i="1" a="1"/>
  <c r="L76" i="1" s="1"/>
  <c r="J76" i="1" a="1"/>
  <c r="J76" i="1" s="1"/>
  <c r="I76" i="1" a="1"/>
  <c r="I76" i="1" s="1"/>
  <c r="F76" i="1" a="1"/>
  <c r="F76" i="1" s="1"/>
  <c r="E76" i="1" a="1"/>
  <c r="E76" i="1"/>
  <c r="L75" i="1" a="1"/>
  <c r="L75" i="1" s="1"/>
  <c r="J75" i="1" a="1"/>
  <c r="J75" i="1" s="1"/>
  <c r="I75" i="1" a="1"/>
  <c r="I75" i="1" s="1"/>
  <c r="F75" i="1" a="1"/>
  <c r="F75" i="1" s="1"/>
  <c r="E75" i="1" a="1"/>
  <c r="E75" i="1"/>
  <c r="L74" i="1" a="1"/>
  <c r="L74" i="1" s="1"/>
  <c r="J74" i="1" a="1"/>
  <c r="J74" i="1" s="1"/>
  <c r="I74" i="1" a="1"/>
  <c r="I74" i="1" s="1"/>
  <c r="F74" i="1" a="1"/>
  <c r="F74" i="1" s="1"/>
  <c r="E74" i="1" a="1"/>
  <c r="E74" i="1"/>
  <c r="L73" i="1" a="1"/>
  <c r="L73" i="1" s="1"/>
  <c r="J73" i="1" a="1"/>
  <c r="J73" i="1" s="1"/>
  <c r="I73" i="1" a="1"/>
  <c r="I73" i="1" s="1"/>
  <c r="F73" i="1" a="1"/>
  <c r="F73" i="1" s="1"/>
  <c r="E73" i="1" a="1"/>
  <c r="E73" i="1"/>
  <c r="L72" i="1" a="1"/>
  <c r="L72" i="1" s="1"/>
  <c r="J72" i="1" a="1"/>
  <c r="J72" i="1" s="1"/>
  <c r="I72" i="1" a="1"/>
  <c r="I72" i="1" s="1"/>
  <c r="F72" i="1" a="1"/>
  <c r="F72" i="1" s="1"/>
  <c r="E72" i="1" a="1"/>
  <c r="E72" i="1"/>
  <c r="L71" i="1" a="1"/>
  <c r="L71" i="1" s="1"/>
  <c r="J71" i="1" a="1"/>
  <c r="J71" i="1" s="1"/>
  <c r="I71" i="1" a="1"/>
  <c r="I71" i="1" s="1"/>
  <c r="F71" i="1" a="1"/>
  <c r="F71" i="1" s="1"/>
  <c r="E71" i="1" a="1"/>
  <c r="E71" i="1"/>
  <c r="L70" i="1" a="1"/>
  <c r="L70" i="1" s="1"/>
  <c r="J70" i="1" a="1"/>
  <c r="J70" i="1" s="1"/>
  <c r="I70" i="1" a="1"/>
  <c r="I70" i="1" s="1"/>
  <c r="F70" i="1" a="1"/>
  <c r="F70" i="1" s="1"/>
  <c r="E70" i="1" a="1"/>
  <c r="E70" i="1"/>
  <c r="L69" i="1" a="1"/>
  <c r="L69" i="1" s="1"/>
  <c r="J69" i="1" a="1"/>
  <c r="J69" i="1" s="1"/>
  <c r="I69" i="1" a="1"/>
  <c r="I69" i="1" s="1"/>
  <c r="F69" i="1" a="1"/>
  <c r="F69" i="1" s="1"/>
  <c r="E69" i="1" a="1"/>
  <c r="E69" i="1"/>
  <c r="L68" i="1" a="1"/>
  <c r="L68" i="1" s="1"/>
  <c r="J68" i="1" a="1"/>
  <c r="J68" i="1" s="1"/>
  <c r="I68" i="1" a="1"/>
  <c r="I68" i="1" s="1"/>
  <c r="F68" i="1" a="1"/>
  <c r="F68" i="1" s="1"/>
  <c r="E68" i="1" a="1"/>
  <c r="E68" i="1"/>
  <c r="L67" i="1" a="1"/>
  <c r="L67" i="1" s="1"/>
  <c r="J67" i="1" a="1"/>
  <c r="J67" i="1" s="1"/>
  <c r="I67" i="1" a="1"/>
  <c r="I67" i="1" s="1"/>
  <c r="F67" i="1" a="1"/>
  <c r="F67" i="1" s="1"/>
  <c r="E67" i="1" a="1"/>
  <c r="E67" i="1"/>
  <c r="L66" i="1" a="1"/>
  <c r="L66" i="1" s="1"/>
  <c r="J66" i="1" a="1"/>
  <c r="J66" i="1" s="1"/>
  <c r="I66" i="1" a="1"/>
  <c r="I66" i="1" s="1"/>
  <c r="F66" i="1" a="1"/>
  <c r="F66" i="1" s="1"/>
  <c r="E66" i="1" a="1"/>
  <c r="E66" i="1"/>
  <c r="L65" i="1" a="1"/>
  <c r="L65" i="1" s="1"/>
  <c r="J65" i="1" a="1"/>
  <c r="J65" i="1" s="1"/>
  <c r="I65" i="1" a="1"/>
  <c r="I65" i="1" s="1"/>
  <c r="F65" i="1" a="1"/>
  <c r="F65" i="1" s="1"/>
  <c r="E65" i="1" a="1"/>
  <c r="E65" i="1"/>
  <c r="L64" i="1" a="1"/>
  <c r="L64" i="1" s="1"/>
  <c r="J64" i="1" a="1"/>
  <c r="J64" i="1" s="1"/>
  <c r="I64" i="1" a="1"/>
  <c r="I64" i="1" s="1"/>
  <c r="F64" i="1" a="1"/>
  <c r="F64" i="1" s="1"/>
  <c r="E64" i="1" a="1"/>
  <c r="E64" i="1"/>
  <c r="L63" i="1" a="1"/>
  <c r="L63" i="1" s="1"/>
  <c r="J63" i="1" a="1"/>
  <c r="J63" i="1" s="1"/>
  <c r="I63" i="1" a="1"/>
  <c r="I63" i="1" s="1"/>
  <c r="F63" i="1" a="1"/>
  <c r="F63" i="1" s="1"/>
  <c r="E63" i="1" a="1"/>
  <c r="E63" i="1"/>
  <c r="L62" i="1" a="1"/>
  <c r="L62" i="1" s="1"/>
  <c r="J62" i="1" a="1"/>
  <c r="J62" i="1" s="1"/>
  <c r="I62" i="1" a="1"/>
  <c r="I62" i="1" s="1"/>
  <c r="F62" i="1" a="1"/>
  <c r="F62" i="1" s="1"/>
  <c r="E62" i="1" a="1"/>
  <c r="E62" i="1"/>
  <c r="L61" i="1" a="1"/>
  <c r="L61" i="1" s="1"/>
  <c r="J61" i="1" a="1"/>
  <c r="J61" i="1" s="1"/>
  <c r="I61" i="1" a="1"/>
  <c r="I61" i="1" s="1"/>
  <c r="F61" i="1" a="1"/>
  <c r="F61" i="1" s="1"/>
  <c r="E61" i="1" a="1"/>
  <c r="E61" i="1"/>
  <c r="L60" i="1" a="1"/>
  <c r="L60" i="1" s="1"/>
  <c r="J60" i="1" a="1"/>
  <c r="J60" i="1" s="1"/>
  <c r="I60" i="1" a="1"/>
  <c r="I60" i="1" s="1"/>
  <c r="F60" i="1" a="1"/>
  <c r="F60" i="1" s="1"/>
  <c r="E60" i="1" a="1"/>
  <c r="E60" i="1"/>
  <c r="L59" i="1" a="1"/>
  <c r="L59" i="1" s="1"/>
  <c r="J59" i="1" a="1"/>
  <c r="J59" i="1" s="1"/>
  <c r="I59" i="1" a="1"/>
  <c r="I59" i="1" s="1"/>
  <c r="F59" i="1" a="1"/>
  <c r="F59" i="1" s="1"/>
  <c r="E59" i="1" a="1"/>
  <c r="E59" i="1"/>
  <c r="L58" i="1" a="1"/>
  <c r="L58" i="1" s="1"/>
  <c r="J58" i="1" a="1"/>
  <c r="J58" i="1" s="1"/>
  <c r="I58" i="1" a="1"/>
  <c r="I58" i="1" s="1"/>
  <c r="F58" i="1" a="1"/>
  <c r="F58" i="1" s="1"/>
  <c r="E58" i="1" a="1"/>
  <c r="E58" i="1"/>
  <c r="L57" i="1" a="1"/>
  <c r="L57" i="1" s="1"/>
  <c r="J57" i="1" a="1"/>
  <c r="J57" i="1" s="1"/>
  <c r="I57" i="1" a="1"/>
  <c r="I57" i="1" s="1"/>
  <c r="F57" i="1" a="1"/>
  <c r="F57" i="1" s="1"/>
  <c r="E57" i="1" a="1"/>
  <c r="E57" i="1"/>
  <c r="L56" i="1" a="1"/>
  <c r="L56" i="1" s="1"/>
  <c r="J56" i="1" a="1"/>
  <c r="J56" i="1" s="1"/>
  <c r="I56" i="1" a="1"/>
  <c r="I56" i="1" s="1"/>
  <c r="F56" i="1" a="1"/>
  <c r="F56" i="1" s="1"/>
  <c r="E56" i="1" a="1"/>
  <c r="E56" i="1"/>
  <c r="L55" i="1" a="1"/>
  <c r="L55" i="1" s="1"/>
  <c r="J55" i="1" a="1"/>
  <c r="J55" i="1" s="1"/>
  <c r="I55" i="1" a="1"/>
  <c r="I55" i="1" s="1"/>
  <c r="F55" i="1" a="1"/>
  <c r="F55" i="1" s="1"/>
  <c r="E55" i="1" a="1"/>
  <c r="E55" i="1"/>
  <c r="L54" i="1" a="1"/>
  <c r="L54" i="1" s="1"/>
  <c r="J54" i="1" a="1"/>
  <c r="J54" i="1" s="1"/>
  <c r="I54" i="1" a="1"/>
  <c r="I54" i="1" s="1"/>
  <c r="F54" i="1" a="1"/>
  <c r="F54" i="1" s="1"/>
  <c r="E54" i="1" a="1"/>
  <c r="E54" i="1"/>
  <c r="L53" i="1" a="1"/>
  <c r="L53" i="1" s="1"/>
  <c r="J53" i="1" a="1"/>
  <c r="J53" i="1" s="1"/>
  <c r="I53" i="1" a="1"/>
  <c r="I53" i="1" s="1"/>
  <c r="F53" i="1" a="1"/>
  <c r="F53" i="1" s="1"/>
  <c r="E53" i="1" a="1"/>
  <c r="E53" i="1"/>
  <c r="L52" i="1" a="1"/>
  <c r="L52" i="1" s="1"/>
  <c r="J52" i="1" a="1"/>
  <c r="J52" i="1" s="1"/>
  <c r="I52" i="1" a="1"/>
  <c r="I52" i="1" s="1"/>
  <c r="F52" i="1" a="1"/>
  <c r="F52" i="1" s="1"/>
  <c r="E52" i="1" a="1"/>
  <c r="E52" i="1"/>
  <c r="L51" i="1" a="1"/>
  <c r="L51" i="1" s="1"/>
  <c r="J51" i="1" a="1"/>
  <c r="J51" i="1" s="1"/>
  <c r="I51" i="1" a="1"/>
  <c r="I51" i="1" s="1"/>
  <c r="F51" i="1" a="1"/>
  <c r="F51" i="1" s="1"/>
  <c r="E51" i="1" a="1"/>
  <c r="E51" i="1"/>
  <c r="L50" i="1" a="1"/>
  <c r="L50" i="1" s="1"/>
  <c r="J50" i="1" a="1"/>
  <c r="J50" i="1" s="1"/>
  <c r="I50" i="1" a="1"/>
  <c r="I50" i="1" s="1"/>
  <c r="F50" i="1" a="1"/>
  <c r="F50" i="1" s="1"/>
  <c r="E50" i="1" a="1"/>
  <c r="E50" i="1"/>
  <c r="L49" i="1" a="1"/>
  <c r="L49" i="1" s="1"/>
  <c r="J49" i="1" a="1"/>
  <c r="J49" i="1" s="1"/>
  <c r="I49" i="1" a="1"/>
  <c r="I49" i="1" s="1"/>
  <c r="F49" i="1" a="1"/>
  <c r="F49" i="1" s="1"/>
  <c r="E49" i="1" a="1"/>
  <c r="E49" i="1"/>
  <c r="L48" i="1" a="1"/>
  <c r="L48" i="1" s="1"/>
  <c r="J48" i="1" a="1"/>
  <c r="J48" i="1" s="1"/>
  <c r="I48" i="1" a="1"/>
  <c r="I48" i="1" s="1"/>
  <c r="F48" i="1" a="1"/>
  <c r="F48" i="1" s="1"/>
  <c r="E48" i="1" a="1"/>
  <c r="E48" i="1"/>
  <c r="L47" i="1" a="1"/>
  <c r="L47" i="1" s="1"/>
  <c r="J47" i="1" a="1"/>
  <c r="J47" i="1" s="1"/>
  <c r="I47" i="1" a="1"/>
  <c r="I47" i="1" s="1"/>
  <c r="F47" i="1" a="1"/>
  <c r="F47" i="1" s="1"/>
  <c r="E47" i="1" a="1"/>
  <c r="E47" i="1"/>
  <c r="L46" i="1" a="1"/>
  <c r="L46" i="1" s="1"/>
  <c r="J46" i="1" a="1"/>
  <c r="J46" i="1" s="1"/>
  <c r="I46" i="1" a="1"/>
  <c r="I46" i="1" s="1"/>
  <c r="F46" i="1" a="1"/>
  <c r="F46" i="1" s="1"/>
  <c r="E46" i="1" a="1"/>
  <c r="E46" i="1"/>
  <c r="L45" i="1" a="1"/>
  <c r="L45" i="1" s="1"/>
  <c r="J45" i="1" a="1"/>
  <c r="J45" i="1" s="1"/>
  <c r="I45" i="1" a="1"/>
  <c r="I45" i="1" s="1"/>
  <c r="F45" i="1" a="1"/>
  <c r="F45" i="1" s="1"/>
  <c r="E45" i="1" a="1"/>
  <c r="E45" i="1"/>
  <c r="L44" i="1" a="1"/>
  <c r="L44" i="1" s="1"/>
  <c r="J44" i="1" a="1"/>
  <c r="J44" i="1" s="1"/>
  <c r="I44" i="1" a="1"/>
  <c r="I44" i="1" s="1"/>
  <c r="F44" i="1" a="1"/>
  <c r="F44" i="1" s="1"/>
  <c r="E44" i="1" a="1"/>
  <c r="E44" i="1"/>
  <c r="L43" i="1" a="1"/>
  <c r="L43" i="1" s="1"/>
  <c r="J43" i="1" a="1"/>
  <c r="J43" i="1" s="1"/>
  <c r="I43" i="1" a="1"/>
  <c r="I43" i="1" s="1"/>
  <c r="F43" i="1" a="1"/>
  <c r="F43" i="1" s="1"/>
  <c r="E43" i="1" a="1"/>
  <c r="E43" i="1"/>
  <c r="L42" i="1" a="1"/>
  <c r="L42" i="1" s="1"/>
  <c r="J42" i="1" a="1"/>
  <c r="J42" i="1" s="1"/>
  <c r="I42" i="1" a="1"/>
  <c r="I42" i="1" s="1"/>
  <c r="F42" i="1" a="1"/>
  <c r="F42" i="1" s="1"/>
  <c r="E42" i="1" a="1"/>
  <c r="E42" i="1"/>
  <c r="L41" i="1" a="1"/>
  <c r="L41" i="1" s="1"/>
  <c r="J41" i="1" a="1"/>
  <c r="J41" i="1" s="1"/>
  <c r="K41" i="1" s="1" a="1"/>
  <c r="K41" i="1" s="1"/>
  <c r="N41" i="1" s="1" a="1"/>
  <c r="N41" i="1" s="1"/>
  <c r="I41" i="1" a="1"/>
  <c r="I41" i="1" s="1"/>
  <c r="F41" i="1" a="1"/>
  <c r="F41" i="1" s="1"/>
  <c r="E41" i="1" a="1"/>
  <c r="E41" i="1"/>
  <c r="L40" i="1" a="1"/>
  <c r="L40" i="1" s="1"/>
  <c r="J40" i="1" a="1"/>
  <c r="J40" i="1" s="1"/>
  <c r="I40" i="1" a="1"/>
  <c r="I40" i="1" s="1"/>
  <c r="F40" i="1" a="1"/>
  <c r="F40" i="1" s="1"/>
  <c r="E40" i="1" a="1"/>
  <c r="E40" i="1"/>
  <c r="L39" i="1" a="1"/>
  <c r="L39" i="1" s="1"/>
  <c r="J39" i="1" a="1"/>
  <c r="J39" i="1" s="1"/>
  <c r="I39" i="1" a="1"/>
  <c r="I39" i="1" s="1"/>
  <c r="F39" i="1" a="1"/>
  <c r="F39" i="1" s="1"/>
  <c r="E39" i="1" a="1"/>
  <c r="E39" i="1"/>
  <c r="L38" i="1" a="1"/>
  <c r="L38" i="1" s="1"/>
  <c r="J38" i="1" a="1"/>
  <c r="J38" i="1" s="1"/>
  <c r="I38" i="1" a="1"/>
  <c r="I38" i="1" s="1"/>
  <c r="F38" i="1" a="1"/>
  <c r="F38" i="1" s="1"/>
  <c r="E38" i="1" a="1"/>
  <c r="E38" i="1"/>
  <c r="L37" i="1" a="1"/>
  <c r="L37" i="1" s="1"/>
  <c r="J37" i="1" a="1"/>
  <c r="J37" i="1" s="1"/>
  <c r="K37" i="1" s="1" a="1"/>
  <c r="K37" i="1" s="1"/>
  <c r="N37" i="1" s="1" a="1"/>
  <c r="N37" i="1" s="1"/>
  <c r="I37" i="1" a="1"/>
  <c r="I37" i="1" s="1"/>
  <c r="F37" i="1" a="1"/>
  <c r="F37" i="1" s="1"/>
  <c r="E37" i="1" a="1"/>
  <c r="E37" i="1"/>
  <c r="L36" i="1" a="1"/>
  <c r="L36" i="1" s="1"/>
  <c r="J36" i="1" a="1"/>
  <c r="J36" i="1" s="1"/>
  <c r="I36" i="1" a="1"/>
  <c r="I36" i="1" s="1"/>
  <c r="F36" i="1" a="1"/>
  <c r="F36" i="1" s="1"/>
  <c r="E36" i="1" a="1"/>
  <c r="E36" i="1"/>
  <c r="L35" i="1" a="1"/>
  <c r="L35" i="1" s="1"/>
  <c r="J35" i="1" a="1"/>
  <c r="J35" i="1" s="1"/>
  <c r="I35" i="1" a="1"/>
  <c r="I35" i="1" s="1"/>
  <c r="F35" i="1" a="1"/>
  <c r="F35" i="1" s="1"/>
  <c r="E35" i="1" a="1"/>
  <c r="E35" i="1"/>
  <c r="L34" i="1" a="1"/>
  <c r="L34" i="1" s="1"/>
  <c r="J34" i="1" a="1"/>
  <c r="J34" i="1" s="1"/>
  <c r="I34" i="1" a="1"/>
  <c r="I34" i="1" s="1"/>
  <c r="F34" i="1" a="1"/>
  <c r="F34" i="1" s="1"/>
  <c r="E34" i="1" a="1"/>
  <c r="E34" i="1"/>
  <c r="L33" i="1" a="1"/>
  <c r="L33" i="1" s="1"/>
  <c r="J33" i="1" a="1"/>
  <c r="J33" i="1" s="1"/>
  <c r="K33" i="1" s="1" a="1"/>
  <c r="K33" i="1" s="1"/>
  <c r="N33" i="1" s="1" a="1"/>
  <c r="N33" i="1" s="1"/>
  <c r="I33" i="1" a="1"/>
  <c r="I33" i="1" s="1"/>
  <c r="F33" i="1" a="1"/>
  <c r="F33" i="1" s="1"/>
  <c r="E33" i="1" a="1"/>
  <c r="E33" i="1"/>
  <c r="L32" i="1" a="1"/>
  <c r="L32" i="1" s="1"/>
  <c r="J32" i="1" a="1"/>
  <c r="J32" i="1" s="1"/>
  <c r="I32" i="1" a="1"/>
  <c r="I32" i="1" s="1"/>
  <c r="F32" i="1" a="1"/>
  <c r="F32" i="1" s="1"/>
  <c r="E32" i="1" a="1"/>
  <c r="E32" i="1"/>
  <c r="L31" i="1" a="1"/>
  <c r="L31" i="1" s="1"/>
  <c r="J31" i="1" a="1"/>
  <c r="J31" i="1" s="1"/>
  <c r="I31" i="1" a="1"/>
  <c r="I31" i="1" s="1"/>
  <c r="F31" i="1" a="1"/>
  <c r="F31" i="1" s="1"/>
  <c r="E31" i="1" a="1"/>
  <c r="E31" i="1"/>
  <c r="L30" i="1" a="1"/>
  <c r="L30" i="1" s="1"/>
  <c r="J30" i="1" a="1"/>
  <c r="J30" i="1" s="1"/>
  <c r="I30" i="1" a="1"/>
  <c r="I30" i="1" s="1"/>
  <c r="F30" i="1" a="1"/>
  <c r="F30" i="1" s="1"/>
  <c r="E30" i="1" a="1"/>
  <c r="E30" i="1"/>
  <c r="L29" i="1" a="1"/>
  <c r="L29" i="1" s="1"/>
  <c r="J29" i="1" a="1"/>
  <c r="J29" i="1" s="1"/>
  <c r="K29" i="1" s="1" a="1"/>
  <c r="K29" i="1" s="1"/>
  <c r="N29" i="1" s="1" a="1"/>
  <c r="N29" i="1" s="1"/>
  <c r="I29" i="1" a="1"/>
  <c r="I29" i="1" s="1"/>
  <c r="F29" i="1" a="1"/>
  <c r="F29" i="1" s="1"/>
  <c r="E29" i="1" a="1"/>
  <c r="E29" i="1"/>
  <c r="L28" i="1" a="1"/>
  <c r="L28" i="1" s="1"/>
  <c r="J28" i="1" a="1"/>
  <c r="J28" i="1" s="1"/>
  <c r="I28" i="1" a="1"/>
  <c r="I28" i="1" s="1"/>
  <c r="F28" i="1" a="1"/>
  <c r="F28" i="1" s="1"/>
  <c r="E28" i="1" a="1"/>
  <c r="E28" i="1"/>
  <c r="L27" i="1" a="1"/>
  <c r="L27" i="1" s="1"/>
  <c r="J27" i="1" a="1"/>
  <c r="J27" i="1" s="1"/>
  <c r="I27" i="1" a="1"/>
  <c r="I27" i="1" s="1"/>
  <c r="F27" i="1" a="1"/>
  <c r="F27" i="1" s="1"/>
  <c r="E27" i="1" a="1"/>
  <c r="E27" i="1"/>
  <c r="L26" i="1" a="1"/>
  <c r="L26" i="1" s="1"/>
  <c r="J26" i="1" a="1"/>
  <c r="J26" i="1" s="1"/>
  <c r="I26" i="1" a="1"/>
  <c r="I26" i="1" s="1"/>
  <c r="F26" i="1" a="1"/>
  <c r="F26" i="1" s="1"/>
  <c r="E26" i="1" a="1"/>
  <c r="E26" i="1"/>
  <c r="L25" i="1" a="1"/>
  <c r="L25" i="1" s="1"/>
  <c r="J25" i="1" a="1"/>
  <c r="J25" i="1" s="1"/>
  <c r="K25" i="1" s="1" a="1"/>
  <c r="K25" i="1" s="1"/>
  <c r="N25" i="1" s="1" a="1"/>
  <c r="N25" i="1" s="1"/>
  <c r="I25" i="1" a="1"/>
  <c r="I25" i="1" s="1"/>
  <c r="F25" i="1" a="1"/>
  <c r="F25" i="1" s="1"/>
  <c r="E25" i="1" a="1"/>
  <c r="E25" i="1"/>
  <c r="L24" i="1" a="1"/>
  <c r="L24" i="1" s="1"/>
  <c r="J24" i="1" a="1"/>
  <c r="J24" i="1" s="1"/>
  <c r="I24" i="1" a="1"/>
  <c r="I24" i="1" s="1"/>
  <c r="F24" i="1" a="1"/>
  <c r="F24" i="1" s="1"/>
  <c r="E24" i="1" a="1"/>
  <c r="E24" i="1"/>
  <c r="L23" i="1" a="1"/>
  <c r="L23" i="1" s="1"/>
  <c r="J23" i="1" a="1"/>
  <c r="J23" i="1" s="1"/>
  <c r="I23" i="1" a="1"/>
  <c r="I23" i="1" s="1"/>
  <c r="F23" i="1" a="1"/>
  <c r="F23" i="1" s="1"/>
  <c r="E23" i="1" a="1"/>
  <c r="E23" i="1"/>
  <c r="L22" i="1" a="1"/>
  <c r="L22" i="1" s="1"/>
  <c r="J22" i="1" a="1"/>
  <c r="J22" i="1" s="1"/>
  <c r="I22" i="1" a="1"/>
  <c r="I22" i="1" s="1"/>
  <c r="F22" i="1" a="1"/>
  <c r="F22" i="1" s="1"/>
  <c r="E22" i="1" a="1"/>
  <c r="E22" i="1"/>
  <c r="L21" i="1" a="1"/>
  <c r="L21" i="1" s="1"/>
  <c r="J21" i="1" a="1"/>
  <c r="J21" i="1" s="1"/>
  <c r="K21" i="1" s="1" a="1"/>
  <c r="K21" i="1" s="1"/>
  <c r="N21" i="1" s="1" a="1"/>
  <c r="N21" i="1" s="1"/>
  <c r="I21" i="1" a="1"/>
  <c r="I21" i="1" s="1"/>
  <c r="F21" i="1" a="1"/>
  <c r="F21" i="1" s="1"/>
  <c r="E21" i="1" a="1"/>
  <c r="E21" i="1"/>
  <c r="L20" i="1" a="1"/>
  <c r="L20" i="1" s="1"/>
  <c r="J20" i="1" a="1"/>
  <c r="J20" i="1" s="1"/>
  <c r="I20" i="1" a="1"/>
  <c r="I20" i="1" s="1"/>
  <c r="F20" i="1" a="1"/>
  <c r="F20" i="1" s="1"/>
  <c r="E20" i="1" a="1"/>
  <c r="E20" i="1"/>
  <c r="L19" i="1" a="1"/>
  <c r="L19" i="1" s="1"/>
  <c r="J19" i="1" a="1"/>
  <c r="J19" i="1" s="1"/>
  <c r="I19" i="1" a="1"/>
  <c r="I19" i="1" s="1"/>
  <c r="F19" i="1" a="1"/>
  <c r="F19" i="1" s="1"/>
  <c r="E19" i="1" a="1"/>
  <c r="E19" i="1"/>
  <c r="L18" i="1" a="1"/>
  <c r="L18" i="1" s="1"/>
  <c r="J18" i="1" a="1"/>
  <c r="J18" i="1" s="1"/>
  <c r="I18" i="1" a="1"/>
  <c r="I18" i="1" s="1"/>
  <c r="F18" i="1" a="1"/>
  <c r="F18" i="1" s="1"/>
  <c r="E18" i="1" a="1"/>
  <c r="E18" i="1"/>
  <c r="L17" i="1" a="1"/>
  <c r="L17" i="1" s="1"/>
  <c r="J17" i="1" a="1"/>
  <c r="J17" i="1" s="1"/>
  <c r="K17" i="1" s="1" a="1"/>
  <c r="K17" i="1" s="1"/>
  <c r="N17" i="1" s="1" a="1"/>
  <c r="N17" i="1" s="1"/>
  <c r="I17" i="1" a="1"/>
  <c r="I17" i="1" s="1"/>
  <c r="F17" i="1" a="1"/>
  <c r="F17" i="1" s="1"/>
  <c r="E17" i="1" a="1"/>
  <c r="E17" i="1"/>
  <c r="L16" i="1" a="1"/>
  <c r="L16" i="1" s="1"/>
  <c r="J16" i="1" a="1"/>
  <c r="J16" i="1" s="1"/>
  <c r="I16" i="1" a="1"/>
  <c r="I16" i="1" s="1"/>
  <c r="F16" i="1" a="1"/>
  <c r="F16" i="1" s="1"/>
  <c r="E16" i="1" a="1"/>
  <c r="E16" i="1"/>
  <c r="L15" i="1" a="1"/>
  <c r="L15" i="1" s="1"/>
  <c r="J15" i="1" a="1"/>
  <c r="J15" i="1" s="1"/>
  <c r="I15" i="1" a="1"/>
  <c r="I15" i="1" s="1"/>
  <c r="F15" i="1" a="1"/>
  <c r="F15" i="1" s="1"/>
  <c r="E15" i="1" a="1"/>
  <c r="E15" i="1"/>
  <c r="L14" i="1" a="1"/>
  <c r="L14" i="1" s="1"/>
  <c r="J14" i="1" a="1"/>
  <c r="J14" i="1" s="1"/>
  <c r="I14" i="1" a="1"/>
  <c r="I14" i="1" s="1"/>
  <c r="F14" i="1" a="1"/>
  <c r="F14" i="1" s="1"/>
  <c r="E14" i="1" a="1"/>
  <c r="E14" i="1"/>
  <c r="L13" i="1" a="1"/>
  <c r="L13" i="1" s="1"/>
  <c r="J13" i="1" a="1"/>
  <c r="J13" i="1" s="1"/>
  <c r="K13" i="1" s="1" a="1"/>
  <c r="K13" i="1" s="1"/>
  <c r="N13" i="1" s="1" a="1"/>
  <c r="N13" i="1" s="1"/>
  <c r="I13" i="1" a="1"/>
  <c r="I13" i="1" s="1"/>
  <c r="F13" i="1" a="1"/>
  <c r="F13" i="1" s="1"/>
  <c r="E13" i="1" a="1"/>
  <c r="E13" i="1"/>
  <c r="L12" i="1" a="1"/>
  <c r="L12" i="1" s="1"/>
  <c r="J12" i="1" a="1"/>
  <c r="J12" i="1" s="1"/>
  <c r="I12" i="1" a="1"/>
  <c r="I12" i="1" s="1"/>
  <c r="F12" i="1" a="1"/>
  <c r="F12" i="1" s="1"/>
  <c r="E12" i="1" a="1"/>
  <c r="E12" i="1"/>
  <c r="L11" i="1" a="1"/>
  <c r="L11" i="1" s="1"/>
  <c r="J11" i="1" a="1"/>
  <c r="J11" i="1" s="1"/>
  <c r="I11" i="1" a="1"/>
  <c r="I11" i="1" s="1"/>
  <c r="F11" i="1" a="1"/>
  <c r="F11" i="1" s="1"/>
  <c r="E11" i="1" a="1"/>
  <c r="E11" i="1"/>
  <c r="L10" i="1" a="1"/>
  <c r="L10" i="1" s="1"/>
  <c r="J10" i="1" a="1"/>
  <c r="J10" i="1" s="1"/>
  <c r="I10" i="1" a="1"/>
  <c r="I10" i="1" s="1"/>
  <c r="F10" i="1" a="1"/>
  <c r="F10" i="1" s="1"/>
  <c r="E10" i="1" a="1"/>
  <c r="E10" i="1"/>
  <c r="L9" i="1" a="1"/>
  <c r="L9" i="1" s="1"/>
  <c r="J9" i="1" a="1"/>
  <c r="J9" i="1" s="1"/>
  <c r="K9" i="1" s="1" a="1"/>
  <c r="K9" i="1" s="1"/>
  <c r="N9" i="1" s="1" a="1"/>
  <c r="N9" i="1" s="1"/>
  <c r="I9" i="1" a="1"/>
  <c r="I9" i="1" s="1"/>
  <c r="F9" i="1" a="1"/>
  <c r="F9" i="1" s="1"/>
  <c r="E9" i="1" a="1"/>
  <c r="E9" i="1"/>
  <c r="L8" i="1" a="1"/>
  <c r="L8" i="1" s="1"/>
  <c r="J8" i="1" a="1"/>
  <c r="J8" i="1" s="1"/>
  <c r="I8" i="1" a="1"/>
  <c r="I8" i="1" s="1"/>
  <c r="F8" i="1" a="1"/>
  <c r="F8" i="1" s="1"/>
  <c r="E8" i="1" a="1"/>
  <c r="E8" i="1"/>
  <c r="L7" i="1" a="1"/>
  <c r="L7" i="1" s="1"/>
  <c r="J7" i="1" a="1"/>
  <c r="J7" i="1" s="1"/>
  <c r="I7" i="1" a="1"/>
  <c r="I7" i="1" s="1"/>
  <c r="F7" i="1" a="1"/>
  <c r="F7" i="1" s="1"/>
  <c r="E7" i="1" a="1"/>
  <c r="E7" i="1"/>
  <c r="L6" i="1" a="1"/>
  <c r="L6" i="1" s="1"/>
  <c r="J6" i="1" a="1"/>
  <c r="J6" i="1" s="1"/>
  <c r="I6" i="1" a="1"/>
  <c r="I6" i="1" s="1"/>
  <c r="F6" i="1" a="1"/>
  <c r="F6" i="1" s="1"/>
  <c r="E6" i="1" a="1"/>
  <c r="E6" i="1"/>
  <c r="L5" i="1" a="1"/>
  <c r="L5" i="1" s="1"/>
  <c r="J5" i="1" a="1"/>
  <c r="J5" i="1" s="1"/>
  <c r="K5" i="1" s="1" a="1"/>
  <c r="K5" i="1" s="1"/>
  <c r="N5" i="1" s="1" a="1"/>
  <c r="N5" i="1" s="1"/>
  <c r="I5" i="1" a="1"/>
  <c r="I5" i="1" s="1"/>
  <c r="F5" i="1" a="1"/>
  <c r="F5" i="1" s="1"/>
  <c r="E5" i="1" a="1"/>
  <c r="E5" i="1"/>
  <c r="L4" i="1" a="1"/>
  <c r="L4" i="1" s="1"/>
  <c r="J4" i="1" a="1"/>
  <c r="J4" i="1" s="1"/>
  <c r="I4" i="1" a="1"/>
  <c r="I4" i="1" s="1"/>
  <c r="F4" i="1" a="1"/>
  <c r="F4" i="1" s="1"/>
  <c r="E4" i="1" a="1"/>
  <c r="E4" i="1"/>
  <c r="N3" i="1" a="1"/>
  <c r="N3" i="1" s="1"/>
  <c r="N343" i="1" l="1" a="1"/>
  <c r="N343" i="1" s="1"/>
  <c r="O343" i="1" a="1"/>
  <c r="O343" i="1" s="1"/>
  <c r="O6" i="1" a="1"/>
  <c r="O6" i="1" s="1"/>
  <c r="O22" i="1" a="1"/>
  <c r="O22" i="1" s="1"/>
  <c r="O13" i="1" a="1"/>
  <c r="O13" i="1" s="1"/>
  <c r="K19" i="1" a="1"/>
  <c r="K19" i="1" s="1"/>
  <c r="N19" i="1" s="1" a="1"/>
  <c r="N19" i="1" s="1"/>
  <c r="O37" i="1" a="1"/>
  <c r="O37" i="1" s="1"/>
  <c r="O68" i="1" a="1"/>
  <c r="O68" i="1" s="1"/>
  <c r="K81" i="1" a="1"/>
  <c r="K81" i="1" s="1"/>
  <c r="N81" i="1" s="1" a="1"/>
  <c r="N81" i="1" s="1"/>
  <c r="K85" i="1" a="1"/>
  <c r="K85" i="1" s="1"/>
  <c r="N85" i="1" s="1" a="1"/>
  <c r="N85" i="1" s="1"/>
  <c r="K89" i="1" a="1"/>
  <c r="K89" i="1" s="1"/>
  <c r="N89" i="1" s="1" a="1"/>
  <c r="N89" i="1" s="1"/>
  <c r="K93" i="1" a="1"/>
  <c r="K93" i="1" s="1"/>
  <c r="N93" i="1" s="1" a="1"/>
  <c r="N93" i="1" s="1"/>
  <c r="K97" i="1" a="1"/>
  <c r="K97" i="1" s="1"/>
  <c r="N97" i="1" s="1" a="1"/>
  <c r="N97" i="1" s="1"/>
  <c r="K101" i="1" a="1"/>
  <c r="K101" i="1" s="1"/>
  <c r="N101" i="1" s="1" a="1"/>
  <c r="N101" i="1" s="1"/>
  <c r="K105" i="1" a="1"/>
  <c r="K105" i="1" s="1"/>
  <c r="N105" i="1" s="1" a="1"/>
  <c r="N105" i="1" s="1"/>
  <c r="K109" i="1" a="1"/>
  <c r="K109" i="1" s="1"/>
  <c r="N109" i="1" s="1" a="1"/>
  <c r="N109" i="1" s="1"/>
  <c r="K113" i="1" a="1"/>
  <c r="K113" i="1" s="1"/>
  <c r="N113" i="1" s="1" a="1"/>
  <c r="N113" i="1" s="1"/>
  <c r="K117" i="1" a="1"/>
  <c r="K117" i="1" s="1"/>
  <c r="N117" i="1" s="1" a="1"/>
  <c r="N117" i="1" s="1"/>
  <c r="K121" i="1" a="1"/>
  <c r="K121" i="1" s="1"/>
  <c r="N121" i="1" s="1" a="1"/>
  <c r="N121" i="1" s="1"/>
  <c r="K125" i="1" a="1"/>
  <c r="K125" i="1" s="1"/>
  <c r="N125" i="1" s="1" a="1"/>
  <c r="N125" i="1" s="1"/>
  <c r="K129" i="1" a="1"/>
  <c r="K129" i="1" s="1"/>
  <c r="N129" i="1" s="1" a="1"/>
  <c r="N129" i="1" s="1"/>
  <c r="K133" i="1" a="1"/>
  <c r="K133" i="1" s="1"/>
  <c r="N133" i="1" s="1" a="1"/>
  <c r="N133" i="1" s="1"/>
  <c r="K137" i="1" a="1"/>
  <c r="K137" i="1" s="1"/>
  <c r="N137" i="1" s="1" a="1"/>
  <c r="N137" i="1" s="1"/>
  <c r="K141" i="1" a="1"/>
  <c r="K141" i="1" s="1"/>
  <c r="N141" i="1" s="1" a="1"/>
  <c r="N141" i="1" s="1"/>
  <c r="K145" i="1" a="1"/>
  <c r="K145" i="1" s="1"/>
  <c r="N145" i="1" s="1" a="1"/>
  <c r="N145" i="1" s="1"/>
  <c r="K149" i="1" a="1"/>
  <c r="K149" i="1" s="1"/>
  <c r="N149" i="1" s="1" a="1"/>
  <c r="N149" i="1" s="1"/>
  <c r="K153" i="1" a="1"/>
  <c r="K153" i="1" s="1"/>
  <c r="N153" i="1" s="1" a="1"/>
  <c r="N153" i="1" s="1"/>
  <c r="K157" i="1" a="1"/>
  <c r="K157" i="1" s="1"/>
  <c r="N157" i="1" s="1" a="1"/>
  <c r="N157" i="1" s="1"/>
  <c r="K161" i="1" a="1"/>
  <c r="K161" i="1" s="1"/>
  <c r="N161" i="1" s="1" a="1"/>
  <c r="N161" i="1" s="1"/>
  <c r="O174" i="1" a="1"/>
  <c r="O174" i="1" s="1"/>
  <c r="O178" i="1" a="1"/>
  <c r="O178" i="1" s="1"/>
  <c r="N181" i="1" a="1"/>
  <c r="N181" i="1" s="1"/>
  <c r="O181" i="1" a="1"/>
  <c r="O181" i="1" s="1"/>
  <c r="O188" i="1" a="1"/>
  <c r="O188" i="1" s="1"/>
  <c r="O194" i="1" a="1"/>
  <c r="O194" i="1" s="1"/>
  <c r="O197" i="1" a="1"/>
  <c r="O197" i="1" s="1"/>
  <c r="N197" i="1" a="1"/>
  <c r="N197" i="1" s="1"/>
  <c r="O204" i="1" a="1"/>
  <c r="O204" i="1" s="1"/>
  <c r="O210" i="1" a="1"/>
  <c r="O210" i="1" s="1"/>
  <c r="O213" i="1" a="1"/>
  <c r="O213" i="1" s="1"/>
  <c r="N213" i="1" a="1"/>
  <c r="N213" i="1" s="1"/>
  <c r="O220" i="1" a="1"/>
  <c r="O220" i="1" s="1"/>
  <c r="O226" i="1" a="1"/>
  <c r="O226" i="1" s="1"/>
  <c r="O229" i="1" a="1"/>
  <c r="O229" i="1" s="1"/>
  <c r="N229" i="1" a="1"/>
  <c r="N229" i="1" s="1"/>
  <c r="O236" i="1" a="1"/>
  <c r="O236" i="1" s="1"/>
  <c r="O242" i="1" a="1"/>
  <c r="O242" i="1" s="1"/>
  <c r="O245" i="1" a="1"/>
  <c r="O245" i="1" s="1"/>
  <c r="N245" i="1" a="1"/>
  <c r="N245" i="1" s="1"/>
  <c r="O252" i="1" a="1"/>
  <c r="O252" i="1" s="1"/>
  <c r="O261" i="1" a="1"/>
  <c r="O261" i="1" s="1"/>
  <c r="O277" i="1" a="1"/>
  <c r="O277" i="1" s="1"/>
  <c r="N297" i="1" a="1"/>
  <c r="N297" i="1" s="1"/>
  <c r="O297" i="1" a="1"/>
  <c r="O297" i="1" s="1"/>
  <c r="O316" i="1" a="1"/>
  <c r="O316" i="1" s="1"/>
  <c r="N319" i="1" a="1"/>
  <c r="N319" i="1" s="1"/>
  <c r="O319" i="1" a="1"/>
  <c r="O319" i="1" s="1"/>
  <c r="O337" i="1" a="1"/>
  <c r="O337" i="1" s="1"/>
  <c r="N337" i="1" a="1"/>
  <c r="N337" i="1" s="1"/>
  <c r="O348" i="1" a="1"/>
  <c r="O348" i="1" s="1"/>
  <c r="N351" i="1" a="1"/>
  <c r="N351" i="1" s="1"/>
  <c r="O351" i="1" a="1"/>
  <c r="O351" i="1" s="1"/>
  <c r="O358" i="1" a="1"/>
  <c r="O358" i="1" s="1"/>
  <c r="O366" i="1" a="1"/>
  <c r="O366" i="1" s="1"/>
  <c r="O193" i="1" a="1"/>
  <c r="O193" i="1" s="1"/>
  <c r="N193" i="1" a="1"/>
  <c r="N193" i="1" s="1"/>
  <c r="K4" i="1" a="1"/>
  <c r="K4" i="1" s="1"/>
  <c r="K12" i="1" a="1"/>
  <c r="K12" i="1" s="1"/>
  <c r="N12" i="1" s="1" a="1"/>
  <c r="N12" i="1" s="1"/>
  <c r="O5" i="1" a="1"/>
  <c r="O5" i="1" s="1"/>
  <c r="K11" i="1" a="1"/>
  <c r="K11" i="1" s="1"/>
  <c r="N11" i="1" s="1" a="1"/>
  <c r="N11" i="1" s="1"/>
  <c r="O21" i="1" a="1"/>
  <c r="O21" i="1" s="1"/>
  <c r="K27" i="1" a="1"/>
  <c r="K27" i="1" s="1"/>
  <c r="N27" i="1" s="1" a="1"/>
  <c r="N27" i="1" s="1"/>
  <c r="O29" i="1" a="1"/>
  <c r="O29" i="1" s="1"/>
  <c r="K35" i="1" a="1"/>
  <c r="K35" i="1" s="1"/>
  <c r="N35" i="1" s="1" a="1"/>
  <c r="N35" i="1" s="1"/>
  <c r="K43" i="1" a="1"/>
  <c r="K43" i="1" s="1"/>
  <c r="N43" i="1" s="1" a="1"/>
  <c r="N43" i="1" s="1"/>
  <c r="O52" i="1" a="1"/>
  <c r="O52" i="1" s="1"/>
  <c r="L1722" i="1" a="1"/>
  <c r="L1722" i="1" s="1"/>
  <c r="K10" i="1" a="1"/>
  <c r="K10" i="1" s="1"/>
  <c r="N10" i="1" s="1" a="1"/>
  <c r="N10" i="1" s="1"/>
  <c r="O12" i="1" a="1"/>
  <c r="O12" i="1" s="1"/>
  <c r="K18" i="1" a="1"/>
  <c r="K18" i="1" s="1"/>
  <c r="N18" i="1" s="1" a="1"/>
  <c r="N18" i="1" s="1"/>
  <c r="K26" i="1" a="1"/>
  <c r="K26" i="1" s="1"/>
  <c r="N26" i="1" s="1" a="1"/>
  <c r="N26" i="1" s="1"/>
  <c r="K34" i="1" a="1"/>
  <c r="K34" i="1" s="1"/>
  <c r="N34" i="1" s="1" a="1"/>
  <c r="N34" i="1" s="1"/>
  <c r="K42" i="1" a="1"/>
  <c r="K42" i="1" s="1"/>
  <c r="N42" i="1" s="1" a="1"/>
  <c r="N42" i="1" s="1"/>
  <c r="K47" i="1" a="1"/>
  <c r="K47" i="1" s="1"/>
  <c r="N47" i="1" s="1" a="1"/>
  <c r="N47" i="1" s="1"/>
  <c r="K51" i="1" a="1"/>
  <c r="K51" i="1" s="1"/>
  <c r="N51" i="1" s="1" a="1"/>
  <c r="N51" i="1" s="1"/>
  <c r="K55" i="1" a="1"/>
  <c r="K55" i="1" s="1"/>
  <c r="N55" i="1" s="1" a="1"/>
  <c r="N55" i="1" s="1"/>
  <c r="K59" i="1" a="1"/>
  <c r="K59" i="1" s="1"/>
  <c r="N59" i="1" s="1" a="1"/>
  <c r="N59" i="1" s="1"/>
  <c r="K63" i="1" a="1"/>
  <c r="K63" i="1" s="1"/>
  <c r="N63" i="1" s="1" a="1"/>
  <c r="N63" i="1" s="1"/>
  <c r="K67" i="1" a="1"/>
  <c r="K67" i="1" s="1"/>
  <c r="N67" i="1" s="1" a="1"/>
  <c r="N67" i="1" s="1"/>
  <c r="K71" i="1" a="1"/>
  <c r="K71" i="1" s="1"/>
  <c r="N71" i="1" s="1" a="1"/>
  <c r="N71" i="1" s="1"/>
  <c r="K75" i="1" a="1"/>
  <c r="K75" i="1" s="1"/>
  <c r="N75" i="1" s="1" a="1"/>
  <c r="N75" i="1" s="1"/>
  <c r="O81" i="1" a="1"/>
  <c r="O81" i="1" s="1"/>
  <c r="O85" i="1" a="1"/>
  <c r="O85" i="1" s="1"/>
  <c r="O89" i="1" a="1"/>
  <c r="O89" i="1" s="1"/>
  <c r="O93" i="1" a="1"/>
  <c r="O93" i="1" s="1"/>
  <c r="O97" i="1" a="1"/>
  <c r="O97" i="1" s="1"/>
  <c r="O105" i="1" a="1"/>
  <c r="O105" i="1" s="1"/>
  <c r="O113" i="1" a="1"/>
  <c r="O113" i="1" s="1"/>
  <c r="O117" i="1" a="1"/>
  <c r="O117" i="1" s="1"/>
  <c r="O121" i="1" a="1"/>
  <c r="O121" i="1" s="1"/>
  <c r="O125" i="1" a="1"/>
  <c r="O125" i="1" s="1"/>
  <c r="O129" i="1" a="1"/>
  <c r="O129" i="1" s="1"/>
  <c r="O137" i="1" a="1"/>
  <c r="O137" i="1" s="1"/>
  <c r="O145" i="1" a="1"/>
  <c r="O145" i="1" s="1"/>
  <c r="O149" i="1" a="1"/>
  <c r="O149" i="1" s="1"/>
  <c r="O153" i="1" a="1"/>
  <c r="O153" i="1" s="1"/>
  <c r="O157" i="1" a="1"/>
  <c r="O157" i="1" s="1"/>
  <c r="O161" i="1" a="1"/>
  <c r="O161" i="1" s="1"/>
  <c r="K168" i="1" a="1"/>
  <c r="K168" i="1" s="1"/>
  <c r="N168" i="1" s="1" a="1"/>
  <c r="N168" i="1" s="1"/>
  <c r="O187" i="1" a="1"/>
  <c r="O187" i="1" s="1"/>
  <c r="N187" i="1" a="1"/>
  <c r="N187" i="1" s="1"/>
  <c r="O203" i="1" a="1"/>
  <c r="O203" i="1" s="1"/>
  <c r="N203" i="1" a="1"/>
  <c r="N203" i="1" s="1"/>
  <c r="O219" i="1" a="1"/>
  <c r="O219" i="1" s="1"/>
  <c r="N219" i="1" a="1"/>
  <c r="N219" i="1" s="1"/>
  <c r="O235" i="1" a="1"/>
  <c r="O235" i="1" s="1"/>
  <c r="N235" i="1" a="1"/>
  <c r="N235" i="1" s="1"/>
  <c r="O251" i="1" a="1"/>
  <c r="O251" i="1" s="1"/>
  <c r="N251" i="1" a="1"/>
  <c r="N251" i="1" s="1"/>
  <c r="O260" i="1" a="1"/>
  <c r="O260" i="1" s="1"/>
  <c r="N260" i="1" a="1"/>
  <c r="N260" i="1" s="1"/>
  <c r="O267" i="1" a="1"/>
  <c r="O267" i="1" s="1"/>
  <c r="O276" i="1" a="1"/>
  <c r="O276" i="1" s="1"/>
  <c r="N276" i="1" a="1"/>
  <c r="N276" i="1" s="1"/>
  <c r="O283" i="1" a="1"/>
  <c r="O283" i="1" s="1"/>
  <c r="O292" i="1" a="1"/>
  <c r="O292" i="1" s="1"/>
  <c r="N292" i="1" a="1"/>
  <c r="N292" i="1" s="1"/>
  <c r="O299" i="1" a="1"/>
  <c r="O299" i="1" s="1"/>
  <c r="O323" i="1" a="1"/>
  <c r="O323" i="1" s="1"/>
  <c r="O355" i="1" a="1"/>
  <c r="O355" i="1" s="1"/>
  <c r="O363" i="1" a="1"/>
  <c r="O363" i="1" s="1"/>
  <c r="O371" i="1" a="1"/>
  <c r="O371" i="1" s="1"/>
  <c r="O374" i="1" a="1"/>
  <c r="O374" i="1" s="1"/>
  <c r="N379" i="1" a="1"/>
  <c r="N379" i="1" s="1"/>
  <c r="O379" i="1" a="1"/>
  <c r="O379" i="1" s="1"/>
  <c r="O381" i="1" a="1"/>
  <c r="O381" i="1" s="1"/>
  <c r="O393" i="1" a="1"/>
  <c r="O393" i="1" s="1"/>
  <c r="O406" i="1" a="1"/>
  <c r="O406" i="1" s="1"/>
  <c r="N411" i="1" a="1"/>
  <c r="N411" i="1" s="1"/>
  <c r="O411" i="1" a="1"/>
  <c r="O411" i="1" s="1"/>
  <c r="O413" i="1" a="1"/>
  <c r="O413" i="1" s="1"/>
  <c r="O425" i="1" a="1"/>
  <c r="O425" i="1" s="1"/>
  <c r="K16" i="1" a="1"/>
  <c r="K16" i="1" s="1"/>
  <c r="N16" i="1" s="1" a="1"/>
  <c r="N16" i="1" s="1"/>
  <c r="K32" i="1" a="1"/>
  <c r="K32" i="1" s="1"/>
  <c r="N32" i="1" s="1" a="1"/>
  <c r="N32" i="1" s="1"/>
  <c r="O34" i="1" a="1"/>
  <c r="O34" i="1" s="1"/>
  <c r="K40" i="1" a="1"/>
  <c r="K40" i="1" s="1"/>
  <c r="N40" i="1" s="1" a="1"/>
  <c r="N40" i="1" s="1"/>
  <c r="K46" i="1" a="1"/>
  <c r="K46" i="1" s="1"/>
  <c r="N46" i="1" s="1" a="1"/>
  <c r="N46" i="1" s="1"/>
  <c r="K50" i="1" a="1"/>
  <c r="K50" i="1" s="1"/>
  <c r="N50" i="1" s="1" a="1"/>
  <c r="N50" i="1" s="1"/>
  <c r="K54" i="1" a="1"/>
  <c r="K54" i="1" s="1"/>
  <c r="N54" i="1" s="1" a="1"/>
  <c r="N54" i="1" s="1"/>
  <c r="K58" i="1" a="1"/>
  <c r="K58" i="1" s="1"/>
  <c r="N58" i="1" s="1" a="1"/>
  <c r="N58" i="1" s="1"/>
  <c r="K62" i="1" a="1"/>
  <c r="K62" i="1" s="1"/>
  <c r="N62" i="1" s="1" a="1"/>
  <c r="N62" i="1" s="1"/>
  <c r="K66" i="1" a="1"/>
  <c r="K66" i="1" s="1"/>
  <c r="N66" i="1" s="1" a="1"/>
  <c r="N66" i="1" s="1"/>
  <c r="K70" i="1" a="1"/>
  <c r="K70" i="1" s="1"/>
  <c r="N70" i="1" s="1" a="1"/>
  <c r="N70" i="1" s="1"/>
  <c r="K74" i="1" a="1"/>
  <c r="K74" i="1" s="1"/>
  <c r="N74" i="1" s="1" a="1"/>
  <c r="N74" i="1" s="1"/>
  <c r="K78" i="1" a="1"/>
  <c r="K78" i="1" s="1"/>
  <c r="N78" i="1" s="1" a="1"/>
  <c r="N78" i="1" s="1"/>
  <c r="O80" i="1" a="1"/>
  <c r="O80" i="1" s="1"/>
  <c r="O84" i="1" a="1"/>
  <c r="O84" i="1" s="1"/>
  <c r="O88" i="1" a="1"/>
  <c r="O88" i="1" s="1"/>
  <c r="O92" i="1" a="1"/>
  <c r="O92" i="1" s="1"/>
  <c r="O96" i="1" a="1"/>
  <c r="O96" i="1" s="1"/>
  <c r="O100" i="1" a="1"/>
  <c r="O100" i="1" s="1"/>
  <c r="O104" i="1" a="1"/>
  <c r="O104" i="1" s="1"/>
  <c r="O108" i="1" a="1"/>
  <c r="O108" i="1" s="1"/>
  <c r="O112" i="1" a="1"/>
  <c r="O112" i="1" s="1"/>
  <c r="O116" i="1" a="1"/>
  <c r="O116" i="1" s="1"/>
  <c r="O120" i="1" a="1"/>
  <c r="O120" i="1" s="1"/>
  <c r="O124" i="1" a="1"/>
  <c r="O124" i="1" s="1"/>
  <c r="O128" i="1" a="1"/>
  <c r="O128" i="1" s="1"/>
  <c r="O132" i="1" a="1"/>
  <c r="O132" i="1" s="1"/>
  <c r="O136" i="1" a="1"/>
  <c r="O136" i="1" s="1"/>
  <c r="O140" i="1" a="1"/>
  <c r="O140" i="1" s="1"/>
  <c r="O144" i="1" a="1"/>
  <c r="O144" i="1" s="1"/>
  <c r="O148" i="1" a="1"/>
  <c r="O148" i="1" s="1"/>
  <c r="O152" i="1" a="1"/>
  <c r="O152" i="1" s="1"/>
  <c r="O156" i="1" a="1"/>
  <c r="O156" i="1" s="1"/>
  <c r="O160" i="1" a="1"/>
  <c r="O160" i="1" s="1"/>
  <c r="N165" i="1" a="1"/>
  <c r="N165" i="1" s="1"/>
  <c r="O165" i="1" a="1"/>
  <c r="O165" i="1" s="1"/>
  <c r="K166" i="1" a="1"/>
  <c r="K166" i="1" s="1"/>
  <c r="N166" i="1" s="1" a="1"/>
  <c r="N166" i="1" s="1"/>
  <c r="K172" i="1" a="1"/>
  <c r="K172" i="1" s="1"/>
  <c r="N172" i="1" s="1" a="1"/>
  <c r="N172" i="1" s="1"/>
  <c r="O183" i="1" a="1"/>
  <c r="O183" i="1" s="1"/>
  <c r="N183" i="1" a="1"/>
  <c r="N183" i="1" s="1"/>
  <c r="N199" i="1" a="1"/>
  <c r="N199" i="1" s="1"/>
  <c r="O199" i="1" a="1"/>
  <c r="O199" i="1" s="1"/>
  <c r="O215" i="1" a="1"/>
  <c r="O215" i="1" s="1"/>
  <c r="N215" i="1" a="1"/>
  <c r="N215" i="1" s="1"/>
  <c r="O231" i="1" a="1"/>
  <c r="O231" i="1" s="1"/>
  <c r="N231" i="1" a="1"/>
  <c r="N231" i="1" s="1"/>
  <c r="N247" i="1" a="1"/>
  <c r="N247" i="1" s="1"/>
  <c r="O247" i="1" a="1"/>
  <c r="O247" i="1" s="1"/>
  <c r="O264" i="1" a="1"/>
  <c r="O264" i="1" s="1"/>
  <c r="N264" i="1" a="1"/>
  <c r="N264" i="1" s="1"/>
  <c r="O280" i="1" a="1"/>
  <c r="O280" i="1" s="1"/>
  <c r="N280" i="1" a="1"/>
  <c r="N280" i="1" s="1"/>
  <c r="O296" i="1" a="1"/>
  <c r="O296" i="1" s="1"/>
  <c r="N296" i="1" a="1"/>
  <c r="N296" i="1" s="1"/>
  <c r="O315" i="1" a="1"/>
  <c r="O315" i="1" s="1"/>
  <c r="O347" i="1" a="1"/>
  <c r="O347" i="1" s="1"/>
  <c r="O357" i="1" a="1"/>
  <c r="O357" i="1" s="1"/>
  <c r="O365" i="1" a="1"/>
  <c r="O365" i="1" s="1"/>
  <c r="O373" i="1" a="1"/>
  <c r="O373" i="1" s="1"/>
  <c r="O385" i="1" a="1"/>
  <c r="O385" i="1" s="1"/>
  <c r="O398" i="1" a="1"/>
  <c r="O398" i="1" s="1"/>
  <c r="N403" i="1" a="1"/>
  <c r="N403" i="1" s="1"/>
  <c r="O403" i="1" a="1"/>
  <c r="O403" i="1" s="1"/>
  <c r="O405" i="1" a="1"/>
  <c r="O405" i="1" s="1"/>
  <c r="O417" i="1" a="1"/>
  <c r="O417" i="1" s="1"/>
  <c r="O177" i="1" a="1"/>
  <c r="O177" i="1" s="1"/>
  <c r="N177" i="1" a="1"/>
  <c r="N177" i="1" s="1"/>
  <c r="O241" i="1" a="1"/>
  <c r="O241" i="1" s="1"/>
  <c r="N241" i="1" a="1"/>
  <c r="N241" i="1" s="1"/>
  <c r="N301" i="1" a="1"/>
  <c r="N301" i="1" s="1"/>
  <c r="O301" i="1" a="1"/>
  <c r="O301" i="1" s="1"/>
  <c r="N311" i="1" a="1"/>
  <c r="N311" i="1" s="1"/>
  <c r="O311" i="1" a="1"/>
  <c r="O311" i="1" s="1"/>
  <c r="O329" i="1" a="1"/>
  <c r="O329" i="1" s="1"/>
  <c r="N329" i="1" a="1"/>
  <c r="N329" i="1" s="1"/>
  <c r="O10" i="1" a="1"/>
  <c r="O10" i="1" s="1"/>
  <c r="O18" i="1" a="1"/>
  <c r="O18" i="1" s="1"/>
  <c r="K24" i="1" a="1"/>
  <c r="K24" i="1" s="1"/>
  <c r="N24" i="1" s="1" a="1"/>
  <c r="N24" i="1" s="1"/>
  <c r="O26" i="1" a="1"/>
  <c r="O26" i="1" s="1"/>
  <c r="K15" i="1" a="1"/>
  <c r="K15" i="1" s="1"/>
  <c r="N15" i="1" s="1" a="1"/>
  <c r="N15" i="1" s="1"/>
  <c r="K31" i="1" a="1"/>
  <c r="K31" i="1" s="1"/>
  <c r="N31" i="1" s="1" a="1"/>
  <c r="N31" i="1" s="1"/>
  <c r="O54" i="1" a="1"/>
  <c r="O54" i="1" s="1"/>
  <c r="O70" i="1" a="1"/>
  <c r="O70" i="1" s="1"/>
  <c r="O74" i="1" a="1"/>
  <c r="O74" i="1" s="1"/>
  <c r="K83" i="1" a="1"/>
  <c r="K83" i="1" s="1"/>
  <c r="N83" i="1" s="1" a="1"/>
  <c r="N83" i="1" s="1"/>
  <c r="K87" i="1" a="1"/>
  <c r="K87" i="1" s="1"/>
  <c r="N87" i="1" s="1" a="1"/>
  <c r="N87" i="1" s="1"/>
  <c r="K91" i="1" a="1"/>
  <c r="K91" i="1" s="1"/>
  <c r="N91" i="1" s="1" a="1"/>
  <c r="N91" i="1" s="1"/>
  <c r="K95" i="1" a="1"/>
  <c r="K95" i="1" s="1"/>
  <c r="N95" i="1" s="1" a="1"/>
  <c r="N95" i="1" s="1"/>
  <c r="K99" i="1" a="1"/>
  <c r="K99" i="1" s="1"/>
  <c r="N99" i="1" s="1" a="1"/>
  <c r="N99" i="1" s="1"/>
  <c r="K103" i="1" a="1"/>
  <c r="K103" i="1" s="1"/>
  <c r="N103" i="1" s="1" a="1"/>
  <c r="N103" i="1" s="1"/>
  <c r="K107" i="1" a="1"/>
  <c r="K107" i="1" s="1"/>
  <c r="N107" i="1" s="1" a="1"/>
  <c r="N107" i="1" s="1"/>
  <c r="K111" i="1" a="1"/>
  <c r="K111" i="1" s="1"/>
  <c r="N111" i="1" s="1" a="1"/>
  <c r="N111" i="1" s="1"/>
  <c r="K115" i="1" a="1"/>
  <c r="K115" i="1" s="1"/>
  <c r="N115" i="1" s="1" a="1"/>
  <c r="N115" i="1" s="1"/>
  <c r="K119" i="1" a="1"/>
  <c r="K119" i="1" s="1"/>
  <c r="N119" i="1" s="1" a="1"/>
  <c r="N119" i="1" s="1"/>
  <c r="K123" i="1" a="1"/>
  <c r="K123" i="1" s="1"/>
  <c r="N123" i="1" s="1" a="1"/>
  <c r="N123" i="1" s="1"/>
  <c r="K127" i="1" a="1"/>
  <c r="K127" i="1" s="1"/>
  <c r="N127" i="1" s="1" a="1"/>
  <c r="N127" i="1" s="1"/>
  <c r="K131" i="1" a="1"/>
  <c r="K131" i="1" s="1"/>
  <c r="N131" i="1" s="1" a="1"/>
  <c r="N131" i="1" s="1"/>
  <c r="K135" i="1" a="1"/>
  <c r="K135" i="1" s="1"/>
  <c r="N135" i="1" s="1" a="1"/>
  <c r="N135" i="1" s="1"/>
  <c r="K139" i="1" a="1"/>
  <c r="K139" i="1" s="1"/>
  <c r="N139" i="1" s="1" a="1"/>
  <c r="N139" i="1" s="1"/>
  <c r="K143" i="1" a="1"/>
  <c r="K143" i="1" s="1"/>
  <c r="N143" i="1" s="1" a="1"/>
  <c r="N143" i="1" s="1"/>
  <c r="K147" i="1" a="1"/>
  <c r="K147" i="1" s="1"/>
  <c r="N147" i="1" s="1" a="1"/>
  <c r="N147" i="1" s="1"/>
  <c r="K151" i="1" a="1"/>
  <c r="K151" i="1" s="1"/>
  <c r="N151" i="1" s="1" a="1"/>
  <c r="N151" i="1" s="1"/>
  <c r="K155" i="1" a="1"/>
  <c r="K155" i="1" s="1"/>
  <c r="N155" i="1" s="1" a="1"/>
  <c r="N155" i="1" s="1"/>
  <c r="K159" i="1" a="1"/>
  <c r="K159" i="1" s="1"/>
  <c r="N159" i="1" s="1" a="1"/>
  <c r="N159" i="1" s="1"/>
  <c r="O172" i="1" a="1"/>
  <c r="O172" i="1" s="1"/>
  <c r="O180" i="1" a="1"/>
  <c r="O180" i="1" s="1"/>
  <c r="O186" i="1" a="1"/>
  <c r="O186" i="1" s="1"/>
  <c r="N189" i="1" a="1"/>
  <c r="N189" i="1" s="1"/>
  <c r="O189" i="1" a="1"/>
  <c r="O189" i="1" s="1"/>
  <c r="O196" i="1" a="1"/>
  <c r="O196" i="1" s="1"/>
  <c r="O202" i="1" a="1"/>
  <c r="O202" i="1" s="1"/>
  <c r="O205" i="1" a="1"/>
  <c r="O205" i="1" s="1"/>
  <c r="N205" i="1" a="1"/>
  <c r="N205" i="1" s="1"/>
  <c r="O212" i="1" a="1"/>
  <c r="O212" i="1" s="1"/>
  <c r="O218" i="1" a="1"/>
  <c r="O218" i="1" s="1"/>
  <c r="O221" i="1" a="1"/>
  <c r="O221" i="1" s="1"/>
  <c r="N221" i="1" a="1"/>
  <c r="N221" i="1" s="1"/>
  <c r="O228" i="1" a="1"/>
  <c r="O228" i="1" s="1"/>
  <c r="O234" i="1" a="1"/>
  <c r="O234" i="1" s="1"/>
  <c r="O237" i="1" a="1"/>
  <c r="O237" i="1" s="1"/>
  <c r="N237" i="1" a="1"/>
  <c r="N237" i="1" s="1"/>
  <c r="O244" i="1" a="1"/>
  <c r="O244" i="1" s="1"/>
  <c r="O250" i="1" a="1"/>
  <c r="O250" i="1" s="1"/>
  <c r="O253" i="1" a="1"/>
  <c r="O253" i="1" s="1"/>
  <c r="N253" i="1" a="1"/>
  <c r="N253" i="1" s="1"/>
  <c r="O269" i="1" a="1"/>
  <c r="O269" i="1" s="1"/>
  <c r="N289" i="1" a="1"/>
  <c r="N289" i="1" s="1"/>
  <c r="O289" i="1" a="1"/>
  <c r="O289" i="1" s="1"/>
  <c r="N305" i="1" a="1"/>
  <c r="N305" i="1" s="1"/>
  <c r="O305" i="1" a="1"/>
  <c r="O305" i="1" s="1"/>
  <c r="O321" i="1" a="1"/>
  <c r="O321" i="1" s="1"/>
  <c r="N321" i="1" a="1"/>
  <c r="N321" i="1" s="1"/>
  <c r="O332" i="1" a="1"/>
  <c r="O332" i="1" s="1"/>
  <c r="N335" i="1" a="1"/>
  <c r="N335" i="1" s="1"/>
  <c r="O335" i="1" a="1"/>
  <c r="O335" i="1" s="1"/>
  <c r="O353" i="1" a="1"/>
  <c r="O353" i="1" s="1"/>
  <c r="N353" i="1" a="1"/>
  <c r="N353" i="1" s="1"/>
  <c r="O362" i="1" a="1"/>
  <c r="O362" i="1" s="1"/>
  <c r="O370" i="1" a="1"/>
  <c r="O370" i="1" s="1"/>
  <c r="O19" i="1" a="1"/>
  <c r="O19" i="1" s="1"/>
  <c r="O27" i="1" a="1"/>
  <c r="O27" i="1" s="1"/>
  <c r="K8" i="1" a="1"/>
  <c r="K8" i="1" s="1"/>
  <c r="N8" i="1" s="1" a="1"/>
  <c r="N8" i="1" s="1"/>
  <c r="K7" i="1" a="1"/>
  <c r="K7" i="1" s="1"/>
  <c r="N7" i="1" s="1" a="1"/>
  <c r="N7" i="1" s="1"/>
  <c r="O9" i="1" a="1"/>
  <c r="O9" i="1" s="1"/>
  <c r="O17" i="1" a="1"/>
  <c r="O17" i="1" s="1"/>
  <c r="K23" i="1" a="1"/>
  <c r="K23" i="1" s="1"/>
  <c r="N23" i="1" s="1" a="1"/>
  <c r="N23" i="1" s="1"/>
  <c r="O25" i="1" a="1"/>
  <c r="O25" i="1" s="1"/>
  <c r="O33" i="1" a="1"/>
  <c r="O33" i="1" s="1"/>
  <c r="K39" i="1" a="1"/>
  <c r="K39" i="1" s="1"/>
  <c r="N39" i="1" s="1" a="1"/>
  <c r="N39" i="1" s="1"/>
  <c r="O41" i="1" a="1"/>
  <c r="O41" i="1" s="1"/>
  <c r="O50" i="1" a="1"/>
  <c r="O50" i="1" s="1"/>
  <c r="O58" i="1" a="1"/>
  <c r="O58" i="1" s="1"/>
  <c r="O62" i="1" a="1"/>
  <c r="O62" i="1" s="1"/>
  <c r="K6" i="1" a="1"/>
  <c r="K6" i="1" s="1"/>
  <c r="N6" i="1" s="1" a="1"/>
  <c r="N6" i="1" s="1"/>
  <c r="O8" i="1" a="1"/>
  <c r="O8" i="1" s="1"/>
  <c r="K14" i="1" a="1"/>
  <c r="K14" i="1" s="1"/>
  <c r="N14" i="1" s="1" a="1"/>
  <c r="N14" i="1" s="1"/>
  <c r="K22" i="1" a="1"/>
  <c r="K22" i="1" s="1"/>
  <c r="N22" i="1" s="1" a="1"/>
  <c r="N22" i="1" s="1"/>
  <c r="K30" i="1" a="1"/>
  <c r="K30" i="1" s="1"/>
  <c r="N30" i="1" s="1" a="1"/>
  <c r="N30" i="1" s="1"/>
  <c r="O32" i="1" a="1"/>
  <c r="O32" i="1" s="1"/>
  <c r="K38" i="1" a="1"/>
  <c r="K38" i="1" s="1"/>
  <c r="N38" i="1" s="1" a="1"/>
  <c r="N38" i="1" s="1"/>
  <c r="O40" i="1" a="1"/>
  <c r="O40" i="1" s="1"/>
  <c r="K45" i="1" a="1"/>
  <c r="K45" i="1" s="1"/>
  <c r="N45" i="1" s="1" a="1"/>
  <c r="N45" i="1" s="1"/>
  <c r="K49" i="1" a="1"/>
  <c r="K49" i="1" s="1"/>
  <c r="N49" i="1" s="1" a="1"/>
  <c r="N49" i="1" s="1"/>
  <c r="K53" i="1" a="1"/>
  <c r="K53" i="1" s="1"/>
  <c r="N53" i="1" s="1" a="1"/>
  <c r="N53" i="1" s="1"/>
  <c r="K57" i="1" a="1"/>
  <c r="K57" i="1" s="1"/>
  <c r="N57" i="1" s="1" a="1"/>
  <c r="N57" i="1" s="1"/>
  <c r="K61" i="1" a="1"/>
  <c r="K61" i="1" s="1"/>
  <c r="N61" i="1" s="1" a="1"/>
  <c r="N61" i="1" s="1"/>
  <c r="K65" i="1" a="1"/>
  <c r="K65" i="1" s="1"/>
  <c r="N65" i="1" s="1" a="1"/>
  <c r="N65" i="1" s="1"/>
  <c r="K69" i="1" a="1"/>
  <c r="K69" i="1" s="1"/>
  <c r="N69" i="1" s="1" a="1"/>
  <c r="N69" i="1" s="1"/>
  <c r="K73" i="1" a="1"/>
  <c r="K73" i="1" s="1"/>
  <c r="N73" i="1" s="1" a="1"/>
  <c r="N73" i="1" s="1"/>
  <c r="K77" i="1" a="1"/>
  <c r="K77" i="1" s="1"/>
  <c r="N77" i="1" s="1" a="1"/>
  <c r="N77" i="1" s="1"/>
  <c r="O87" i="1" a="1"/>
  <c r="O87" i="1" s="1"/>
  <c r="O91" i="1" a="1"/>
  <c r="O91" i="1" s="1"/>
  <c r="O95" i="1" a="1"/>
  <c r="O95" i="1" s="1"/>
  <c r="O99" i="1" a="1"/>
  <c r="O99" i="1" s="1"/>
  <c r="O103" i="1" a="1"/>
  <c r="O103" i="1" s="1"/>
  <c r="O111" i="1" a="1"/>
  <c r="O111" i="1" s="1"/>
  <c r="O119" i="1" a="1"/>
  <c r="O119" i="1" s="1"/>
  <c r="O123" i="1" a="1"/>
  <c r="O123" i="1" s="1"/>
  <c r="O127" i="1" a="1"/>
  <c r="O127" i="1" s="1"/>
  <c r="O131" i="1" a="1"/>
  <c r="O131" i="1" s="1"/>
  <c r="O135" i="1" a="1"/>
  <c r="O135" i="1" s="1"/>
  <c r="O143" i="1" a="1"/>
  <c r="O143" i="1" s="1"/>
  <c r="O151" i="1" a="1"/>
  <c r="O151" i="1" s="1"/>
  <c r="O155" i="1" a="1"/>
  <c r="O155" i="1" s="1"/>
  <c r="O159" i="1" a="1"/>
  <c r="O159" i="1" s="1"/>
  <c r="K163" i="1" a="1"/>
  <c r="K163" i="1" s="1"/>
  <c r="N163" i="1" s="1" a="1"/>
  <c r="N163" i="1" s="1"/>
  <c r="O169" i="1" a="1"/>
  <c r="O169" i="1" s="1"/>
  <c r="N169" i="1" a="1"/>
  <c r="N169" i="1" s="1"/>
  <c r="K170" i="1" a="1"/>
  <c r="K170" i="1" s="1"/>
  <c r="N170" i="1" s="1" a="1"/>
  <c r="N170" i="1" s="1"/>
  <c r="O171" i="1" a="1"/>
  <c r="O171" i="1" s="1"/>
  <c r="K176" i="1" a="1"/>
  <c r="K176" i="1" s="1"/>
  <c r="N176" i="1" s="1" a="1"/>
  <c r="N176" i="1" s="1"/>
  <c r="N179" i="1" a="1"/>
  <c r="N179" i="1" s="1"/>
  <c r="O179" i="1" a="1"/>
  <c r="O179" i="1" s="1"/>
  <c r="O195" i="1" a="1"/>
  <c r="O195" i="1" s="1"/>
  <c r="N195" i="1" a="1"/>
  <c r="N195" i="1" s="1"/>
  <c r="O211" i="1" a="1"/>
  <c r="O211" i="1" s="1"/>
  <c r="N211" i="1" a="1"/>
  <c r="N211" i="1" s="1"/>
  <c r="O227" i="1" a="1"/>
  <c r="O227" i="1" s="1"/>
  <c r="N227" i="1" a="1"/>
  <c r="N227" i="1" s="1"/>
  <c r="N243" i="1" a="1"/>
  <c r="N243" i="1" s="1"/>
  <c r="O243" i="1" a="1"/>
  <c r="O243" i="1" s="1"/>
  <c r="O259" i="1" a="1"/>
  <c r="O259" i="1" s="1"/>
  <c r="O268" i="1" a="1"/>
  <c r="O268" i="1" s="1"/>
  <c r="N268" i="1" a="1"/>
  <c r="N268" i="1" s="1"/>
  <c r="O275" i="1" a="1"/>
  <c r="O275" i="1" s="1"/>
  <c r="O284" i="1" a="1"/>
  <c r="O284" i="1" s="1"/>
  <c r="N284" i="1" a="1"/>
  <c r="N284" i="1" s="1"/>
  <c r="O291" i="1" a="1"/>
  <c r="O291" i="1" s="1"/>
  <c r="O300" i="1" a="1"/>
  <c r="O300" i="1" s="1"/>
  <c r="N300" i="1" a="1"/>
  <c r="N300" i="1" s="1"/>
  <c r="O307" i="1" a="1"/>
  <c r="O307" i="1" s="1"/>
  <c r="O339" i="1" a="1"/>
  <c r="O339" i="1" s="1"/>
  <c r="O359" i="1" a="1"/>
  <c r="O359" i="1" s="1"/>
  <c r="O367" i="1" a="1"/>
  <c r="O367" i="1" s="1"/>
  <c r="O377" i="1" a="1"/>
  <c r="O377" i="1" s="1"/>
  <c r="O390" i="1" a="1"/>
  <c r="O390" i="1" s="1"/>
  <c r="N395" i="1" a="1"/>
  <c r="N395" i="1" s="1"/>
  <c r="O395" i="1" a="1"/>
  <c r="O395" i="1" s="1"/>
  <c r="O397" i="1" a="1"/>
  <c r="O397" i="1" s="1"/>
  <c r="O409" i="1" a="1"/>
  <c r="O409" i="1" s="1"/>
  <c r="O416" i="1" a="1"/>
  <c r="O416" i="1" s="1"/>
  <c r="O422" i="1" a="1"/>
  <c r="O422" i="1" s="1"/>
  <c r="O55" i="1" a="1"/>
  <c r="O55" i="1" s="1"/>
  <c r="O63" i="1" a="1"/>
  <c r="O63" i="1" s="1"/>
  <c r="O71" i="1" a="1"/>
  <c r="O71" i="1" s="1"/>
  <c r="O168" i="1" a="1"/>
  <c r="O168" i="1" s="1"/>
  <c r="O209" i="1" a="1"/>
  <c r="O209" i="1" s="1"/>
  <c r="N209" i="1" a="1"/>
  <c r="N209" i="1" s="1"/>
  <c r="O225" i="1" a="1"/>
  <c r="O225" i="1" s="1"/>
  <c r="N225" i="1" a="1"/>
  <c r="N225" i="1" s="1"/>
  <c r="N285" i="1" a="1"/>
  <c r="N285" i="1" s="1"/>
  <c r="O285" i="1" a="1"/>
  <c r="O285" i="1" s="1"/>
  <c r="O7" i="1" a="1"/>
  <c r="O7" i="1" s="1"/>
  <c r="O45" i="1" a="1"/>
  <c r="O45" i="1" s="1"/>
  <c r="O57" i="1" a="1"/>
  <c r="O57" i="1" s="1"/>
  <c r="O65" i="1" a="1"/>
  <c r="O65" i="1" s="1"/>
  <c r="O73" i="1" a="1"/>
  <c r="O73" i="1" s="1"/>
  <c r="O77" i="1" a="1"/>
  <c r="O77" i="1" s="1"/>
  <c r="O163" i="1" a="1"/>
  <c r="O163" i="1" s="1"/>
  <c r="O170" i="1" a="1"/>
  <c r="O170" i="1" s="1"/>
  <c r="O176" i="1" a="1"/>
  <c r="O176" i="1" s="1"/>
  <c r="O185" i="1" a="1"/>
  <c r="O185" i="1" s="1"/>
  <c r="N185" i="1" a="1"/>
  <c r="N185" i="1" s="1"/>
  <c r="O201" i="1" a="1"/>
  <c r="O201" i="1" s="1"/>
  <c r="N201" i="1" a="1"/>
  <c r="N201" i="1" s="1"/>
  <c r="O217" i="1" a="1"/>
  <c r="O217" i="1" s="1"/>
  <c r="N217" i="1" a="1"/>
  <c r="N217" i="1" s="1"/>
  <c r="O233" i="1" a="1"/>
  <c r="O233" i="1" s="1"/>
  <c r="N233" i="1" a="1"/>
  <c r="N233" i="1" s="1"/>
  <c r="O249" i="1" a="1"/>
  <c r="O249" i="1" s="1"/>
  <c r="N249" i="1" a="1"/>
  <c r="N249" i="1" s="1"/>
  <c r="N293" i="1" a="1"/>
  <c r="N293" i="1" s="1"/>
  <c r="O293" i="1" a="1"/>
  <c r="O293" i="1" s="1"/>
  <c r="O313" i="1" a="1"/>
  <c r="O313" i="1" s="1"/>
  <c r="N313" i="1" a="1"/>
  <c r="N313" i="1" s="1"/>
  <c r="N327" i="1" a="1"/>
  <c r="N327" i="1" s="1"/>
  <c r="O327" i="1" a="1"/>
  <c r="O327" i="1" s="1"/>
  <c r="O342" i="1" a="1"/>
  <c r="O342" i="1" s="1"/>
  <c r="O345" i="1" a="1"/>
  <c r="O345" i="1" s="1"/>
  <c r="N345" i="1" a="1"/>
  <c r="N345" i="1" s="1"/>
  <c r="O35" i="1" a="1"/>
  <c r="O35" i="1" s="1"/>
  <c r="O51" i="1" a="1"/>
  <c r="O51" i="1" s="1"/>
  <c r="O67" i="1" a="1"/>
  <c r="O67" i="1" s="1"/>
  <c r="O31" i="1" a="1"/>
  <c r="O31" i="1" s="1"/>
  <c r="O39" i="1" a="1"/>
  <c r="O39" i="1" s="1"/>
  <c r="O53" i="1" a="1"/>
  <c r="O53" i="1" s="1"/>
  <c r="K20" i="1" a="1"/>
  <c r="K20" i="1" s="1"/>
  <c r="N20" i="1" s="1" a="1"/>
  <c r="N20" i="1" s="1"/>
  <c r="K28" i="1" a="1"/>
  <c r="K28" i="1" s="1"/>
  <c r="N28" i="1" s="1" a="1"/>
  <c r="N28" i="1" s="1"/>
  <c r="K36" i="1" a="1"/>
  <c r="K36" i="1" s="1"/>
  <c r="N36" i="1" s="1" a="1"/>
  <c r="N36" i="1" s="1"/>
  <c r="K44" i="1" a="1"/>
  <c r="K44" i="1" s="1"/>
  <c r="N44" i="1" s="1" a="1"/>
  <c r="N44" i="1" s="1"/>
  <c r="K48" i="1" a="1"/>
  <c r="K48" i="1" s="1"/>
  <c r="N48" i="1" s="1" a="1"/>
  <c r="N48" i="1" s="1"/>
  <c r="K52" i="1" a="1"/>
  <c r="K52" i="1" s="1"/>
  <c r="N52" i="1" s="1" a="1"/>
  <c r="N52" i="1" s="1"/>
  <c r="K56" i="1" a="1"/>
  <c r="K56" i="1" s="1"/>
  <c r="N56" i="1" s="1" a="1"/>
  <c r="N56" i="1" s="1"/>
  <c r="K60" i="1" a="1"/>
  <c r="K60" i="1" s="1"/>
  <c r="N60" i="1" s="1" a="1"/>
  <c r="N60" i="1" s="1"/>
  <c r="K64" i="1" a="1"/>
  <c r="K64" i="1" s="1"/>
  <c r="N64" i="1" s="1" a="1"/>
  <c r="N64" i="1" s="1"/>
  <c r="K68" i="1" a="1"/>
  <c r="K68" i="1" s="1"/>
  <c r="N68" i="1" s="1" a="1"/>
  <c r="N68" i="1" s="1"/>
  <c r="K72" i="1" a="1"/>
  <c r="K72" i="1" s="1"/>
  <c r="N72" i="1" s="1" a="1"/>
  <c r="N72" i="1" s="1"/>
  <c r="K76" i="1" a="1"/>
  <c r="K76" i="1" s="1"/>
  <c r="N76" i="1" s="1" a="1"/>
  <c r="N76" i="1" s="1"/>
  <c r="O82" i="1" a="1"/>
  <c r="O82" i="1" s="1"/>
  <c r="O86" i="1" a="1"/>
  <c r="O86" i="1" s="1"/>
  <c r="O90" i="1" a="1"/>
  <c r="O90" i="1" s="1"/>
  <c r="O94" i="1" a="1"/>
  <c r="O94" i="1" s="1"/>
  <c r="O98" i="1" a="1"/>
  <c r="O98" i="1" s="1"/>
  <c r="O102" i="1" a="1"/>
  <c r="O102" i="1" s="1"/>
  <c r="O106" i="1" a="1"/>
  <c r="O106" i="1" s="1"/>
  <c r="O110" i="1" a="1"/>
  <c r="O110" i="1" s="1"/>
  <c r="O114" i="1" a="1"/>
  <c r="O114" i="1" s="1"/>
  <c r="O118" i="1" a="1"/>
  <c r="O118" i="1" s="1"/>
  <c r="O122" i="1" a="1"/>
  <c r="O122" i="1" s="1"/>
  <c r="O126" i="1" a="1"/>
  <c r="O126" i="1" s="1"/>
  <c r="O130" i="1" a="1"/>
  <c r="O130" i="1" s="1"/>
  <c r="O134" i="1" a="1"/>
  <c r="O134" i="1" s="1"/>
  <c r="O138" i="1" a="1"/>
  <c r="O138" i="1" s="1"/>
  <c r="O142" i="1" a="1"/>
  <c r="O142" i="1" s="1"/>
  <c r="O146" i="1" a="1"/>
  <c r="O146" i="1" s="1"/>
  <c r="O150" i="1" a="1"/>
  <c r="O150" i="1" s="1"/>
  <c r="O154" i="1" a="1"/>
  <c r="O154" i="1" s="1"/>
  <c r="O158" i="1" a="1"/>
  <c r="O158" i="1" s="1"/>
  <c r="O162" i="1" a="1"/>
  <c r="O162" i="1" s="1"/>
  <c r="O173" i="1" a="1"/>
  <c r="O173" i="1" s="1"/>
  <c r="N173" i="1" a="1"/>
  <c r="N173" i="1" s="1"/>
  <c r="K174" i="1" a="1"/>
  <c r="K174" i="1" s="1"/>
  <c r="N174" i="1" s="1" a="1"/>
  <c r="N174" i="1" s="1"/>
  <c r="O191" i="1" a="1"/>
  <c r="O191" i="1" s="1"/>
  <c r="N191" i="1" a="1"/>
  <c r="N191" i="1" s="1"/>
  <c r="N207" i="1" a="1"/>
  <c r="N207" i="1" s="1"/>
  <c r="O207" i="1" a="1"/>
  <c r="O207" i="1" s="1"/>
  <c r="N223" i="1" a="1"/>
  <c r="N223" i="1" s="1"/>
  <c r="O223" i="1" a="1"/>
  <c r="O223" i="1" s="1"/>
  <c r="O239" i="1" a="1"/>
  <c r="O239" i="1" s="1"/>
  <c r="N239" i="1" a="1"/>
  <c r="N239" i="1" s="1"/>
  <c r="N255" i="1" a="1"/>
  <c r="N255" i="1" s="1"/>
  <c r="O255" i="1" a="1"/>
  <c r="O255" i="1" s="1"/>
  <c r="O272" i="1" a="1"/>
  <c r="O272" i="1" s="1"/>
  <c r="N272" i="1" a="1"/>
  <c r="N272" i="1" s="1"/>
  <c r="O288" i="1" a="1"/>
  <c r="O288" i="1" s="1"/>
  <c r="N288" i="1" a="1"/>
  <c r="N288" i="1" s="1"/>
  <c r="O304" i="1" a="1"/>
  <c r="O304" i="1" s="1"/>
  <c r="N304" i="1" a="1"/>
  <c r="N304" i="1" s="1"/>
  <c r="O331" i="1" a="1"/>
  <c r="O331" i="1" s="1"/>
  <c r="O361" i="1" a="1"/>
  <c r="O361" i="1" s="1"/>
  <c r="O369" i="1" a="1"/>
  <c r="O369" i="1" s="1"/>
  <c r="O382" i="1" a="1"/>
  <c r="O382" i="1" s="1"/>
  <c r="N387" i="1" a="1"/>
  <c r="N387" i="1" s="1"/>
  <c r="O387" i="1" a="1"/>
  <c r="O387" i="1" s="1"/>
  <c r="O389" i="1" a="1"/>
  <c r="O389" i="1" s="1"/>
  <c r="O401" i="1" a="1"/>
  <c r="O401" i="1" s="1"/>
  <c r="O414" i="1" a="1"/>
  <c r="O414" i="1" s="1"/>
  <c r="N419" i="1" a="1"/>
  <c r="N419" i="1" s="1"/>
  <c r="O419" i="1" a="1"/>
  <c r="O419" i="1" s="1"/>
  <c r="O421" i="1" a="1"/>
  <c r="O421" i="1" s="1"/>
  <c r="O485" i="1" a="1"/>
  <c r="O485" i="1" s="1"/>
  <c r="O490" i="1" a="1"/>
  <c r="O490" i="1" s="1"/>
  <c r="O495" i="1" a="1"/>
  <c r="O495" i="1" s="1"/>
  <c r="O502" i="1" a="1"/>
  <c r="O502" i="1" s="1"/>
  <c r="O624" i="1" a="1"/>
  <c r="O624" i="1" s="1"/>
  <c r="N624" i="1" a="1"/>
  <c r="N624" i="1" s="1"/>
  <c r="K310" i="1" a="1"/>
  <c r="K310" i="1" s="1"/>
  <c r="N310" i="1" s="1" a="1"/>
  <c r="N310" i="1" s="1"/>
  <c r="K318" i="1" a="1"/>
  <c r="K318" i="1" s="1"/>
  <c r="N318" i="1" s="1" a="1"/>
  <c r="N318" i="1" s="1"/>
  <c r="K326" i="1" a="1"/>
  <c r="K326" i="1" s="1"/>
  <c r="N326" i="1" s="1" a="1"/>
  <c r="N326" i="1" s="1"/>
  <c r="K334" i="1" a="1"/>
  <c r="K334" i="1" s="1"/>
  <c r="N334" i="1" s="1" a="1"/>
  <c r="N334" i="1" s="1"/>
  <c r="K342" i="1" a="1"/>
  <c r="K342" i="1" s="1"/>
  <c r="N342" i="1" s="1" a="1"/>
  <c r="N342" i="1" s="1"/>
  <c r="K350" i="1" a="1"/>
  <c r="K350" i="1" s="1"/>
  <c r="N350" i="1" s="1" a="1"/>
  <c r="N350" i="1" s="1"/>
  <c r="K376" i="1" a="1"/>
  <c r="K376" i="1" s="1"/>
  <c r="N376" i="1" s="1" a="1"/>
  <c r="N376" i="1" s="1"/>
  <c r="K384" i="1" a="1"/>
  <c r="K384" i="1" s="1"/>
  <c r="N384" i="1" s="1" a="1"/>
  <c r="N384" i="1" s="1"/>
  <c r="K392" i="1" a="1"/>
  <c r="K392" i="1" s="1"/>
  <c r="N392" i="1" s="1" a="1"/>
  <c r="N392" i="1" s="1"/>
  <c r="K400" i="1" a="1"/>
  <c r="K400" i="1" s="1"/>
  <c r="N400" i="1" s="1" a="1"/>
  <c r="N400" i="1" s="1"/>
  <c r="K408" i="1" a="1"/>
  <c r="K408" i="1" s="1"/>
  <c r="N408" i="1" s="1" a="1"/>
  <c r="N408" i="1" s="1"/>
  <c r="K416" i="1" a="1"/>
  <c r="K416" i="1" s="1"/>
  <c r="N416" i="1" s="1" a="1"/>
  <c r="N416" i="1" s="1"/>
  <c r="K424" i="1" a="1"/>
  <c r="K424" i="1" s="1"/>
  <c r="N424" i="1" s="1" a="1"/>
  <c r="N424" i="1" s="1"/>
  <c r="O488" i="1" a="1"/>
  <c r="O488" i="1" s="1"/>
  <c r="O506" i="1" a="1"/>
  <c r="O506" i="1" s="1"/>
  <c r="O510" i="1" a="1"/>
  <c r="O510" i="1" s="1"/>
  <c r="O514" i="1" a="1"/>
  <c r="O514" i="1" s="1"/>
  <c r="O518" i="1" a="1"/>
  <c r="O518" i="1" s="1"/>
  <c r="O522" i="1" a="1"/>
  <c r="O522" i="1" s="1"/>
  <c r="O526" i="1" a="1"/>
  <c r="O526" i="1" s="1"/>
  <c r="O530" i="1" a="1"/>
  <c r="O530" i="1" s="1"/>
  <c r="O534" i="1" a="1"/>
  <c r="O534" i="1" s="1"/>
  <c r="N711" i="1" a="1"/>
  <c r="N711" i="1" s="1"/>
  <c r="O711" i="1" a="1"/>
  <c r="O711" i="1" s="1"/>
  <c r="O777" i="1" a="1"/>
  <c r="O777" i="1" s="1"/>
  <c r="N777" i="1" a="1"/>
  <c r="N777" i="1" s="1"/>
  <c r="O778" i="1" a="1"/>
  <c r="O778" i="1" s="1"/>
  <c r="N778" i="1" a="1"/>
  <c r="N778" i="1" s="1"/>
  <c r="O482" i="1" a="1"/>
  <c r="O482" i="1" s="1"/>
  <c r="O493" i="1" a="1"/>
  <c r="O493" i="1" s="1"/>
  <c r="O505" i="1" a="1"/>
  <c r="O505" i="1" s="1"/>
  <c r="N687" i="1" a="1"/>
  <c r="N687" i="1" s="1"/>
  <c r="O687" i="1" a="1"/>
  <c r="O687" i="1" s="1"/>
  <c r="N689" i="1" a="1"/>
  <c r="N689" i="1" s="1"/>
  <c r="O689" i="1" a="1"/>
  <c r="O689" i="1" s="1"/>
  <c r="N309" i="1" a="1"/>
  <c r="N309" i="1" s="1"/>
  <c r="N317" i="1" a="1"/>
  <c r="N317" i="1" s="1"/>
  <c r="N325" i="1" a="1"/>
  <c r="N325" i="1" s="1"/>
  <c r="N333" i="1" a="1"/>
  <c r="N333" i="1" s="1"/>
  <c r="N341" i="1" a="1"/>
  <c r="N341" i="1" s="1"/>
  <c r="N349" i="1" a="1"/>
  <c r="N349" i="1" s="1"/>
  <c r="O487" i="1" a="1"/>
  <c r="O487" i="1" s="1"/>
  <c r="O656" i="1" a="1"/>
  <c r="O656" i="1" s="1"/>
  <c r="N656" i="1" a="1"/>
  <c r="N656" i="1" s="1"/>
  <c r="O665" i="1" a="1"/>
  <c r="O665" i="1" s="1"/>
  <c r="N665" i="1" a="1"/>
  <c r="N665" i="1" s="1"/>
  <c r="O375" i="1" a="1"/>
  <c r="O375" i="1" s="1"/>
  <c r="O383" i="1" a="1"/>
  <c r="O383" i="1" s="1"/>
  <c r="O391" i="1" a="1"/>
  <c r="O391" i="1" s="1"/>
  <c r="O399" i="1" a="1"/>
  <c r="O399" i="1" s="1"/>
  <c r="O407" i="1" a="1"/>
  <c r="O407" i="1" s="1"/>
  <c r="O415" i="1" a="1"/>
  <c r="O415" i="1" s="1"/>
  <c r="O423" i="1" a="1"/>
  <c r="O423" i="1" s="1"/>
  <c r="O498" i="1" a="1"/>
  <c r="O498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1" i="1" a="1"/>
  <c r="O441" i="1" s="1"/>
  <c r="N561" i="1" a="1"/>
  <c r="N561" i="1" s="1"/>
  <c r="O561" i="1" a="1"/>
  <c r="O561" i="1" s="1"/>
  <c r="O579" i="1" a="1"/>
  <c r="O579" i="1" s="1"/>
  <c r="O580" i="1" a="1"/>
  <c r="O580" i="1" s="1"/>
  <c r="O585" i="1" a="1"/>
  <c r="O585" i="1" s="1"/>
  <c r="O586" i="1" a="1"/>
  <c r="O586" i="1" s="1"/>
  <c r="O603" i="1" a="1"/>
  <c r="O603" i="1" s="1"/>
  <c r="O616" i="1" a="1"/>
  <c r="O616" i="1" s="1"/>
  <c r="N616" i="1" a="1"/>
  <c r="N616" i="1" s="1"/>
  <c r="O621" i="1" a="1"/>
  <c r="O621" i="1" s="1"/>
  <c r="O626" i="1" a="1"/>
  <c r="O626" i="1" s="1"/>
  <c r="O635" i="1" a="1"/>
  <c r="O635" i="1" s="1"/>
  <c r="O648" i="1" a="1"/>
  <c r="O648" i="1" s="1"/>
  <c r="N648" i="1" a="1"/>
  <c r="N648" i="1" s="1"/>
  <c r="N649" i="1" a="1"/>
  <c r="N649" i="1" s="1"/>
  <c r="O658" i="1" a="1"/>
  <c r="O658" i="1" s="1"/>
  <c r="N679" i="1" a="1"/>
  <c r="N679" i="1" s="1"/>
  <c r="O679" i="1" a="1"/>
  <c r="O679" i="1" s="1"/>
  <c r="O761" i="1" a="1"/>
  <c r="O761" i="1" s="1"/>
  <c r="N761" i="1" a="1"/>
  <c r="N761" i="1" s="1"/>
  <c r="O774" i="1" a="1"/>
  <c r="O774" i="1" s="1"/>
  <c r="N774" i="1" a="1"/>
  <c r="N774" i="1" s="1"/>
  <c r="O780" i="1" a="1"/>
  <c r="O780" i="1" s="1"/>
  <c r="N780" i="1" a="1"/>
  <c r="N780" i="1" s="1"/>
  <c r="O575" i="1" a="1"/>
  <c r="O575" i="1" s="1"/>
  <c r="O582" i="1" a="1"/>
  <c r="O582" i="1" s="1"/>
  <c r="O596" i="1" a="1"/>
  <c r="O596" i="1" s="1"/>
  <c r="O620" i="1" a="1"/>
  <c r="O620" i="1" s="1"/>
  <c r="N620" i="1" a="1"/>
  <c r="N620" i="1" s="1"/>
  <c r="O652" i="1" a="1"/>
  <c r="O652" i="1" s="1"/>
  <c r="N652" i="1" a="1"/>
  <c r="N652" i="1" s="1"/>
  <c r="N653" i="1" a="1"/>
  <c r="N653" i="1" s="1"/>
  <c r="N683" i="1" a="1"/>
  <c r="N683" i="1" s="1"/>
  <c r="O683" i="1" a="1"/>
  <c r="O683" i="1" s="1"/>
  <c r="N710" i="1" a="1"/>
  <c r="N710" i="1" s="1"/>
  <c r="O710" i="1" a="1"/>
  <c r="O710" i="1" s="1"/>
  <c r="K501" i="1" a="1"/>
  <c r="K501" i="1" s="1"/>
  <c r="N501" i="1" s="1" a="1"/>
  <c r="N501" i="1" s="1"/>
  <c r="O555" i="1" a="1"/>
  <c r="O555" i="1" s="1"/>
  <c r="O568" i="1" a="1"/>
  <c r="O568" i="1" s="1"/>
  <c r="O573" i="1" a="1"/>
  <c r="O573" i="1" s="1"/>
  <c r="O574" i="1" a="1"/>
  <c r="O574" i="1" s="1"/>
  <c r="O593" i="1" a="1"/>
  <c r="O593" i="1" s="1"/>
  <c r="O594" i="1" a="1"/>
  <c r="O594" i="1" s="1"/>
  <c r="O601" i="1" a="1"/>
  <c r="O601" i="1" s="1"/>
  <c r="O606" i="1" a="1"/>
  <c r="O606" i="1" s="1"/>
  <c r="O615" i="1" a="1"/>
  <c r="O615" i="1" s="1"/>
  <c r="O628" i="1" a="1"/>
  <c r="O628" i="1" s="1"/>
  <c r="N628" i="1" a="1"/>
  <c r="N628" i="1" s="1"/>
  <c r="O633" i="1" a="1"/>
  <c r="O633" i="1" s="1"/>
  <c r="O638" i="1" a="1"/>
  <c r="O638" i="1" s="1"/>
  <c r="O647" i="1" a="1"/>
  <c r="O647" i="1" s="1"/>
  <c r="O660" i="1" a="1"/>
  <c r="O660" i="1" s="1"/>
  <c r="N660" i="1" a="1"/>
  <c r="N660" i="1" s="1"/>
  <c r="N691" i="1" a="1"/>
  <c r="N691" i="1" s="1"/>
  <c r="O691" i="1" a="1"/>
  <c r="O691" i="1" s="1"/>
  <c r="O721" i="1" a="1"/>
  <c r="O721" i="1" s="1"/>
  <c r="N721" i="1" a="1"/>
  <c r="N721" i="1" s="1"/>
  <c r="O737" i="1" a="1"/>
  <c r="O737" i="1" s="1"/>
  <c r="N737" i="1" a="1"/>
  <c r="N737" i="1" s="1"/>
  <c r="O753" i="1" a="1"/>
  <c r="O753" i="1" s="1"/>
  <c r="N753" i="1" a="1"/>
  <c r="N753" i="1" s="1"/>
  <c r="O772" i="1" a="1"/>
  <c r="O772" i="1" s="1"/>
  <c r="N772" i="1" a="1"/>
  <c r="N772" i="1" s="1"/>
  <c r="O554" i="1" a="1"/>
  <c r="O554" i="1" s="1"/>
  <c r="O563" i="1" a="1"/>
  <c r="O563" i="1" s="1"/>
  <c r="O564" i="1" a="1"/>
  <c r="O564" i="1" s="1"/>
  <c r="O570" i="1" a="1"/>
  <c r="O570" i="1" s="1"/>
  <c r="K589" i="1" a="1"/>
  <c r="K589" i="1" s="1"/>
  <c r="O605" i="1" a="1"/>
  <c r="O605" i="1" s="1"/>
  <c r="O610" i="1" a="1"/>
  <c r="O610" i="1" s="1"/>
  <c r="O619" i="1" a="1"/>
  <c r="O619" i="1" s="1"/>
  <c r="O632" i="1" a="1"/>
  <c r="O632" i="1" s="1"/>
  <c r="N632" i="1" a="1"/>
  <c r="N632" i="1" s="1"/>
  <c r="O637" i="1" a="1"/>
  <c r="O637" i="1" s="1"/>
  <c r="O642" i="1" a="1"/>
  <c r="O642" i="1" s="1"/>
  <c r="O651" i="1" a="1"/>
  <c r="O651" i="1" s="1"/>
  <c r="O664" i="1" a="1"/>
  <c r="O664" i="1" s="1"/>
  <c r="N664" i="1" a="1"/>
  <c r="N664" i="1" s="1"/>
  <c r="N694" i="1" a="1"/>
  <c r="N694" i="1" s="1"/>
  <c r="O694" i="1" a="1"/>
  <c r="O694" i="1" s="1"/>
  <c r="O551" i="1" a="1"/>
  <c r="O551" i="1" s="1"/>
  <c r="O552" i="1" a="1"/>
  <c r="O552" i="1" s="1"/>
  <c r="O553" i="1" a="1"/>
  <c r="O553" i="1" s="1"/>
  <c r="O559" i="1" a="1"/>
  <c r="O559" i="1" s="1"/>
  <c r="O560" i="1" a="1"/>
  <c r="O560" i="1" s="1"/>
  <c r="O565" i="1" a="1"/>
  <c r="O565" i="1" s="1"/>
  <c r="O566" i="1" a="1"/>
  <c r="O566" i="1" s="1"/>
  <c r="O591" i="1" a="1"/>
  <c r="O591" i="1" s="1"/>
  <c r="O592" i="1" a="1"/>
  <c r="O592" i="1" s="1"/>
  <c r="O599" i="1" a="1"/>
  <c r="O599" i="1" s="1"/>
  <c r="O600" i="1" a="1"/>
  <c r="O600" i="1" s="1"/>
  <c r="O604" i="1" a="1"/>
  <c r="O604" i="1" s="1"/>
  <c r="N604" i="1" a="1"/>
  <c r="N604" i="1" s="1"/>
  <c r="O609" i="1" a="1"/>
  <c r="O609" i="1" s="1"/>
  <c r="O614" i="1" a="1"/>
  <c r="O614" i="1" s="1"/>
  <c r="O623" i="1" a="1"/>
  <c r="O623" i="1" s="1"/>
  <c r="O636" i="1" a="1"/>
  <c r="O636" i="1" s="1"/>
  <c r="N636" i="1" a="1"/>
  <c r="N636" i="1" s="1"/>
  <c r="O641" i="1" a="1"/>
  <c r="O641" i="1" s="1"/>
  <c r="O646" i="1" a="1"/>
  <c r="O646" i="1" s="1"/>
  <c r="O655" i="1" a="1"/>
  <c r="O655" i="1" s="1"/>
  <c r="N696" i="1" a="1"/>
  <c r="N696" i="1" s="1"/>
  <c r="O696" i="1" a="1"/>
  <c r="O696" i="1" s="1"/>
  <c r="N697" i="1" a="1"/>
  <c r="N697" i="1" s="1"/>
  <c r="O697" i="1" a="1"/>
  <c r="O697" i="1" s="1"/>
  <c r="N700" i="1" a="1"/>
  <c r="N700" i="1" s="1"/>
  <c r="O700" i="1" a="1"/>
  <c r="O700" i="1" s="1"/>
  <c r="N702" i="1" a="1"/>
  <c r="N702" i="1" s="1"/>
  <c r="O702" i="1" a="1"/>
  <c r="O702" i="1" s="1"/>
  <c r="O769" i="1" a="1"/>
  <c r="O769" i="1" s="1"/>
  <c r="N769" i="1" a="1"/>
  <c r="N769" i="1" s="1"/>
  <c r="O770" i="1" a="1"/>
  <c r="O770" i="1" s="1"/>
  <c r="N770" i="1" a="1"/>
  <c r="N770" i="1" s="1"/>
  <c r="O782" i="1" a="1"/>
  <c r="O782" i="1" s="1"/>
  <c r="N782" i="1" a="1"/>
  <c r="N782" i="1" s="1"/>
  <c r="N813" i="1" a="1"/>
  <c r="N813" i="1" s="1"/>
  <c r="O813" i="1" a="1"/>
  <c r="O813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O542" i="1" a="1"/>
  <c r="O542" i="1" s="1"/>
  <c r="O543" i="1" a="1"/>
  <c r="O543" i="1" s="1"/>
  <c r="O544" i="1" a="1"/>
  <c r="O544" i="1" s="1"/>
  <c r="O545" i="1" a="1"/>
  <c r="O545" i="1" s="1"/>
  <c r="O546" i="1" a="1"/>
  <c r="O546" i="1" s="1"/>
  <c r="O547" i="1" a="1"/>
  <c r="O547" i="1" s="1"/>
  <c r="O562" i="1" a="1"/>
  <c r="O562" i="1" s="1"/>
  <c r="O608" i="1" a="1"/>
  <c r="O608" i="1" s="1"/>
  <c r="N608" i="1" a="1"/>
  <c r="N608" i="1" s="1"/>
  <c r="O640" i="1" a="1"/>
  <c r="O640" i="1" s="1"/>
  <c r="N640" i="1" a="1"/>
  <c r="N640" i="1" s="1"/>
  <c r="N668" i="1" a="1"/>
  <c r="N668" i="1" s="1"/>
  <c r="O668" i="1" a="1"/>
  <c r="O668" i="1" s="1"/>
  <c r="N704" i="1" a="1"/>
  <c r="N704" i="1" s="1"/>
  <c r="O704" i="1" a="1"/>
  <c r="O704" i="1" s="1"/>
  <c r="N705" i="1" a="1"/>
  <c r="N705" i="1" s="1"/>
  <c r="O705" i="1" a="1"/>
  <c r="O705" i="1" s="1"/>
  <c r="N708" i="1" a="1"/>
  <c r="N708" i="1" s="1"/>
  <c r="O708" i="1" a="1"/>
  <c r="O708" i="1" s="1"/>
  <c r="O557" i="1" a="1"/>
  <c r="O557" i="1" s="1"/>
  <c r="O612" i="1" a="1"/>
  <c r="O612" i="1" s="1"/>
  <c r="N612" i="1" a="1"/>
  <c r="N612" i="1" s="1"/>
  <c r="O644" i="1" a="1"/>
  <c r="O644" i="1" s="1"/>
  <c r="N644" i="1" a="1"/>
  <c r="N644" i="1" s="1"/>
  <c r="N667" i="1" a="1"/>
  <c r="N667" i="1" s="1"/>
  <c r="O667" i="1" a="1"/>
  <c r="O667" i="1" s="1"/>
  <c r="N709" i="1" a="1"/>
  <c r="N709" i="1" s="1"/>
  <c r="O709" i="1" a="1"/>
  <c r="O709" i="1" s="1"/>
  <c r="O713" i="1" a="1"/>
  <c r="O713" i="1" s="1"/>
  <c r="N713" i="1" a="1"/>
  <c r="N713" i="1" s="1"/>
  <c r="O729" i="1" a="1"/>
  <c r="O729" i="1" s="1"/>
  <c r="N729" i="1" a="1"/>
  <c r="N729" i="1" s="1"/>
  <c r="O745" i="1" a="1"/>
  <c r="O745" i="1" s="1"/>
  <c r="N745" i="1" a="1"/>
  <c r="N745" i="1" s="1"/>
  <c r="O785" i="1" a="1"/>
  <c r="O785" i="1" s="1"/>
  <c r="N785" i="1" a="1"/>
  <c r="N785" i="1" s="1"/>
  <c r="O786" i="1" a="1"/>
  <c r="O786" i="1" s="1"/>
  <c r="N786" i="1" a="1"/>
  <c r="N786" i="1" s="1"/>
  <c r="K678" i="1" a="1"/>
  <c r="K678" i="1" s="1"/>
  <c r="K682" i="1" a="1"/>
  <c r="K682" i="1" s="1"/>
  <c r="K686" i="1" a="1"/>
  <c r="K686" i="1" s="1"/>
  <c r="K690" i="1" a="1"/>
  <c r="K690" i="1" s="1"/>
  <c r="K695" i="1" a="1"/>
  <c r="K695" i="1" s="1"/>
  <c r="K703" i="1" a="1"/>
  <c r="K703" i="1" s="1"/>
  <c r="O809" i="1" a="1"/>
  <c r="O809" i="1" s="1"/>
  <c r="N875" i="1" a="1"/>
  <c r="N875" i="1" s="1"/>
  <c r="O875" i="1" a="1"/>
  <c r="O875" i="1" s="1"/>
  <c r="O718" i="1" a="1"/>
  <c r="O718" i="1" s="1"/>
  <c r="O726" i="1" a="1"/>
  <c r="O726" i="1" s="1"/>
  <c r="O734" i="1" a="1"/>
  <c r="O734" i="1" s="1"/>
  <c r="O742" i="1" a="1"/>
  <c r="O742" i="1" s="1"/>
  <c r="O750" i="1" a="1"/>
  <c r="O750" i="1" s="1"/>
  <c r="O758" i="1" a="1"/>
  <c r="O758" i="1" s="1"/>
  <c r="O766" i="1" a="1"/>
  <c r="O766" i="1" s="1"/>
  <c r="O808" i="1" a="1"/>
  <c r="O808" i="1" s="1"/>
  <c r="O816" i="1" a="1"/>
  <c r="O816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 s="1"/>
  <c r="K675" i="1" a="1"/>
  <c r="K675" i="1" s="1"/>
  <c r="K698" i="1" a="1"/>
  <c r="K698" i="1" s="1"/>
  <c r="K706" i="1" a="1"/>
  <c r="K706" i="1" s="1"/>
  <c r="O716" i="1" a="1"/>
  <c r="O716" i="1" s="1"/>
  <c r="O724" i="1" a="1"/>
  <c r="O724" i="1" s="1"/>
  <c r="O732" i="1" a="1"/>
  <c r="O732" i="1" s="1"/>
  <c r="O740" i="1" a="1"/>
  <c r="O740" i="1" s="1"/>
  <c r="O748" i="1" a="1"/>
  <c r="O748" i="1" s="1"/>
  <c r="O756" i="1" a="1"/>
  <c r="O756" i="1" s="1"/>
  <c r="O764" i="1" a="1"/>
  <c r="O764" i="1" s="1"/>
  <c r="O807" i="1" a="1"/>
  <c r="O807" i="1" s="1"/>
  <c r="N913" i="1" a="1"/>
  <c r="N913" i="1" s="1"/>
  <c r="O913" i="1" a="1"/>
  <c r="O913" i="1" s="1"/>
  <c r="K676" i="1" a="1"/>
  <c r="K676" i="1" s="1"/>
  <c r="K680" i="1" a="1"/>
  <c r="K680" i="1" s="1"/>
  <c r="K684" i="1" a="1"/>
  <c r="K684" i="1" s="1"/>
  <c r="K688" i="1" a="1"/>
  <c r="K688" i="1" s="1"/>
  <c r="K692" i="1" a="1"/>
  <c r="K692" i="1" s="1"/>
  <c r="K699" i="1" a="1"/>
  <c r="K699" i="1" s="1"/>
  <c r="K707" i="1" a="1"/>
  <c r="K707" i="1" s="1"/>
  <c r="O790" i="1" a="1"/>
  <c r="O790" i="1" s="1"/>
  <c r="O794" i="1" a="1"/>
  <c r="O794" i="1" s="1"/>
  <c r="O798" i="1" a="1"/>
  <c r="O798" i="1" s="1"/>
  <c r="O802" i="1" a="1"/>
  <c r="O802" i="1" s="1"/>
  <c r="O806" i="1" a="1"/>
  <c r="O806" i="1" s="1"/>
  <c r="N886" i="1" a="1"/>
  <c r="N886" i="1" s="1"/>
  <c r="O886" i="1" a="1"/>
  <c r="O886" i="1" s="1"/>
  <c r="N911" i="1" a="1"/>
  <c r="N911" i="1" s="1"/>
  <c r="O911" i="1" a="1"/>
  <c r="O911" i="1" s="1"/>
  <c r="O714" i="1" a="1"/>
  <c r="O714" i="1" s="1"/>
  <c r="O722" i="1" a="1"/>
  <c r="O722" i="1" s="1"/>
  <c r="O730" i="1" a="1"/>
  <c r="O730" i="1" s="1"/>
  <c r="O738" i="1" a="1"/>
  <c r="O738" i="1" s="1"/>
  <c r="O746" i="1" a="1"/>
  <c r="O746" i="1" s="1"/>
  <c r="O754" i="1" a="1"/>
  <c r="O754" i="1" s="1"/>
  <c r="O762" i="1" a="1"/>
  <c r="O762" i="1" s="1"/>
  <c r="O812" i="1" a="1"/>
  <c r="O812" i="1" s="1"/>
  <c r="N925" i="1" a="1"/>
  <c r="N925" i="1" s="1"/>
  <c r="O925" i="1" a="1"/>
  <c r="O925" i="1" s="1"/>
  <c r="K701" i="1" a="1"/>
  <c r="K701" i="1" s="1"/>
  <c r="O768" i="1" a="1"/>
  <c r="O768" i="1" s="1"/>
  <c r="N768" i="1" a="1"/>
  <c r="N768" i="1" s="1"/>
  <c r="O776" i="1" a="1"/>
  <c r="O776" i="1" s="1"/>
  <c r="N776" i="1" a="1"/>
  <c r="N776" i="1" s="1"/>
  <c r="O784" i="1" a="1"/>
  <c r="O784" i="1" s="1"/>
  <c r="N784" i="1" a="1"/>
  <c r="N784" i="1" s="1"/>
  <c r="O789" i="1" a="1"/>
  <c r="O789" i="1" s="1"/>
  <c r="N789" i="1" a="1"/>
  <c r="N789" i="1" s="1"/>
  <c r="O793" i="1" a="1"/>
  <c r="O793" i="1" s="1"/>
  <c r="N793" i="1" a="1"/>
  <c r="N793" i="1" s="1"/>
  <c r="O797" i="1" a="1"/>
  <c r="O797" i="1" s="1"/>
  <c r="N797" i="1" a="1"/>
  <c r="N797" i="1" s="1"/>
  <c r="O801" i="1" a="1"/>
  <c r="O801" i="1" s="1"/>
  <c r="N801" i="1" a="1"/>
  <c r="N801" i="1" s="1"/>
  <c r="O805" i="1" a="1"/>
  <c r="O805" i="1" s="1"/>
  <c r="N805" i="1" a="1"/>
  <c r="N805" i="1" s="1"/>
  <c r="N919" i="1" a="1"/>
  <c r="N919" i="1" s="1"/>
  <c r="O919" i="1" a="1"/>
  <c r="O919" i="1" s="1"/>
  <c r="N924" i="1" a="1"/>
  <c r="N924" i="1" s="1"/>
  <c r="O924" i="1" a="1"/>
  <c r="O924" i="1" s="1"/>
  <c r="N693" i="1" a="1"/>
  <c r="N693" i="1" s="1"/>
  <c r="O693" i="1" a="1"/>
  <c r="O693" i="1" s="1"/>
  <c r="O712" i="1" a="1"/>
  <c r="O712" i="1" s="1"/>
  <c r="O720" i="1" a="1"/>
  <c r="O720" i="1" s="1"/>
  <c r="O728" i="1" a="1"/>
  <c r="O728" i="1" s="1"/>
  <c r="O736" i="1" a="1"/>
  <c r="O736" i="1" s="1"/>
  <c r="O744" i="1" a="1"/>
  <c r="O744" i="1" s="1"/>
  <c r="O752" i="1" a="1"/>
  <c r="O752" i="1" s="1"/>
  <c r="O760" i="1" a="1"/>
  <c r="O760" i="1" s="1"/>
  <c r="O844" i="1" a="1"/>
  <c r="O844" i="1" s="1"/>
  <c r="O860" i="1" a="1"/>
  <c r="O860" i="1" s="1"/>
  <c r="O877" i="1" a="1"/>
  <c r="O877" i="1" s="1"/>
  <c r="O878" i="1" a="1"/>
  <c r="O878" i="1" s="1"/>
  <c r="N897" i="1" a="1"/>
  <c r="N897" i="1" s="1"/>
  <c r="O897" i="1" a="1"/>
  <c r="O897" i="1" s="1"/>
  <c r="O906" i="1" a="1"/>
  <c r="O906" i="1" s="1"/>
  <c r="N926" i="1" a="1"/>
  <c r="N926" i="1" s="1"/>
  <c r="O926" i="1" a="1"/>
  <c r="O926" i="1" s="1"/>
  <c r="N927" i="1" a="1"/>
  <c r="N927" i="1" s="1"/>
  <c r="O927" i="1" a="1"/>
  <c r="O927" i="1" s="1"/>
  <c r="O817" i="1" a="1"/>
  <c r="O817" i="1" s="1"/>
  <c r="O828" i="1" a="1"/>
  <c r="O828" i="1" s="1"/>
  <c r="N828" i="1" a="1"/>
  <c r="N828" i="1" s="1"/>
  <c r="N829" i="1" a="1"/>
  <c r="N829" i="1" s="1"/>
  <c r="O829" i="1" a="1"/>
  <c r="O829" i="1" s="1"/>
  <c r="O837" i="1" a="1"/>
  <c r="O837" i="1" s="1"/>
  <c r="N837" i="1" a="1"/>
  <c r="N837" i="1" s="1"/>
  <c r="N838" i="1" a="1"/>
  <c r="N838" i="1" s="1"/>
  <c r="O838" i="1" a="1"/>
  <c r="O838" i="1" s="1"/>
  <c r="O853" i="1" a="1"/>
  <c r="O853" i="1" s="1"/>
  <c r="N853" i="1" a="1"/>
  <c r="N853" i="1" s="1"/>
  <c r="N854" i="1" a="1"/>
  <c r="N854" i="1" s="1"/>
  <c r="O854" i="1" a="1"/>
  <c r="O854" i="1" s="1"/>
  <c r="O869" i="1" a="1"/>
  <c r="O869" i="1" s="1"/>
  <c r="N869" i="1" a="1"/>
  <c r="N869" i="1" s="1"/>
  <c r="N870" i="1" a="1"/>
  <c r="N870" i="1" s="1"/>
  <c r="O870" i="1" a="1"/>
  <c r="O870" i="1" s="1"/>
  <c r="N873" i="1" a="1"/>
  <c r="N873" i="1" s="1"/>
  <c r="O873" i="1" a="1"/>
  <c r="O873" i="1" s="1"/>
  <c r="N895" i="1" a="1"/>
  <c r="N895" i="1" s="1"/>
  <c r="O895" i="1" a="1"/>
  <c r="O895" i="1" s="1"/>
  <c r="N899" i="1" a="1"/>
  <c r="N899" i="1" s="1"/>
  <c r="O899" i="1" a="1"/>
  <c r="O899" i="1" s="1"/>
  <c r="O918" i="1" a="1"/>
  <c r="O918" i="1" s="1"/>
  <c r="O952" i="1" a="1"/>
  <c r="O952" i="1" s="1"/>
  <c r="N952" i="1" a="1"/>
  <c r="N952" i="1" s="1"/>
  <c r="O1003" i="1" a="1"/>
  <c r="O1003" i="1" s="1"/>
  <c r="N1003" i="1" a="1"/>
  <c r="N1003" i="1" s="1"/>
  <c r="K824" i="1" a="1"/>
  <c r="K824" i="1" s="1"/>
  <c r="N825" i="1" a="1"/>
  <c r="N825" i="1" s="1"/>
  <c r="O825" i="1" a="1"/>
  <c r="O825" i="1" s="1"/>
  <c r="O830" i="1" a="1"/>
  <c r="O830" i="1" s="1"/>
  <c r="O831" i="1" a="1"/>
  <c r="O831" i="1" s="1"/>
  <c r="N834" i="1" a="1"/>
  <c r="N834" i="1" s="1"/>
  <c r="O834" i="1" a="1"/>
  <c r="O834" i="1" s="1"/>
  <c r="O839" i="1" a="1"/>
  <c r="O839" i="1" s="1"/>
  <c r="K849" i="1" a="1"/>
  <c r="K849" i="1" s="1"/>
  <c r="N850" i="1" a="1"/>
  <c r="N850" i="1" s="1"/>
  <c r="O850" i="1" a="1"/>
  <c r="O850" i="1" s="1"/>
  <c r="O855" i="1" a="1"/>
  <c r="O855" i="1" s="1"/>
  <c r="K865" i="1" a="1"/>
  <c r="K865" i="1" s="1"/>
  <c r="N866" i="1" a="1"/>
  <c r="N866" i="1" s="1"/>
  <c r="O866" i="1" a="1"/>
  <c r="O866" i="1" s="1"/>
  <c r="O871" i="1" a="1"/>
  <c r="O871" i="1" s="1"/>
  <c r="N889" i="1" a="1"/>
  <c r="N889" i="1" s="1"/>
  <c r="O889" i="1" a="1"/>
  <c r="O889" i="1" s="1"/>
  <c r="O898" i="1" a="1"/>
  <c r="O898" i="1" s="1"/>
  <c r="N915" i="1" a="1"/>
  <c r="N915" i="1" s="1"/>
  <c r="O915" i="1" a="1"/>
  <c r="O915" i="1" s="1"/>
  <c r="O916" i="1" a="1"/>
  <c r="O916" i="1" s="1"/>
  <c r="O988" i="1" a="1"/>
  <c r="O988" i="1" s="1"/>
  <c r="N988" i="1" a="1"/>
  <c r="N988" i="1" s="1"/>
  <c r="O836" i="1" a="1"/>
  <c r="O836" i="1" s="1"/>
  <c r="O852" i="1" a="1"/>
  <c r="O852" i="1" s="1"/>
  <c r="O868" i="1" a="1"/>
  <c r="O868" i="1" s="1"/>
  <c r="N887" i="1" a="1"/>
  <c r="N887" i="1" s="1"/>
  <c r="O887" i="1" a="1"/>
  <c r="O887" i="1" s="1"/>
  <c r="O888" i="1" a="1"/>
  <c r="O888" i="1" s="1"/>
  <c r="K891" i="1" a="1"/>
  <c r="K891" i="1" s="1"/>
  <c r="O910" i="1" a="1"/>
  <c r="O910" i="1" s="1"/>
  <c r="N922" i="1" a="1"/>
  <c r="N922" i="1" s="1"/>
  <c r="O922" i="1" a="1"/>
  <c r="O922" i="1" s="1"/>
  <c r="N923" i="1" a="1"/>
  <c r="N923" i="1" s="1"/>
  <c r="O923" i="1" a="1"/>
  <c r="O923" i="1" s="1"/>
  <c r="K820" i="1" a="1"/>
  <c r="K820" i="1" s="1"/>
  <c r="N820" i="1" s="1" a="1"/>
  <c r="N820" i="1" s="1"/>
  <c r="N821" i="1" a="1"/>
  <c r="N821" i="1" s="1"/>
  <c r="O821" i="1" a="1"/>
  <c r="O821" i="1" s="1"/>
  <c r="O826" i="1" a="1"/>
  <c r="O826" i="1" s="1"/>
  <c r="O827" i="1" a="1"/>
  <c r="O827" i="1" s="1"/>
  <c r="O835" i="1" a="1"/>
  <c r="O835" i="1" s="1"/>
  <c r="K845" i="1" a="1"/>
  <c r="K845" i="1" s="1"/>
  <c r="N846" i="1" a="1"/>
  <c r="N846" i="1" s="1"/>
  <c r="O846" i="1" a="1"/>
  <c r="O846" i="1" s="1"/>
  <c r="O851" i="1" a="1"/>
  <c r="O851" i="1" s="1"/>
  <c r="K861" i="1" a="1"/>
  <c r="K861" i="1" s="1"/>
  <c r="N862" i="1" a="1"/>
  <c r="N862" i="1" s="1"/>
  <c r="O862" i="1" a="1"/>
  <c r="O862" i="1" s="1"/>
  <c r="O867" i="1" a="1"/>
  <c r="O867" i="1" s="1"/>
  <c r="O885" i="1" a="1"/>
  <c r="O885" i="1" s="1"/>
  <c r="N905" i="1" a="1"/>
  <c r="N905" i="1" s="1"/>
  <c r="O905" i="1" a="1"/>
  <c r="O905" i="1" s="1"/>
  <c r="O914" i="1" a="1"/>
  <c r="O914" i="1" s="1"/>
  <c r="O971" i="1" a="1"/>
  <c r="O971" i="1" s="1"/>
  <c r="N971" i="1" a="1"/>
  <c r="N971" i="1" s="1"/>
  <c r="O848" i="1" a="1"/>
  <c r="O848" i="1" s="1"/>
  <c r="O864" i="1" a="1"/>
  <c r="O864" i="1" s="1"/>
  <c r="N881" i="1" a="1"/>
  <c r="N881" i="1" s="1"/>
  <c r="O881" i="1" a="1"/>
  <c r="O881" i="1" s="1"/>
  <c r="N903" i="1" a="1"/>
  <c r="N903" i="1" s="1"/>
  <c r="O903" i="1" a="1"/>
  <c r="O903" i="1" s="1"/>
  <c r="O904" i="1" a="1"/>
  <c r="O904" i="1" s="1"/>
  <c r="K907" i="1" a="1"/>
  <c r="K907" i="1" s="1"/>
  <c r="N920" i="1" a="1"/>
  <c r="N920" i="1" s="1"/>
  <c r="O920" i="1" a="1"/>
  <c r="O920" i="1" s="1"/>
  <c r="N921" i="1" a="1"/>
  <c r="N921" i="1" s="1"/>
  <c r="O921" i="1" a="1"/>
  <c r="O921" i="1" s="1"/>
  <c r="N928" i="1" a="1"/>
  <c r="N928" i="1" s="1"/>
  <c r="O928" i="1" a="1"/>
  <c r="O928" i="1" s="1"/>
  <c r="N929" i="1" a="1"/>
  <c r="N929" i="1" s="1"/>
  <c r="O929" i="1" a="1"/>
  <c r="O929" i="1" s="1"/>
  <c r="N932" i="1" a="1"/>
  <c r="N932" i="1" s="1"/>
  <c r="O932" i="1" a="1"/>
  <c r="O932" i="1" s="1"/>
  <c r="O1035" i="1" a="1"/>
  <c r="O1035" i="1" s="1"/>
  <c r="N1035" i="1" a="1"/>
  <c r="N1035" i="1" s="1"/>
  <c r="O820" i="1" a="1"/>
  <c r="O820" i="1" s="1"/>
  <c r="O822" i="1" a="1"/>
  <c r="O822" i="1" s="1"/>
  <c r="K832" i="1" a="1"/>
  <c r="K832" i="1" s="1"/>
  <c r="K841" i="1" a="1"/>
  <c r="K841" i="1" s="1"/>
  <c r="N842" i="1" a="1"/>
  <c r="N842" i="1" s="1"/>
  <c r="O842" i="1" a="1"/>
  <c r="O842" i="1" s="1"/>
  <c r="O847" i="1" a="1"/>
  <c r="O847" i="1" s="1"/>
  <c r="O857" i="1" a="1"/>
  <c r="O857" i="1" s="1"/>
  <c r="N857" i="1" a="1"/>
  <c r="N857" i="1" s="1"/>
  <c r="N858" i="1" a="1"/>
  <c r="N858" i="1" s="1"/>
  <c r="O858" i="1" a="1"/>
  <c r="O858" i="1" s="1"/>
  <c r="N879" i="1" a="1"/>
  <c r="N879" i="1" s="1"/>
  <c r="O879" i="1" a="1"/>
  <c r="O879" i="1" s="1"/>
  <c r="N883" i="1" a="1"/>
  <c r="N883" i="1" s="1"/>
  <c r="O883" i="1" a="1"/>
  <c r="O883" i="1" s="1"/>
  <c r="O901" i="1" a="1"/>
  <c r="O901" i="1" s="1"/>
  <c r="O902" i="1" a="1"/>
  <c r="O902" i="1" s="1"/>
  <c r="O956" i="1" a="1"/>
  <c r="O956" i="1" s="1"/>
  <c r="N956" i="1" a="1"/>
  <c r="N956" i="1" s="1"/>
  <c r="O1020" i="1" a="1"/>
  <c r="O1020" i="1" s="1"/>
  <c r="N1020" i="1" a="1"/>
  <c r="N1020" i="1" s="1"/>
  <c r="N1083" i="1" a="1"/>
  <c r="N1083" i="1" s="1"/>
  <c r="O1083" i="1" a="1"/>
  <c r="O1083" i="1" s="1"/>
  <c r="K938" i="1" a="1"/>
  <c r="K938" i="1" s="1"/>
  <c r="N938" i="1" s="1" a="1"/>
  <c r="N938" i="1" s="1"/>
  <c r="O939" i="1" a="1"/>
  <c r="O939" i="1" s="1"/>
  <c r="N940" i="1" a="1"/>
  <c r="N940" i="1" s="1"/>
  <c r="K950" i="1" a="1"/>
  <c r="K950" i="1" s="1"/>
  <c r="N950" i="1" s="1" a="1"/>
  <c r="N950" i="1" s="1"/>
  <c r="K954" i="1" a="1"/>
  <c r="K954" i="1" s="1"/>
  <c r="N954" i="1" s="1" a="1"/>
  <c r="N954" i="1" s="1"/>
  <c r="O958" i="1" a="1"/>
  <c r="O958" i="1" s="1"/>
  <c r="O969" i="1" a="1"/>
  <c r="O969" i="1" s="1"/>
  <c r="K979" i="1" a="1"/>
  <c r="K979" i="1" s="1"/>
  <c r="N980" i="1" a="1"/>
  <c r="N980" i="1" s="1"/>
  <c r="K986" i="1" a="1"/>
  <c r="K986" i="1" s="1"/>
  <c r="N986" i="1" s="1" a="1"/>
  <c r="N986" i="1" s="1"/>
  <c r="O990" i="1" a="1"/>
  <c r="O990" i="1" s="1"/>
  <c r="O1001" i="1" a="1"/>
  <c r="O1001" i="1" s="1"/>
  <c r="K1011" i="1" a="1"/>
  <c r="K1011" i="1" s="1"/>
  <c r="N1012" i="1" a="1"/>
  <c r="N1012" i="1" s="1"/>
  <c r="K1018" i="1" a="1"/>
  <c r="K1018" i="1" s="1"/>
  <c r="N1018" i="1" s="1" a="1"/>
  <c r="N1018" i="1" s="1"/>
  <c r="O1022" i="1" a="1"/>
  <c r="O1022" i="1" s="1"/>
  <c r="O1033" i="1" a="1"/>
  <c r="O1033" i="1" s="1"/>
  <c r="K1043" i="1" a="1"/>
  <c r="K1043" i="1" s="1"/>
  <c r="N1044" i="1" a="1"/>
  <c r="N1044" i="1" s="1"/>
  <c r="K1051" i="1" a="1"/>
  <c r="K1051" i="1" s="1"/>
  <c r="N1051" i="1" s="1" a="1"/>
  <c r="N1051" i="1" s="1"/>
  <c r="K1070" i="1" a="1"/>
  <c r="K1070" i="1" s="1"/>
  <c r="N1070" i="1" s="1" a="1"/>
  <c r="N1070" i="1" s="1"/>
  <c r="N1087" i="1" a="1"/>
  <c r="N1087" i="1" s="1"/>
  <c r="O1087" i="1" a="1"/>
  <c r="O1087" i="1" s="1"/>
  <c r="K943" i="1" a="1"/>
  <c r="K943" i="1" s="1"/>
  <c r="O945" i="1" a="1"/>
  <c r="O945" i="1" s="1"/>
  <c r="O950" i="1" a="1"/>
  <c r="O950" i="1" s="1"/>
  <c r="O965" i="1" a="1"/>
  <c r="O965" i="1" s="1"/>
  <c r="K975" i="1" a="1"/>
  <c r="K975" i="1" s="1"/>
  <c r="N976" i="1" a="1"/>
  <c r="N976" i="1" s="1"/>
  <c r="O997" i="1" a="1"/>
  <c r="O997" i="1" s="1"/>
  <c r="K1007" i="1" a="1"/>
  <c r="K1007" i="1" s="1"/>
  <c r="N1008" i="1" a="1"/>
  <c r="N1008" i="1" s="1"/>
  <c r="O1029" i="1" a="1"/>
  <c r="O1029" i="1" s="1"/>
  <c r="K1039" i="1" a="1"/>
  <c r="K1039" i="1" s="1"/>
  <c r="N1040" i="1" a="1"/>
  <c r="N1040" i="1" s="1"/>
  <c r="O1055" i="1" a="1"/>
  <c r="O1055" i="1" s="1"/>
  <c r="N1111" i="1" a="1"/>
  <c r="N1111" i="1" s="1"/>
  <c r="O1111" i="1" a="1"/>
  <c r="O1111" i="1" s="1"/>
  <c r="O937" i="1" a="1"/>
  <c r="O937" i="1" s="1"/>
  <c r="K942" i="1" a="1"/>
  <c r="K942" i="1" s="1"/>
  <c r="N942" i="1" s="1" a="1"/>
  <c r="N942" i="1" s="1"/>
  <c r="O967" i="1" a="1"/>
  <c r="O967" i="1" s="1"/>
  <c r="N967" i="1" a="1"/>
  <c r="N967" i="1" s="1"/>
  <c r="N968" i="1" a="1"/>
  <c r="N968" i="1" s="1"/>
  <c r="K974" i="1" a="1"/>
  <c r="K974" i="1" s="1"/>
  <c r="N974" i="1" s="1" a="1"/>
  <c r="N974" i="1" s="1"/>
  <c r="O978" i="1" a="1"/>
  <c r="O978" i="1" s="1"/>
  <c r="O999" i="1" a="1"/>
  <c r="O999" i="1" s="1"/>
  <c r="N999" i="1" a="1"/>
  <c r="N999" i="1" s="1"/>
  <c r="N1000" i="1" a="1"/>
  <c r="N1000" i="1" s="1"/>
  <c r="K1006" i="1" a="1"/>
  <c r="K1006" i="1" s="1"/>
  <c r="N1006" i="1" s="1" a="1"/>
  <c r="N1006" i="1" s="1"/>
  <c r="O1010" i="1" a="1"/>
  <c r="O1010" i="1" s="1"/>
  <c r="O1031" i="1" a="1"/>
  <c r="O1031" i="1" s="1"/>
  <c r="N1031" i="1" a="1"/>
  <c r="N1031" i="1" s="1"/>
  <c r="K1038" i="1" a="1"/>
  <c r="K1038" i="1" s="1"/>
  <c r="N1038" i="1" s="1" a="1"/>
  <c r="N1038" i="1" s="1"/>
  <c r="O1042" i="1" a="1"/>
  <c r="O1042" i="1" s="1"/>
  <c r="O1050" i="1" a="1"/>
  <c r="O1050" i="1" s="1"/>
  <c r="K931" i="1" a="1"/>
  <c r="K931" i="1" s="1"/>
  <c r="O942" i="1" a="1"/>
  <c r="O942" i="1" s="1"/>
  <c r="K947" i="1" a="1"/>
  <c r="K947" i="1" s="1"/>
  <c r="K963" i="1" a="1"/>
  <c r="K963" i="1" s="1"/>
  <c r="K970" i="1" a="1"/>
  <c r="K970" i="1" s="1"/>
  <c r="N970" i="1" s="1" a="1"/>
  <c r="N970" i="1" s="1"/>
  <c r="O974" i="1" a="1"/>
  <c r="O974" i="1" s="1"/>
  <c r="O985" i="1" a="1"/>
  <c r="O985" i="1" s="1"/>
  <c r="K995" i="1" a="1"/>
  <c r="K995" i="1" s="1"/>
  <c r="K1002" i="1" a="1"/>
  <c r="K1002" i="1" s="1"/>
  <c r="N1002" i="1" s="1" a="1"/>
  <c r="N1002" i="1" s="1"/>
  <c r="O1017" i="1" a="1"/>
  <c r="O1017" i="1" s="1"/>
  <c r="K1027" i="1" a="1"/>
  <c r="K1027" i="1" s="1"/>
  <c r="K1034" i="1" a="1"/>
  <c r="K1034" i="1" s="1"/>
  <c r="N1034" i="1" s="1" a="1"/>
  <c r="N1034" i="1" s="1"/>
  <c r="O1038" i="1" a="1"/>
  <c r="O1038" i="1" s="1"/>
  <c r="K1057" i="1" a="1"/>
  <c r="K1057" i="1" s="1"/>
  <c r="N1057" i="1" s="1" a="1"/>
  <c r="N1057" i="1" s="1"/>
  <c r="N1103" i="1" a="1"/>
  <c r="N1103" i="1" s="1"/>
  <c r="O1103" i="1" a="1"/>
  <c r="O1103" i="1" s="1"/>
  <c r="O930" i="1" a="1"/>
  <c r="O930" i="1" s="1"/>
  <c r="O935" i="1" a="1"/>
  <c r="O935" i="1" s="1"/>
  <c r="K959" i="1" a="1"/>
  <c r="K959" i="1" s="1"/>
  <c r="O970" i="1" a="1"/>
  <c r="O970" i="1" s="1"/>
  <c r="O981" i="1" a="1"/>
  <c r="O981" i="1" s="1"/>
  <c r="K991" i="1" a="1"/>
  <c r="K991" i="1" s="1"/>
  <c r="O1002" i="1" a="1"/>
  <c r="O1002" i="1" s="1"/>
  <c r="O1013" i="1" a="1"/>
  <c r="O1013" i="1" s="1"/>
  <c r="K1023" i="1" a="1"/>
  <c r="K1023" i="1" s="1"/>
  <c r="O1034" i="1" a="1"/>
  <c r="O1034" i="1" s="1"/>
  <c r="O1045" i="1" a="1"/>
  <c r="O1045" i="1" s="1"/>
  <c r="N1063" i="1" a="1"/>
  <c r="N1063" i="1" s="1"/>
  <c r="O1063" i="1" a="1"/>
  <c r="O1063" i="1" s="1"/>
  <c r="O933" i="1" a="1"/>
  <c r="O933" i="1" s="1"/>
  <c r="O934" i="1" a="1"/>
  <c r="O934" i="1" s="1"/>
  <c r="O941" i="1" a="1"/>
  <c r="O941" i="1" s="1"/>
  <c r="K946" i="1" a="1"/>
  <c r="K946" i="1" s="1"/>
  <c r="N946" i="1" s="1" a="1"/>
  <c r="N946" i="1" s="1"/>
  <c r="N948" i="1" a="1"/>
  <c r="N948" i="1" s="1"/>
  <c r="O951" i="1" a="1"/>
  <c r="O951" i="1" s="1"/>
  <c r="N951" i="1" a="1"/>
  <c r="N951" i="1" s="1"/>
  <c r="O955" i="1" a="1"/>
  <c r="O955" i="1" s="1"/>
  <c r="N955" i="1" a="1"/>
  <c r="N955" i="1" s="1"/>
  <c r="K962" i="1" a="1"/>
  <c r="K962" i="1" s="1"/>
  <c r="N962" i="1" s="1" a="1"/>
  <c r="N962" i="1" s="1"/>
  <c r="O966" i="1" a="1"/>
  <c r="O966" i="1" s="1"/>
  <c r="O987" i="1" a="1"/>
  <c r="O987" i="1" s="1"/>
  <c r="N987" i="1" a="1"/>
  <c r="N987" i="1" s="1"/>
  <c r="K994" i="1" a="1"/>
  <c r="K994" i="1" s="1"/>
  <c r="N994" i="1" s="1" a="1"/>
  <c r="N994" i="1" s="1"/>
  <c r="O998" i="1" a="1"/>
  <c r="O998" i="1" s="1"/>
  <c r="O1019" i="1" a="1"/>
  <c r="O1019" i="1" s="1"/>
  <c r="N1019" i="1" a="1"/>
  <c r="N1019" i="1" s="1"/>
  <c r="K1026" i="1" a="1"/>
  <c r="K1026" i="1" s="1"/>
  <c r="N1026" i="1" s="1" a="1"/>
  <c r="N1026" i="1" s="1"/>
  <c r="O1030" i="1" a="1"/>
  <c r="O1030" i="1" s="1"/>
  <c r="N1071" i="1" a="1"/>
  <c r="N1071" i="1" s="1"/>
  <c r="O1071" i="1" a="1"/>
  <c r="O1071" i="1" s="1"/>
  <c r="N1119" i="1" a="1"/>
  <c r="N1119" i="1" s="1"/>
  <c r="O1119" i="1" a="1"/>
  <c r="O1119" i="1" s="1"/>
  <c r="O962" i="1" a="1"/>
  <c r="O962" i="1" s="1"/>
  <c r="O983" i="1" a="1"/>
  <c r="O983" i="1" s="1"/>
  <c r="N983" i="1" a="1"/>
  <c r="N983" i="1" s="1"/>
  <c r="O994" i="1" a="1"/>
  <c r="O994" i="1" s="1"/>
  <c r="O1015" i="1" a="1"/>
  <c r="O1015" i="1" s="1"/>
  <c r="N1015" i="1" a="1"/>
  <c r="N1015" i="1" s="1"/>
  <c r="O1047" i="1" a="1"/>
  <c r="O1047" i="1" s="1"/>
  <c r="N1047" i="1" a="1"/>
  <c r="N1047" i="1" s="1"/>
  <c r="N1067" i="1" a="1"/>
  <c r="N1067" i="1" s="1"/>
  <c r="O1067" i="1" a="1"/>
  <c r="O1067" i="1" s="1"/>
  <c r="O1053" i="1" a="1"/>
  <c r="O1053" i="1" s="1"/>
  <c r="O1060" i="1" a="1"/>
  <c r="O1060" i="1" s="1"/>
  <c r="O1062" i="1" a="1"/>
  <c r="O1062" i="1" s="1"/>
  <c r="O1084" i="1" a="1"/>
  <c r="O1084" i="1" s="1"/>
  <c r="O1085" i="1" a="1"/>
  <c r="O1085" i="1" s="1"/>
  <c r="O1137" i="1" a="1"/>
  <c r="O1137" i="1" s="1"/>
  <c r="O1054" i="1" a="1"/>
  <c r="O1054" i="1" s="1"/>
  <c r="O1088" i="1" a="1"/>
  <c r="O1088" i="1" s="1"/>
  <c r="N1101" i="1" a="1"/>
  <c r="N1101" i="1" s="1"/>
  <c r="O1101" i="1" a="1"/>
  <c r="O1101" i="1" s="1"/>
  <c r="N1109" i="1" a="1"/>
  <c r="N1109" i="1" s="1"/>
  <c r="O1109" i="1" a="1"/>
  <c r="O1109" i="1" s="1"/>
  <c r="N1117" i="1" a="1"/>
  <c r="N1117" i="1" s="1"/>
  <c r="O1117" i="1" a="1"/>
  <c r="O1117" i="1" s="1"/>
  <c r="O1056" i="1" a="1"/>
  <c r="O1056" i="1" s="1"/>
  <c r="K1058" i="1" a="1"/>
  <c r="K1058" i="1" s="1"/>
  <c r="N1058" i="1" s="1" a="1"/>
  <c r="N1058" i="1" s="1"/>
  <c r="O1064" i="1" a="1"/>
  <c r="O1064" i="1" s="1"/>
  <c r="K1069" i="1" a="1"/>
  <c r="K1069" i="1" s="1"/>
  <c r="N1069" i="1" s="1" a="1"/>
  <c r="N1069" i="1" s="1"/>
  <c r="K1074" i="1" a="1"/>
  <c r="K1074" i="1" s="1"/>
  <c r="N1074" i="1" s="1" a="1"/>
  <c r="N1074" i="1" s="1"/>
  <c r="K1075" i="1" a="1"/>
  <c r="K1075" i="1" s="1"/>
  <c r="O1099" i="1" a="1"/>
  <c r="O1099" i="1" s="1"/>
  <c r="O1105" i="1" a="1"/>
  <c r="O1105" i="1" s="1"/>
  <c r="O1107" i="1" a="1"/>
  <c r="O1107" i="1" s="1"/>
  <c r="O1113" i="1" a="1"/>
  <c r="O1113" i="1" s="1"/>
  <c r="O1115" i="1" a="1"/>
  <c r="O1115" i="1" s="1"/>
  <c r="N1121" i="1" a="1"/>
  <c r="N1121" i="1" s="1"/>
  <c r="O1121" i="1" a="1"/>
  <c r="O1121" i="1" s="1"/>
  <c r="O1057" i="1" a="1"/>
  <c r="O1057" i="1" s="1"/>
  <c r="O1058" i="1" a="1"/>
  <c r="O1058" i="1" s="1"/>
  <c r="K1059" i="1" a="1"/>
  <c r="K1059" i="1" s="1"/>
  <c r="O1068" i="1" a="1"/>
  <c r="O1068" i="1" s="1"/>
  <c r="K1073" i="1" a="1"/>
  <c r="K1073" i="1" s="1"/>
  <c r="N1073" i="1" s="1" a="1"/>
  <c r="N1073" i="1" s="1"/>
  <c r="K1078" i="1" a="1"/>
  <c r="K1078" i="1" s="1"/>
  <c r="N1078" i="1" s="1" a="1"/>
  <c r="N1078" i="1" s="1"/>
  <c r="K1079" i="1" a="1"/>
  <c r="K1079" i="1" s="1"/>
  <c r="N1093" i="1" a="1"/>
  <c r="N1093" i="1" s="1"/>
  <c r="O1093" i="1" a="1"/>
  <c r="O1093" i="1" s="1"/>
  <c r="O1102" i="1" a="1"/>
  <c r="O1102" i="1" s="1"/>
  <c r="O1104" i="1" a="1"/>
  <c r="O1104" i="1" s="1"/>
  <c r="O1110" i="1" a="1"/>
  <c r="O1110" i="1" s="1"/>
  <c r="O1112" i="1" a="1"/>
  <c r="O1112" i="1" s="1"/>
  <c r="O1118" i="1" a="1"/>
  <c r="O1118" i="1" s="1"/>
  <c r="O1072" i="1" a="1"/>
  <c r="O1072" i="1" s="1"/>
  <c r="K1077" i="1" a="1"/>
  <c r="K1077" i="1" s="1"/>
  <c r="N1077" i="1" s="1" a="1"/>
  <c r="N1077" i="1" s="1"/>
  <c r="O1078" i="1" a="1"/>
  <c r="O1078" i="1" s="1"/>
  <c r="K1082" i="1" a="1"/>
  <c r="K1082" i="1" s="1"/>
  <c r="N1082" i="1" s="1" a="1"/>
  <c r="N1082" i="1" s="1"/>
  <c r="O1092" i="1" a="1"/>
  <c r="O1092" i="1" s="1"/>
  <c r="O1051" i="1" a="1"/>
  <c r="O1051" i="1" s="1"/>
  <c r="O1076" i="1" a="1"/>
  <c r="O1076" i="1" s="1"/>
  <c r="O1077" i="1" a="1"/>
  <c r="O1077" i="1" s="1"/>
  <c r="O1082" i="1" a="1"/>
  <c r="O1082" i="1" s="1"/>
  <c r="K1086" i="1" a="1"/>
  <c r="K1086" i="1" s="1"/>
  <c r="N1086" i="1" s="1" a="1"/>
  <c r="N1086" i="1" s="1"/>
  <c r="K1095" i="1" a="1"/>
  <c r="K1095" i="1" s="1"/>
  <c r="O1124" i="1" a="1"/>
  <c r="O1124" i="1" s="1"/>
  <c r="N1124" i="1" a="1"/>
  <c r="N1124" i="1" s="1"/>
  <c r="O1052" i="1" a="1"/>
  <c r="O1052" i="1" s="1"/>
  <c r="K1062" i="1" a="1"/>
  <c r="K1062" i="1" s="1"/>
  <c r="N1062" i="1" s="1" a="1"/>
  <c r="N1062" i="1" s="1"/>
  <c r="O1080" i="1" a="1"/>
  <c r="O1080" i="1" s="1"/>
  <c r="O1086" i="1" a="1"/>
  <c r="O1086" i="1" s="1"/>
  <c r="O1126" i="1" a="1"/>
  <c r="O1126" i="1" s="1"/>
  <c r="O1129" i="1" a="1"/>
  <c r="O1129" i="1" s="1"/>
  <c r="O1146" i="1" a="1"/>
  <c r="O1146" i="1" s="1"/>
  <c r="O1128" i="1" a="1"/>
  <c r="O1128" i="1" s="1"/>
  <c r="O1140" i="1" a="1"/>
  <c r="O1140" i="1" s="1"/>
  <c r="O1145" i="1" a="1"/>
  <c r="O1145" i="1" s="1"/>
  <c r="N1145" i="1" a="1"/>
  <c r="N1145" i="1" s="1"/>
  <c r="O1155" i="1" a="1"/>
  <c r="O1155" i="1" s="1"/>
  <c r="O1120" i="1" a="1"/>
  <c r="O1120" i="1" s="1"/>
  <c r="O1132" i="1" a="1"/>
  <c r="O1132" i="1" s="1"/>
  <c r="O1138" i="1" a="1"/>
  <c r="O1138" i="1" s="1"/>
  <c r="O1149" i="1" a="1"/>
  <c r="O1149" i="1" s="1"/>
  <c r="N1149" i="1" a="1"/>
  <c r="N1149" i="1" s="1"/>
  <c r="O1134" i="1" a="1"/>
  <c r="O1134" i="1" s="1"/>
  <c r="O1154" i="1" a="1"/>
  <c r="O1154" i="1" s="1"/>
  <c r="O1148" i="1" a="1"/>
  <c r="O1148" i="1" s="1"/>
  <c r="O1153" i="1" a="1"/>
  <c r="O1153" i="1" s="1"/>
  <c r="N1153" i="1" a="1"/>
  <c r="N1153" i="1" s="1"/>
  <c r="N1229" i="1" a="1"/>
  <c r="N1229" i="1" s="1"/>
  <c r="O1229" i="1" a="1"/>
  <c r="O1229" i="1" s="1"/>
  <c r="O1142" i="1" a="1"/>
  <c r="O1142" i="1" s="1"/>
  <c r="O1156" i="1" a="1"/>
  <c r="O1156" i="1" s="1"/>
  <c r="K1179" i="1" a="1"/>
  <c r="K1179" i="1" s="1"/>
  <c r="N1179" i="1" s="1" a="1"/>
  <c r="N1179" i="1" s="1"/>
  <c r="O1141" i="1" a="1"/>
  <c r="O1141" i="1" s="1"/>
  <c r="N1141" i="1" a="1"/>
  <c r="N1141" i="1" s="1"/>
  <c r="O1176" i="1" a="1"/>
  <c r="O1176" i="1" s="1"/>
  <c r="O1184" i="1" a="1"/>
  <c r="O1184" i="1" s="1"/>
  <c r="K1188" i="1" a="1"/>
  <c r="K1188" i="1" s="1"/>
  <c r="N1188" i="1" s="1" a="1"/>
  <c r="N1188" i="1" s="1"/>
  <c r="O1189" i="1" a="1"/>
  <c r="O1189" i="1" s="1"/>
  <c r="O1193" i="1" a="1"/>
  <c r="O1193" i="1" s="1"/>
  <c r="O1197" i="1" a="1"/>
  <c r="O1197" i="1" s="1"/>
  <c r="O1201" i="1" a="1"/>
  <c r="O1201" i="1" s="1"/>
  <c r="O1205" i="1" a="1"/>
  <c r="O1205" i="1" s="1"/>
  <c r="O1209" i="1" a="1"/>
  <c r="O1209" i="1" s="1"/>
  <c r="O1213" i="1" a="1"/>
  <c r="O1213" i="1" s="1"/>
  <c r="O1221" i="1" a="1"/>
  <c r="O1221" i="1" s="1"/>
  <c r="K1240" i="1" a="1"/>
  <c r="K1240" i="1" s="1"/>
  <c r="O1249" i="1" a="1"/>
  <c r="O1249" i="1" s="1"/>
  <c r="N1265" i="1" a="1"/>
  <c r="N1265" i="1" s="1"/>
  <c r="O1265" i="1" a="1"/>
  <c r="O1265" i="1" s="1"/>
  <c r="O1183" i="1" a="1"/>
  <c r="O1183" i="1" s="1"/>
  <c r="O1188" i="1" a="1"/>
  <c r="O1188" i="1" s="1"/>
  <c r="N1237" i="1" a="1"/>
  <c r="N1237" i="1" s="1"/>
  <c r="O1237" i="1" a="1"/>
  <c r="O1237" i="1" s="1"/>
  <c r="N1253" i="1" a="1"/>
  <c r="N1253" i="1" s="1"/>
  <c r="O1253" i="1" a="1"/>
  <c r="O1253" i="1" s="1"/>
  <c r="O1181" i="1" a="1"/>
  <c r="O1181" i="1" s="1"/>
  <c r="O1192" i="1" a="1"/>
  <c r="O1192" i="1" s="1"/>
  <c r="O1196" i="1" a="1"/>
  <c r="O1196" i="1" s="1"/>
  <c r="O1200" i="1" a="1"/>
  <c r="O1200" i="1" s="1"/>
  <c r="O1204" i="1" a="1"/>
  <c r="O1204" i="1" s="1"/>
  <c r="O1208" i="1" a="1"/>
  <c r="O1208" i="1" s="1"/>
  <c r="O1212" i="1" a="1"/>
  <c r="O1212" i="1" s="1"/>
  <c r="O1220" i="1" a="1"/>
  <c r="O1220" i="1" s="1"/>
  <c r="O1242" i="1" a="1"/>
  <c r="O1242" i="1" s="1"/>
  <c r="N1261" i="1" a="1"/>
  <c r="N1261" i="1" s="1"/>
  <c r="O1261" i="1" a="1"/>
  <c r="O1261" i="1" s="1"/>
  <c r="O1180" i="1" a="1"/>
  <c r="O1180" i="1" s="1"/>
  <c r="O1187" i="1" a="1"/>
  <c r="O1187" i="1" s="1"/>
  <c r="O1191" i="1" a="1"/>
  <c r="O1191" i="1" s="1"/>
  <c r="O1195" i="1" a="1"/>
  <c r="O1195" i="1" s="1"/>
  <c r="O1199" i="1" a="1"/>
  <c r="O1199" i="1" s="1"/>
  <c r="O1203" i="1" a="1"/>
  <c r="O1203" i="1" s="1"/>
  <c r="O1207" i="1" a="1"/>
  <c r="O1207" i="1" s="1"/>
  <c r="O1211" i="1" a="1"/>
  <c r="O1211" i="1" s="1"/>
  <c r="O1217" i="1" a="1"/>
  <c r="O1217" i="1" s="1"/>
  <c r="O1225" i="1" a="1"/>
  <c r="O1225" i="1" s="1"/>
  <c r="O1238" i="1" a="1"/>
  <c r="O1238" i="1" s="1"/>
  <c r="O1179" i="1" a="1"/>
  <c r="O1179" i="1" s="1"/>
  <c r="O1218" i="1" a="1"/>
  <c r="O1218" i="1" s="1"/>
  <c r="O1226" i="1" a="1"/>
  <c r="O1226" i="1" s="1"/>
  <c r="K1245" i="1" a="1"/>
  <c r="K1245" i="1" s="1"/>
  <c r="K1248" i="1" a="1"/>
  <c r="K1248" i="1" s="1"/>
  <c r="N1248" i="1" s="1" a="1"/>
  <c r="N1248" i="1" s="1"/>
  <c r="O1178" i="1" a="1"/>
  <c r="O1178" i="1" s="1"/>
  <c r="O1186" i="1" a="1"/>
  <c r="O1186" i="1" s="1"/>
  <c r="O1215" i="1" a="1"/>
  <c r="O1215" i="1" s="1"/>
  <c r="O1223" i="1" a="1"/>
  <c r="O1223" i="1" s="1"/>
  <c r="O1268" i="1" a="1"/>
  <c r="O1268" i="1" s="1"/>
  <c r="O1177" i="1" a="1"/>
  <c r="O1177" i="1" s="1"/>
  <c r="O1185" i="1" a="1"/>
  <c r="O1185" i="1" s="1"/>
  <c r="O1190" i="1" a="1"/>
  <c r="O1190" i="1" s="1"/>
  <c r="O1194" i="1" a="1"/>
  <c r="O1194" i="1" s="1"/>
  <c r="O1198" i="1" a="1"/>
  <c r="O1198" i="1" s="1"/>
  <c r="O1202" i="1" a="1"/>
  <c r="O1202" i="1" s="1"/>
  <c r="O1206" i="1" a="1"/>
  <c r="O1206" i="1" s="1"/>
  <c r="O1210" i="1" a="1"/>
  <c r="O1210" i="1" s="1"/>
  <c r="O1256" i="1" a="1"/>
  <c r="O1256" i="1" s="1"/>
  <c r="N1257" i="1" a="1"/>
  <c r="N1257" i="1" s="1"/>
  <c r="O1257" i="1" a="1"/>
  <c r="O1257" i="1" s="1"/>
  <c r="K1243" i="1" a="1"/>
  <c r="K1243" i="1" s="1"/>
  <c r="N1243" i="1" s="1" a="1"/>
  <c r="N1243" i="1" s="1"/>
  <c r="K1244" i="1" a="1"/>
  <c r="K1244" i="1" s="1"/>
  <c r="O1247" i="1" a="1"/>
  <c r="O1247" i="1" s="1"/>
  <c r="O1283" i="1" a="1"/>
  <c r="O1283" i="1" s="1"/>
  <c r="K1227" i="1" a="1"/>
  <c r="K1227" i="1" s="1"/>
  <c r="N1227" i="1" s="1" a="1"/>
  <c r="N1227" i="1" s="1"/>
  <c r="K1236" i="1" a="1"/>
  <c r="K1236" i="1" s="1"/>
  <c r="N1236" i="1" s="1" a="1"/>
  <c r="N1236" i="1" s="1"/>
  <c r="O1239" i="1" a="1"/>
  <c r="O1239" i="1" s="1"/>
  <c r="N1252" i="1" a="1"/>
  <c r="N1252" i="1" s="1"/>
  <c r="K1269" i="1" a="1"/>
  <c r="K1269" i="1" s="1"/>
  <c r="O1279" i="1" a="1"/>
  <c r="O1279" i="1" s="1"/>
  <c r="O1262" i="1" a="1"/>
  <c r="O1262" i="1" s="1"/>
  <c r="K1263" i="1" a="1"/>
  <c r="K1263" i="1" s="1"/>
  <c r="N1263" i="1" s="1" a="1"/>
  <c r="N1263" i="1" s="1"/>
  <c r="K1264" i="1" a="1"/>
  <c r="K1264" i="1" s="1"/>
  <c r="K1272" i="1" a="1"/>
  <c r="K1272" i="1" s="1"/>
  <c r="N1272" i="1" s="1" a="1"/>
  <c r="N1272" i="1" s="1"/>
  <c r="K1228" i="1" a="1"/>
  <c r="K1228" i="1" s="1"/>
  <c r="O1258" i="1" a="1"/>
  <c r="O1258" i="1" s="1"/>
  <c r="K1260" i="1" a="1"/>
  <c r="K1260" i="1" s="1"/>
  <c r="N1260" i="1" s="1" a="1"/>
  <c r="N1260" i="1" s="1"/>
  <c r="O1263" i="1" a="1"/>
  <c r="O1263" i="1" s="1"/>
  <c r="O1276" i="1" a="1"/>
  <c r="O1276" i="1" s="1"/>
  <c r="O1290" i="1" a="1"/>
  <c r="O1290" i="1" s="1"/>
  <c r="O1307" i="1" a="1"/>
  <c r="O1307" i="1" s="1"/>
  <c r="N1307" i="1" a="1"/>
  <c r="N1307" i="1" s="1"/>
  <c r="K1255" i="1" a="1"/>
  <c r="K1255" i="1" s="1"/>
  <c r="N1255" i="1" s="1" a="1"/>
  <c r="N1255" i="1" s="1"/>
  <c r="K1256" i="1" a="1"/>
  <c r="K1256" i="1" s="1"/>
  <c r="N1256" i="1" s="1" a="1"/>
  <c r="N1256" i="1" s="1"/>
  <c r="O1259" i="1" a="1"/>
  <c r="O1259" i="1" s="1"/>
  <c r="O1272" i="1" a="1"/>
  <c r="O1272" i="1" s="1"/>
  <c r="O1275" i="1" a="1"/>
  <c r="O1275" i="1" s="1"/>
  <c r="O1255" i="1" a="1"/>
  <c r="O1255" i="1" s="1"/>
  <c r="O1270" i="1" a="1"/>
  <c r="O1270" i="1" s="1"/>
  <c r="O1274" i="1" a="1"/>
  <c r="O1274" i="1" s="1"/>
  <c r="O1289" i="1" a="1"/>
  <c r="O1289" i="1" s="1"/>
  <c r="K1290" i="1" a="1"/>
  <c r="K1290" i="1" s="1"/>
  <c r="N1290" i="1" s="1" a="1"/>
  <c r="N1290" i="1" s="1"/>
  <c r="O1301" i="1" a="1"/>
  <c r="O1301" i="1" s="1"/>
  <c r="O1295" i="1" a="1"/>
  <c r="O1295" i="1" s="1"/>
  <c r="O1297" i="1" a="1"/>
  <c r="O1297" i="1" s="1"/>
  <c r="K1287" i="1" a="1"/>
  <c r="K1287" i="1" s="1"/>
  <c r="N1287" i="1" s="1" a="1"/>
  <c r="N1287" i="1" s="1"/>
  <c r="O1329" i="1" a="1"/>
  <c r="O1329" i="1" s="1"/>
  <c r="O1286" i="1" a="1"/>
  <c r="O1286" i="1" s="1"/>
  <c r="O1291" i="1" a="1"/>
  <c r="O1291" i="1" s="1"/>
  <c r="O1304" i="1" a="1"/>
  <c r="O1304" i="1" s="1"/>
  <c r="K1312" i="1" a="1"/>
  <c r="K1312" i="1" s="1"/>
  <c r="N1312" i="1" s="1" a="1"/>
  <c r="N1312" i="1" s="1"/>
  <c r="O1288" i="1" a="1"/>
  <c r="O1288" i="1" s="1"/>
  <c r="K1289" i="1" a="1"/>
  <c r="K1289" i="1" s="1"/>
  <c r="N1289" i="1" s="1" a="1"/>
  <c r="N1289" i="1" s="1"/>
  <c r="O1292" i="1" a="1"/>
  <c r="O1292" i="1" s="1"/>
  <c r="K1293" i="1" a="1"/>
  <c r="K1293" i="1" s="1"/>
  <c r="N1293" i="1" s="1" a="1"/>
  <c r="N1293" i="1" s="1"/>
  <c r="O1302" i="1" a="1"/>
  <c r="O1302" i="1" s="1"/>
  <c r="N1300" i="1" a="1"/>
  <c r="N1300" i="1" s="1"/>
  <c r="O1300" i="1" a="1"/>
  <c r="O1300" i="1" s="1"/>
  <c r="O1311" i="1" a="1"/>
  <c r="O1311" i="1" s="1"/>
  <c r="N1311" i="1" a="1"/>
  <c r="N1311" i="1" s="1"/>
  <c r="O1344" i="1" a="1"/>
  <c r="O1344" i="1" s="1"/>
  <c r="O1429" i="1" a="1"/>
  <c r="O1429" i="1" s="1"/>
  <c r="N1429" i="1" a="1"/>
  <c r="N1429" i="1" s="1"/>
  <c r="O1668" i="1" a="1"/>
  <c r="O1668" i="1" s="1"/>
  <c r="N1668" i="1" a="1"/>
  <c r="N1668" i="1" s="1"/>
  <c r="N1688" i="1" a="1"/>
  <c r="N1688" i="1" s="1"/>
  <c r="O1688" i="1" a="1"/>
  <c r="O1688" i="1" s="1"/>
  <c r="N1692" i="1" a="1"/>
  <c r="N1692" i="1" s="1"/>
  <c r="O1692" i="1" a="1"/>
  <c r="O1692" i="1" s="1"/>
  <c r="N1699" i="1" a="1"/>
  <c r="N1699" i="1" s="1"/>
  <c r="O1699" i="1" a="1"/>
  <c r="O1699" i="1" s="1"/>
  <c r="N1702" i="1" a="1"/>
  <c r="N1702" i="1" s="1"/>
  <c r="O1702" i="1" a="1"/>
  <c r="O1702" i="1" s="1"/>
  <c r="O1348" i="1" a="1"/>
  <c r="O1348" i="1" s="1"/>
  <c r="O1324" i="1" a="1"/>
  <c r="O1324" i="1" s="1"/>
  <c r="K1325" i="1" a="1"/>
  <c r="K1325" i="1" s="1"/>
  <c r="N1325" i="1" s="1" a="1"/>
  <c r="N1325" i="1" s="1"/>
  <c r="O1328" i="1" a="1"/>
  <c r="O1328" i="1" s="1"/>
  <c r="K1329" i="1" a="1"/>
  <c r="K1329" i="1" s="1"/>
  <c r="N1329" i="1" s="1" a="1"/>
  <c r="N1329" i="1" s="1"/>
  <c r="O1334" i="1" a="1"/>
  <c r="O1334" i="1" s="1"/>
  <c r="K1336" i="1" a="1"/>
  <c r="K1336" i="1" s="1"/>
  <c r="N1336" i="1" s="1" a="1"/>
  <c r="N1336" i="1" s="1"/>
  <c r="O1342" i="1" a="1"/>
  <c r="O1342" i="1" s="1"/>
  <c r="K1344" i="1" a="1"/>
  <c r="K1344" i="1" s="1"/>
  <c r="N1344" i="1" s="1" a="1"/>
  <c r="N1344" i="1" s="1"/>
  <c r="O1350" i="1" a="1"/>
  <c r="O1350" i="1" s="1"/>
  <c r="K1352" i="1" a="1"/>
  <c r="K1352" i="1" s="1"/>
  <c r="N1352" i="1" s="1" a="1"/>
  <c r="N1352" i="1" s="1"/>
  <c r="O1358" i="1" a="1"/>
  <c r="O1358" i="1" s="1"/>
  <c r="K1360" i="1" a="1"/>
  <c r="K1360" i="1" s="1"/>
  <c r="N1360" i="1" s="1" a="1"/>
  <c r="N1360" i="1" s="1"/>
  <c r="N1361" i="1" a="1"/>
  <c r="N1361" i="1" s="1"/>
  <c r="O1361" i="1" a="1"/>
  <c r="O1361" i="1" s="1"/>
  <c r="K1371" i="1" a="1"/>
  <c r="K1371" i="1" s="1"/>
  <c r="N1371" i="1" s="1" a="1"/>
  <c r="N1371" i="1" s="1"/>
  <c r="K1378" i="1" a="1"/>
  <c r="K1378" i="1" s="1"/>
  <c r="N1378" i="1" s="1" a="1"/>
  <c r="N1378" i="1" s="1"/>
  <c r="O1391" i="1" a="1"/>
  <c r="O1391" i="1" s="1"/>
  <c r="O1439" i="1" a="1"/>
  <c r="O1439" i="1" s="1"/>
  <c r="N1439" i="1" a="1"/>
  <c r="N1439" i="1" s="1"/>
  <c r="K1337" i="1" a="1"/>
  <c r="K1337" i="1" s="1"/>
  <c r="N1337" i="1" s="1" a="1"/>
  <c r="N1337" i="1" s="1"/>
  <c r="K1345" i="1" a="1"/>
  <c r="K1345" i="1" s="1"/>
  <c r="N1345" i="1" s="1" a="1"/>
  <c r="N1345" i="1" s="1"/>
  <c r="O1351" i="1" a="1"/>
  <c r="O1351" i="1" s="1"/>
  <c r="K1353" i="1" a="1"/>
  <c r="K1353" i="1" s="1"/>
  <c r="N1353" i="1" s="1" a="1"/>
  <c r="N1353" i="1" s="1"/>
  <c r="O1359" i="1" a="1"/>
  <c r="O1359" i="1" s="1"/>
  <c r="O1372" i="1" a="1"/>
  <c r="O1372" i="1" s="1"/>
  <c r="O1401" i="1" a="1"/>
  <c r="O1401" i="1" s="1"/>
  <c r="N1401" i="1" a="1"/>
  <c r="N1401" i="1" s="1"/>
  <c r="O1352" i="1" a="1"/>
  <c r="O1352" i="1" s="1"/>
  <c r="O1360" i="1" a="1"/>
  <c r="O1360" i="1" s="1"/>
  <c r="O1393" i="1" a="1"/>
  <c r="O1393" i="1" s="1"/>
  <c r="N1393" i="1" a="1"/>
  <c r="N1393" i="1" s="1"/>
  <c r="O1405" i="1" a="1"/>
  <c r="O1405" i="1" s="1"/>
  <c r="N1405" i="1" a="1"/>
  <c r="N1405" i="1" s="1"/>
  <c r="O1427" i="1" a="1"/>
  <c r="O1427" i="1" s="1"/>
  <c r="N1427" i="1" a="1"/>
  <c r="N1427" i="1" s="1"/>
  <c r="O1337" i="1" a="1"/>
  <c r="O1337" i="1" s="1"/>
  <c r="O1345" i="1" a="1"/>
  <c r="O1345" i="1" s="1"/>
  <c r="O1353" i="1" a="1"/>
  <c r="O1353" i="1" s="1"/>
  <c r="O1389" i="1" a="1"/>
  <c r="O1389" i="1" s="1"/>
  <c r="N1389" i="1" a="1"/>
  <c r="N1389" i="1" s="1"/>
  <c r="K1327" i="1" a="1"/>
  <c r="K1327" i="1" s="1"/>
  <c r="N1327" i="1" s="1" a="1"/>
  <c r="N1327" i="1" s="1"/>
  <c r="K1332" i="1" a="1"/>
  <c r="K1332" i="1" s="1"/>
  <c r="N1332" i="1" s="1" a="1"/>
  <c r="N1332" i="1" s="1"/>
  <c r="K1340" i="1" a="1"/>
  <c r="K1340" i="1" s="1"/>
  <c r="N1340" i="1" s="1" a="1"/>
  <c r="N1340" i="1" s="1"/>
  <c r="K1348" i="1" a="1"/>
  <c r="K1348" i="1" s="1"/>
  <c r="N1348" i="1" s="1" a="1"/>
  <c r="N1348" i="1" s="1"/>
  <c r="O1354" i="1" a="1"/>
  <c r="O1354" i="1" s="1"/>
  <c r="K1356" i="1" a="1"/>
  <c r="K1356" i="1" s="1"/>
  <c r="N1356" i="1" s="1" a="1"/>
  <c r="N1356" i="1" s="1"/>
  <c r="O1382" i="1" a="1"/>
  <c r="O1382" i="1" s="1"/>
  <c r="K1386" i="1" a="1"/>
  <c r="K1386" i="1" s="1"/>
  <c r="N1386" i="1" s="1" a="1"/>
  <c r="N1386" i="1" s="1"/>
  <c r="O1433" i="1" a="1"/>
  <c r="O1433" i="1" s="1"/>
  <c r="N1433" i="1" a="1"/>
  <c r="N1433" i="1" s="1"/>
  <c r="O1437" i="1" a="1"/>
  <c r="O1437" i="1" s="1"/>
  <c r="N1437" i="1" a="1"/>
  <c r="N1437" i="1" s="1"/>
  <c r="O1367" i="1" a="1"/>
  <c r="O1367" i="1" s="1"/>
  <c r="O1375" i="1" a="1"/>
  <c r="O1375" i="1" s="1"/>
  <c r="O1383" i="1" a="1"/>
  <c r="O1383" i="1" s="1"/>
  <c r="K1410" i="1" a="1"/>
  <c r="K1410" i="1" s="1"/>
  <c r="K1411" i="1" a="1"/>
  <c r="K1411" i="1" s="1"/>
  <c r="N1411" i="1" s="1" a="1"/>
  <c r="N1411" i="1" s="1"/>
  <c r="K1432" i="1" a="1"/>
  <c r="K1432" i="1" s="1"/>
  <c r="N1432" i="1" s="1" a="1"/>
  <c r="N1432" i="1" s="1"/>
  <c r="O1438" i="1" a="1"/>
  <c r="O1438" i="1" s="1"/>
  <c r="O1362" i="1" a="1"/>
  <c r="O1362" i="1" s="1"/>
  <c r="O1370" i="1" a="1"/>
  <c r="O1370" i="1" s="1"/>
  <c r="O1376" i="1" a="1"/>
  <c r="O1376" i="1" s="1"/>
  <c r="O1384" i="1" a="1"/>
  <c r="O1384" i="1" s="1"/>
  <c r="K1406" i="1" a="1"/>
  <c r="K1406" i="1" s="1"/>
  <c r="K1407" i="1" a="1"/>
  <c r="K1407" i="1" s="1"/>
  <c r="N1407" i="1" s="1" a="1"/>
  <c r="N1407" i="1" s="1"/>
  <c r="O1412" i="1" a="1"/>
  <c r="O1412" i="1" s="1"/>
  <c r="O1413" i="1" a="1"/>
  <c r="O1413" i="1" s="1"/>
  <c r="N1413" i="1" a="1"/>
  <c r="N1413" i="1" s="1"/>
  <c r="K1419" i="1" a="1"/>
  <c r="K1419" i="1" s="1"/>
  <c r="N1419" i="1" s="1" a="1"/>
  <c r="N1419" i="1" s="1"/>
  <c r="O1420" i="1" a="1"/>
  <c r="O1420" i="1" s="1"/>
  <c r="O1421" i="1" a="1"/>
  <c r="O1421" i="1" s="1"/>
  <c r="N1421" i="1" a="1"/>
  <c r="N1421" i="1" s="1"/>
  <c r="K1425" i="1" a="1"/>
  <c r="K1425" i="1" s="1"/>
  <c r="N1425" i="1" s="1" a="1"/>
  <c r="N1425" i="1" s="1"/>
  <c r="O1432" i="1" a="1"/>
  <c r="O1432" i="1" s="1"/>
  <c r="O1442" i="1" a="1"/>
  <c r="O1442" i="1" s="1"/>
  <c r="O1444" i="1" a="1"/>
  <c r="O1444" i="1" s="1"/>
  <c r="N1444" i="1" a="1"/>
  <c r="N1444" i="1" s="1"/>
  <c r="O1445" i="1" a="1"/>
  <c r="O1445" i="1" s="1"/>
  <c r="N1539" i="1" a="1"/>
  <c r="N1539" i="1" s="1"/>
  <c r="O1539" i="1" a="1"/>
  <c r="O1539" i="1" s="1"/>
  <c r="N1551" i="1" a="1"/>
  <c r="N1551" i="1" s="1"/>
  <c r="O1551" i="1" a="1"/>
  <c r="O1551" i="1" s="1"/>
  <c r="O1559" i="1" a="1"/>
  <c r="O1559" i="1" s="1"/>
  <c r="N1559" i="1" a="1"/>
  <c r="N1559" i="1" s="1"/>
  <c r="O1365" i="1" a="1"/>
  <c r="O1365" i="1" s="1"/>
  <c r="O1373" i="1" a="1"/>
  <c r="O1373" i="1" s="1"/>
  <c r="O1377" i="1" a="1"/>
  <c r="O1377" i="1" s="1"/>
  <c r="O1385" i="1" a="1"/>
  <c r="O1385" i="1" s="1"/>
  <c r="O1411" i="1" a="1"/>
  <c r="O1411" i="1" s="1"/>
  <c r="K1418" i="1" a="1"/>
  <c r="K1418" i="1" s="1"/>
  <c r="O1425" i="1" a="1"/>
  <c r="O1425" i="1" s="1"/>
  <c r="K1436" i="1" a="1"/>
  <c r="K1436" i="1" s="1"/>
  <c r="N1436" i="1" s="1" a="1"/>
  <c r="N1436" i="1" s="1"/>
  <c r="O1368" i="1" a="1"/>
  <c r="O1368" i="1" s="1"/>
  <c r="O1378" i="1" a="1"/>
  <c r="O1378" i="1" s="1"/>
  <c r="O1386" i="1" a="1"/>
  <c r="O1386" i="1" s="1"/>
  <c r="K1399" i="1" a="1"/>
  <c r="K1399" i="1" s="1"/>
  <c r="N1399" i="1" s="1" a="1"/>
  <c r="N1399" i="1" s="1"/>
  <c r="O1404" i="1" a="1"/>
  <c r="O1404" i="1" s="1"/>
  <c r="O1431" i="1" a="1"/>
  <c r="O1431" i="1" s="1"/>
  <c r="N1431" i="1" a="1"/>
  <c r="N1431" i="1" s="1"/>
  <c r="O1440" i="1" a="1"/>
  <c r="O1440" i="1" s="1"/>
  <c r="N1440" i="1" a="1"/>
  <c r="N1440" i="1" s="1"/>
  <c r="K1447" i="1" a="1"/>
  <c r="K1447" i="1" s="1"/>
  <c r="N1532" i="1" a="1"/>
  <c r="N1532" i="1" s="1"/>
  <c r="O1532" i="1" a="1"/>
  <c r="O1532" i="1" s="1"/>
  <c r="O1363" i="1" a="1"/>
  <c r="O1363" i="1" s="1"/>
  <c r="O1371" i="1" a="1"/>
  <c r="O1371" i="1" s="1"/>
  <c r="O1379" i="1" a="1"/>
  <c r="O1379" i="1" s="1"/>
  <c r="O1387" i="1" a="1"/>
  <c r="O1387" i="1" s="1"/>
  <c r="K1394" i="1" a="1"/>
  <c r="K1394" i="1" s="1"/>
  <c r="K1395" i="1" a="1"/>
  <c r="K1395" i="1" s="1"/>
  <c r="N1395" i="1" s="1" a="1"/>
  <c r="N1395" i="1" s="1"/>
  <c r="O1400" i="1" a="1"/>
  <c r="O1400" i="1" s="1"/>
  <c r="O1403" i="1" a="1"/>
  <c r="O1403" i="1" s="1"/>
  <c r="N1409" i="1" a="1"/>
  <c r="N1409" i="1" s="1"/>
  <c r="O1430" i="1" a="1"/>
  <c r="O1430" i="1" s="1"/>
  <c r="N1529" i="1" a="1"/>
  <c r="N1529" i="1" s="1"/>
  <c r="O1529" i="1" a="1"/>
  <c r="O1529" i="1" s="1"/>
  <c r="O1366" i="1" a="1"/>
  <c r="O1366" i="1" s="1"/>
  <c r="O1374" i="1" a="1"/>
  <c r="O1374" i="1" s="1"/>
  <c r="O1380" i="1" a="1"/>
  <c r="O1380" i="1" s="1"/>
  <c r="O1417" i="1" a="1"/>
  <c r="O1417" i="1" s="1"/>
  <c r="N1417" i="1" a="1"/>
  <c r="N1417" i="1" s="1"/>
  <c r="O1435" i="1" a="1"/>
  <c r="O1435" i="1" s="1"/>
  <c r="N1435" i="1" a="1"/>
  <c r="N1435" i="1" s="1"/>
  <c r="O1443" i="1" a="1"/>
  <c r="O1443" i="1" s="1"/>
  <c r="N1443" i="1" a="1"/>
  <c r="N1443" i="1" s="1"/>
  <c r="N1528" i="1" a="1"/>
  <c r="N1528" i="1" s="1"/>
  <c r="O1528" i="1" a="1"/>
  <c r="O1528" i="1" s="1"/>
  <c r="O1369" i="1" a="1"/>
  <c r="O1369" i="1" s="1"/>
  <c r="O1381" i="1" a="1"/>
  <c r="O1381" i="1" s="1"/>
  <c r="O1392" i="1" a="1"/>
  <c r="O1392" i="1" s="1"/>
  <c r="O1402" i="1" a="1"/>
  <c r="O1402" i="1" s="1"/>
  <c r="K1414" i="1" a="1"/>
  <c r="K1414" i="1" s="1"/>
  <c r="O1415" i="1" a="1"/>
  <c r="O1415" i="1" s="1"/>
  <c r="K1422" i="1" a="1"/>
  <c r="K1422" i="1" s="1"/>
  <c r="O1423" i="1" a="1"/>
  <c r="O1423" i="1" s="1"/>
  <c r="K1428" i="1" a="1"/>
  <c r="K1428" i="1" s="1"/>
  <c r="N1428" i="1" s="1" a="1"/>
  <c r="N1428" i="1" s="1"/>
  <c r="O1434" i="1" a="1"/>
  <c r="O1434" i="1" s="1"/>
  <c r="N1536" i="1" a="1"/>
  <c r="N1536" i="1" s="1"/>
  <c r="O1536" i="1" a="1"/>
  <c r="O1536" i="1" s="1"/>
  <c r="K1448" i="1" a="1"/>
  <c r="K1448" i="1" s="1"/>
  <c r="K1475" i="1" a="1"/>
  <c r="K1475" i="1" s="1"/>
  <c r="N1475" i="1" s="1" a="1"/>
  <c r="N1475" i="1" s="1"/>
  <c r="O1476" i="1" a="1"/>
  <c r="O1476" i="1" s="1"/>
  <c r="K1483" i="1" a="1"/>
  <c r="K1483" i="1" s="1"/>
  <c r="N1483" i="1" s="1" a="1"/>
  <c r="N1483" i="1" s="1"/>
  <c r="O1484" i="1" a="1"/>
  <c r="O1484" i="1" s="1"/>
  <c r="K1498" i="1" a="1"/>
  <c r="K1498" i="1" s="1"/>
  <c r="N1498" i="1" s="1" a="1"/>
  <c r="N1498" i="1" s="1"/>
  <c r="O1499" i="1" a="1"/>
  <c r="O1499" i="1" s="1"/>
  <c r="O1501" i="1" a="1"/>
  <c r="O1501" i="1" s="1"/>
  <c r="O1506" i="1" a="1"/>
  <c r="O1506" i="1" s="1"/>
  <c r="N1506" i="1" a="1"/>
  <c r="N1506" i="1" s="1"/>
  <c r="O1507" i="1" a="1"/>
  <c r="O1507" i="1" s="1"/>
  <c r="O1510" i="1" a="1"/>
  <c r="O1510" i="1" s="1"/>
  <c r="N1510" i="1" a="1"/>
  <c r="N1510" i="1" s="1"/>
  <c r="O1511" i="1" a="1"/>
  <c r="O1511" i="1" s="1"/>
  <c r="N1514" i="1" a="1"/>
  <c r="N1514" i="1" s="1"/>
  <c r="O1514" i="1" a="1"/>
  <c r="O1514" i="1" s="1"/>
  <c r="O1515" i="1" a="1"/>
  <c r="O1515" i="1" s="1"/>
  <c r="N1543" i="1" a="1"/>
  <c r="N1543" i="1" s="1"/>
  <c r="O1543" i="1" a="1"/>
  <c r="O1543" i="1" s="1"/>
  <c r="K1449" i="1" a="1"/>
  <c r="K1449" i="1" s="1"/>
  <c r="N1449" i="1" s="1" a="1"/>
  <c r="N1449" i="1" s="1"/>
  <c r="O1524" i="1" a="1"/>
  <c r="O1524" i="1" s="1"/>
  <c r="O1557" i="1" a="1"/>
  <c r="O1557" i="1" s="1"/>
  <c r="N1557" i="1" a="1"/>
  <c r="N1557" i="1" s="1"/>
  <c r="K1450" i="1" a="1"/>
  <c r="K1450" i="1" s="1"/>
  <c r="N1522" i="1" a="1"/>
  <c r="N1522" i="1" s="1"/>
  <c r="O1522" i="1" a="1"/>
  <c r="O1522" i="1" s="1"/>
  <c r="N1533" i="1" a="1"/>
  <c r="N1533" i="1" s="1"/>
  <c r="O1533" i="1" a="1"/>
  <c r="O1533" i="1" s="1"/>
  <c r="N1534" i="1" a="1"/>
  <c r="N1534" i="1" s="1"/>
  <c r="O1534" i="1" a="1"/>
  <c r="O1534" i="1" s="1"/>
  <c r="K1472" i="1" a="1"/>
  <c r="K1472" i="1" s="1"/>
  <c r="N1472" i="1" s="1" a="1"/>
  <c r="N1472" i="1" s="1"/>
  <c r="O1473" i="1" a="1"/>
  <c r="O1473" i="1" s="1"/>
  <c r="K1480" i="1" a="1"/>
  <c r="K1480" i="1" s="1"/>
  <c r="N1480" i="1" s="1" a="1"/>
  <c r="N1480" i="1" s="1"/>
  <c r="O1481" i="1" a="1"/>
  <c r="O1481" i="1" s="1"/>
  <c r="K1488" i="1" a="1"/>
  <c r="K1488" i="1" s="1"/>
  <c r="N1488" i="1" s="1" a="1"/>
  <c r="N1488" i="1" s="1"/>
  <c r="O1489" i="1" a="1"/>
  <c r="O1489" i="1" s="1"/>
  <c r="O1491" i="1" a="1"/>
  <c r="O1491" i="1" s="1"/>
  <c r="O1492" i="1" a="1"/>
  <c r="O1492" i="1" s="1"/>
  <c r="O1518" i="1" a="1"/>
  <c r="O1518" i="1" s="1"/>
  <c r="O1527" i="1" a="1"/>
  <c r="O1527" i="1" s="1"/>
  <c r="N1567" i="1" a="1"/>
  <c r="N1567" i="1" s="1"/>
  <c r="O1567" i="1" a="1"/>
  <c r="O1567" i="1" s="1"/>
  <c r="K1451" i="1" a="1"/>
  <c r="K1451" i="1" s="1"/>
  <c r="K1465" i="1" a="1"/>
  <c r="K1465" i="1" s="1"/>
  <c r="K1466" i="1" a="1"/>
  <c r="K1466" i="1" s="1"/>
  <c r="K1467" i="1" a="1"/>
  <c r="K1467" i="1" s="1"/>
  <c r="K1468" i="1" a="1"/>
  <c r="K1468" i="1" s="1"/>
  <c r="K1469" i="1" a="1"/>
  <c r="K1469" i="1" s="1"/>
  <c r="K1470" i="1" a="1"/>
  <c r="K1470" i="1" s="1"/>
  <c r="K1471" i="1" a="1"/>
  <c r="K1471" i="1" s="1"/>
  <c r="N1471" i="1" s="1" a="1"/>
  <c r="N1471" i="1" s="1"/>
  <c r="K1479" i="1" a="1"/>
  <c r="K1479" i="1" s="1"/>
  <c r="N1479" i="1" s="1" a="1"/>
  <c r="N1479" i="1" s="1"/>
  <c r="O1480" i="1" a="1"/>
  <c r="O1480" i="1" s="1"/>
  <c r="K1487" i="1" a="1"/>
  <c r="K1487" i="1" s="1"/>
  <c r="N1487" i="1" s="1" a="1"/>
  <c r="N1487" i="1" s="1"/>
  <c r="O1488" i="1" a="1"/>
  <c r="O1488" i="1" s="1"/>
  <c r="O1497" i="1" a="1"/>
  <c r="O1497" i="1" s="1"/>
  <c r="K1502" i="1" a="1"/>
  <c r="K1502" i="1" s="1"/>
  <c r="N1502" i="1" s="1" a="1"/>
  <c r="N1502" i="1" s="1"/>
  <c r="O1503" i="1" a="1"/>
  <c r="O1503" i="1" s="1"/>
  <c r="O1505" i="1" a="1"/>
  <c r="O1505" i="1" s="1"/>
  <c r="O1508" i="1" a="1"/>
  <c r="O1508" i="1" s="1"/>
  <c r="N1508" i="1" a="1"/>
  <c r="N1508" i="1" s="1"/>
  <c r="O1509" i="1" a="1"/>
  <c r="O1509" i="1" s="1"/>
  <c r="O1512" i="1" a="1"/>
  <c r="O1512" i="1" s="1"/>
  <c r="N1512" i="1" a="1"/>
  <c r="N1512" i="1" s="1"/>
  <c r="O1513" i="1" a="1"/>
  <c r="O1513" i="1" s="1"/>
  <c r="K1517" i="1" a="1"/>
  <c r="K1517" i="1" s="1"/>
  <c r="O1554" i="1" a="1"/>
  <c r="O1554" i="1" s="1"/>
  <c r="N1554" i="1" a="1"/>
  <c r="N1554" i="1" s="1"/>
  <c r="O1471" i="1" a="1"/>
  <c r="O1471" i="1" s="1"/>
  <c r="K1478" i="1" a="1"/>
  <c r="K1478" i="1" s="1"/>
  <c r="N1478" i="1" s="1" a="1"/>
  <c r="N1478" i="1" s="1"/>
  <c r="O1479" i="1" a="1"/>
  <c r="O1479" i="1" s="1"/>
  <c r="K1486" i="1" a="1"/>
  <c r="K1486" i="1" s="1"/>
  <c r="N1486" i="1" s="1" a="1"/>
  <c r="N1486" i="1" s="1"/>
  <c r="O1487" i="1" a="1"/>
  <c r="O1487" i="1" s="1"/>
  <c r="O1495" i="1" a="1"/>
  <c r="O1495" i="1" s="1"/>
  <c r="O1496" i="1" a="1"/>
  <c r="O1496" i="1" s="1"/>
  <c r="O1504" i="1" a="1"/>
  <c r="O1504" i="1" s="1"/>
  <c r="N1521" i="1" a="1"/>
  <c r="N1521" i="1" s="1"/>
  <c r="O1521" i="1" a="1"/>
  <c r="O1521" i="1" s="1"/>
  <c r="O1526" i="1" a="1"/>
  <c r="O1526" i="1" s="1"/>
  <c r="O1535" i="1" a="1"/>
  <c r="O1535" i="1" s="1"/>
  <c r="N1546" i="1" a="1"/>
  <c r="N1546" i="1" s="1"/>
  <c r="O1546" i="1" a="1"/>
  <c r="O1546" i="1" s="1"/>
  <c r="O1561" i="1" a="1"/>
  <c r="O1561" i="1" s="1"/>
  <c r="N1561" i="1" a="1"/>
  <c r="N1561" i="1" s="1"/>
  <c r="O1478" i="1" a="1"/>
  <c r="O1478" i="1" s="1"/>
  <c r="O1486" i="1" a="1"/>
  <c r="O1486" i="1" s="1"/>
  <c r="N1525" i="1" a="1"/>
  <c r="N1525" i="1" s="1"/>
  <c r="O1525" i="1" a="1"/>
  <c r="O1525" i="1" s="1"/>
  <c r="N1530" i="1" a="1"/>
  <c r="N1530" i="1" s="1"/>
  <c r="O1530" i="1" a="1"/>
  <c r="O1530" i="1" s="1"/>
  <c r="N1531" i="1" a="1"/>
  <c r="N1531" i="1" s="1"/>
  <c r="O1531" i="1" a="1"/>
  <c r="O1531" i="1" s="1"/>
  <c r="N1538" i="1" a="1"/>
  <c r="N1538" i="1" s="1"/>
  <c r="O1538" i="1" a="1"/>
  <c r="O1538" i="1" s="1"/>
  <c r="N1547" i="1" a="1"/>
  <c r="N1547" i="1" s="1"/>
  <c r="O1547" i="1" a="1"/>
  <c r="O1547" i="1" s="1"/>
  <c r="O1545" i="1" a="1"/>
  <c r="O1545" i="1" s="1"/>
  <c r="O1553" i="1" a="1"/>
  <c r="O1553" i="1" s="1"/>
  <c r="O1560" i="1" a="1"/>
  <c r="O1560" i="1" s="1"/>
  <c r="O1568" i="1" a="1"/>
  <c r="O1568" i="1" s="1"/>
  <c r="O1569" i="1" a="1"/>
  <c r="O1569" i="1" s="1"/>
  <c r="O1579" i="1" a="1"/>
  <c r="O1579" i="1" s="1"/>
  <c r="O1587" i="1" a="1"/>
  <c r="O1587" i="1" s="1"/>
  <c r="O1540" i="1" a="1"/>
  <c r="O1540" i="1" s="1"/>
  <c r="O1548" i="1" a="1"/>
  <c r="O1548" i="1" s="1"/>
  <c r="K1575" i="1" a="1"/>
  <c r="K1575" i="1" s="1"/>
  <c r="O1612" i="1" a="1"/>
  <c r="O1612" i="1" s="1"/>
  <c r="N1612" i="1" a="1"/>
  <c r="N1612" i="1" s="1"/>
  <c r="O1541" i="1" a="1"/>
  <c r="O1541" i="1" s="1"/>
  <c r="O1549" i="1" a="1"/>
  <c r="O1549" i="1" s="1"/>
  <c r="K1573" i="1" a="1"/>
  <c r="K1573" i="1" s="1"/>
  <c r="O1592" i="1" a="1"/>
  <c r="O1592" i="1" s="1"/>
  <c r="O1640" i="1" a="1"/>
  <c r="O1640" i="1" s="1"/>
  <c r="N1640" i="1" a="1"/>
  <c r="N1640" i="1" s="1"/>
  <c r="O1544" i="1" a="1"/>
  <c r="O1544" i="1" s="1"/>
  <c r="O1552" i="1" a="1"/>
  <c r="O1552" i="1" s="1"/>
  <c r="O1563" i="1" a="1"/>
  <c r="O1563" i="1" s="1"/>
  <c r="N1563" i="1" a="1"/>
  <c r="N1563" i="1" s="1"/>
  <c r="O1574" i="1" a="1"/>
  <c r="O1574" i="1" s="1"/>
  <c r="O1582" i="1" a="1"/>
  <c r="O1582" i="1" s="1"/>
  <c r="O1590" i="1" a="1"/>
  <c r="O1590" i="1" s="1"/>
  <c r="O1596" i="1" a="1"/>
  <c r="O1596" i="1" s="1"/>
  <c r="O1608" i="1" a="1"/>
  <c r="O1608" i="1" s="1"/>
  <c r="O1581" i="1" a="1"/>
  <c r="O1581" i="1" s="1"/>
  <c r="O1616" i="1" a="1"/>
  <c r="O1616" i="1" s="1"/>
  <c r="N1616" i="1" a="1"/>
  <c r="N1616" i="1" s="1"/>
  <c r="K1577" i="1" a="1"/>
  <c r="K1577" i="1" s="1"/>
  <c r="N1577" i="1" s="1" a="1"/>
  <c r="N1577" i="1" s="1"/>
  <c r="K1585" i="1" a="1"/>
  <c r="K1585" i="1" s="1"/>
  <c r="N1585" i="1" s="1" a="1"/>
  <c r="N1585" i="1" s="1"/>
  <c r="O1605" i="1" a="1"/>
  <c r="O1605" i="1" s="1"/>
  <c r="O1606" i="1" a="1"/>
  <c r="O1606" i="1" s="1"/>
  <c r="O1607" i="1" a="1"/>
  <c r="O1607" i="1" s="1"/>
  <c r="K1609" i="1" a="1"/>
  <c r="K1609" i="1" s="1"/>
  <c r="N1609" i="1" s="1" a="1"/>
  <c r="N1609" i="1" s="1"/>
  <c r="K1623" i="1" a="1"/>
  <c r="K1623" i="1" s="1"/>
  <c r="N1623" i="1" s="1" a="1"/>
  <c r="N1623" i="1" s="1"/>
  <c r="O1624" i="1" a="1"/>
  <c r="O1624" i="1" s="1"/>
  <c r="O1629" i="1" a="1"/>
  <c r="O1629" i="1" s="1"/>
  <c r="O1638" i="1" a="1"/>
  <c r="O1638" i="1" s="1"/>
  <c r="N1638" i="1" a="1"/>
  <c r="N1638" i="1" s="1"/>
  <c r="O1650" i="1" a="1"/>
  <c r="O1650" i="1" s="1"/>
  <c r="K1580" i="1" a="1"/>
  <c r="K1580" i="1" s="1"/>
  <c r="K1588" i="1" a="1"/>
  <c r="K1588" i="1" s="1"/>
  <c r="K1595" i="1" a="1"/>
  <c r="K1595" i="1" s="1"/>
  <c r="N1595" i="1" s="1" a="1"/>
  <c r="N1595" i="1" s="1"/>
  <c r="K1611" i="1" a="1"/>
  <c r="K1611" i="1" s="1"/>
  <c r="N1611" i="1" s="1" a="1"/>
  <c r="N1611" i="1" s="1"/>
  <c r="O1621" i="1" a="1"/>
  <c r="O1621" i="1" s="1"/>
  <c r="O1622" i="1" a="1"/>
  <c r="O1622" i="1" s="1"/>
  <c r="O1623" i="1" a="1"/>
  <c r="O1623" i="1" s="1"/>
  <c r="O1634" i="1" a="1"/>
  <c r="O1634" i="1" s="1"/>
  <c r="K1656" i="1" a="1"/>
  <c r="K1656" i="1" s="1"/>
  <c r="N1656" i="1" s="1" a="1"/>
  <c r="N1656" i="1" s="1"/>
  <c r="K1583" i="1" a="1"/>
  <c r="K1583" i="1" s="1"/>
  <c r="K1591" i="1" a="1"/>
  <c r="K1591" i="1" s="1"/>
  <c r="O1594" i="1" a="1"/>
  <c r="O1594" i="1" s="1"/>
  <c r="O1595" i="1" a="1"/>
  <c r="O1595" i="1" s="1"/>
  <c r="O1609" i="1" a="1"/>
  <c r="O1609" i="1" s="1"/>
  <c r="O1610" i="1" a="1"/>
  <c r="O1610" i="1" s="1"/>
  <c r="O1611" i="1" a="1"/>
  <c r="O1611" i="1" s="1"/>
  <c r="O1628" i="1" a="1"/>
  <c r="O1628" i="1" s="1"/>
  <c r="N1647" i="1" a="1"/>
  <c r="N1647" i="1" s="1"/>
  <c r="O1647" i="1" a="1"/>
  <c r="O1647" i="1" s="1"/>
  <c r="N1653" i="1" a="1"/>
  <c r="N1653" i="1" s="1"/>
  <c r="O1653" i="1" a="1"/>
  <c r="O1653" i="1" s="1"/>
  <c r="K1578" i="1" a="1"/>
  <c r="K1578" i="1" s="1"/>
  <c r="K1586" i="1" a="1"/>
  <c r="K1586" i="1" s="1"/>
  <c r="K1599" i="1" a="1"/>
  <c r="K1599" i="1" s="1"/>
  <c r="N1599" i="1" s="1" a="1"/>
  <c r="N1599" i="1" s="1"/>
  <c r="O1615" i="1" a="1"/>
  <c r="O1615" i="1" s="1"/>
  <c r="O1627" i="1" a="1"/>
  <c r="O1627" i="1" s="1"/>
  <c r="N1645" i="1" a="1"/>
  <c r="N1645" i="1" s="1"/>
  <c r="O1645" i="1" a="1"/>
  <c r="O1645" i="1" s="1"/>
  <c r="K1581" i="1" a="1"/>
  <c r="K1581" i="1" s="1"/>
  <c r="N1581" i="1" s="1" a="1"/>
  <c r="N1581" i="1" s="1"/>
  <c r="K1589" i="1" a="1"/>
  <c r="K1589" i="1" s="1"/>
  <c r="N1589" i="1" s="1" a="1"/>
  <c r="N1589" i="1" s="1"/>
  <c r="O1597" i="1" a="1"/>
  <c r="O1597" i="1" s="1"/>
  <c r="O1598" i="1" a="1"/>
  <c r="O1598" i="1" s="1"/>
  <c r="O1599" i="1" a="1"/>
  <c r="O1599" i="1" s="1"/>
  <c r="O1613" i="1" a="1"/>
  <c r="O1613" i="1" s="1"/>
  <c r="O1614" i="1" a="1"/>
  <c r="O1614" i="1" s="1"/>
  <c r="O1632" i="1" a="1"/>
  <c r="O1632" i="1" s="1"/>
  <c r="O1637" i="1" a="1"/>
  <c r="O1637" i="1" s="1"/>
  <c r="O1672" i="1" a="1"/>
  <c r="O1672" i="1" s="1"/>
  <c r="N1672" i="1" a="1"/>
  <c r="N1672" i="1" s="1"/>
  <c r="K1576" i="1" a="1"/>
  <c r="K1576" i="1" s="1"/>
  <c r="N1576" i="1" s="1" a="1"/>
  <c r="N1576" i="1" s="1"/>
  <c r="K1584" i="1" a="1"/>
  <c r="K1584" i="1" s="1"/>
  <c r="N1584" i="1" s="1" a="1"/>
  <c r="N1584" i="1" s="1"/>
  <c r="K1603" i="1" a="1"/>
  <c r="K1603" i="1" s="1"/>
  <c r="N1603" i="1" s="1" a="1"/>
  <c r="N1603" i="1" s="1"/>
  <c r="K1619" i="1" a="1"/>
  <c r="K1619" i="1" s="1"/>
  <c r="N1619" i="1" s="1" a="1"/>
  <c r="N1619" i="1" s="1"/>
  <c r="O1626" i="1" a="1"/>
  <c r="O1626" i="1" s="1"/>
  <c r="O1631" i="1" a="1"/>
  <c r="O1631" i="1" s="1"/>
  <c r="O1646" i="1" a="1"/>
  <c r="O1646" i="1" s="1"/>
  <c r="O1652" i="1" a="1"/>
  <c r="O1652" i="1" s="1"/>
  <c r="O1601" i="1" a="1"/>
  <c r="O1601" i="1" s="1"/>
  <c r="O1602" i="1" a="1"/>
  <c r="O1602" i="1" s="1"/>
  <c r="O1603" i="1" a="1"/>
  <c r="O1603" i="1" s="1"/>
  <c r="O1617" i="1" a="1"/>
  <c r="O1617" i="1" s="1"/>
  <c r="O1619" i="1" a="1"/>
  <c r="O1619" i="1" s="1"/>
  <c r="O1636" i="1" a="1"/>
  <c r="O1636" i="1" s="1"/>
  <c r="O1654" i="1" a="1"/>
  <c r="O1654" i="1" s="1"/>
  <c r="O1660" i="1" a="1"/>
  <c r="O1660" i="1" s="1"/>
  <c r="O1661" i="1" a="1"/>
  <c r="O1661" i="1" s="1"/>
  <c r="O1662" i="1" a="1"/>
  <c r="O1662" i="1" s="1"/>
  <c r="O1663" i="1" a="1"/>
  <c r="O1663" i="1" s="1"/>
  <c r="O1664" i="1" a="1"/>
  <c r="O1664" i="1" s="1"/>
  <c r="O1665" i="1" a="1"/>
  <c r="O1665" i="1" s="1"/>
  <c r="O1666" i="1" a="1"/>
  <c r="O1666" i="1" s="1"/>
  <c r="O1669" i="1" a="1"/>
  <c r="O1669" i="1" s="1"/>
  <c r="O1683" i="1" a="1"/>
  <c r="O1683" i="1" s="1"/>
  <c r="O1682" i="1" a="1"/>
  <c r="O1682" i="1" s="1"/>
  <c r="N1691" i="1" a="1"/>
  <c r="N1691" i="1" s="1"/>
  <c r="O1691" i="1" a="1"/>
  <c r="O1691" i="1" s="1"/>
  <c r="O1655" i="1" a="1"/>
  <c r="O1655" i="1" s="1"/>
  <c r="N1642" i="1" a="1"/>
  <c r="N1642" i="1" s="1"/>
  <c r="O1681" i="1" a="1"/>
  <c r="O1681" i="1" s="1"/>
  <c r="O1686" i="1" a="1"/>
  <c r="O1686" i="1" s="1"/>
  <c r="N1690" i="1" a="1"/>
  <c r="N1690" i="1" s="1"/>
  <c r="O1690" i="1" a="1"/>
  <c r="O1690" i="1" s="1"/>
  <c r="N1694" i="1" a="1"/>
  <c r="N1694" i="1" s="1"/>
  <c r="O1694" i="1" a="1"/>
  <c r="O1694" i="1" s="1"/>
  <c r="O1698" i="1" a="1"/>
  <c r="O1698" i="1" s="1"/>
  <c r="O1701" i="1" a="1"/>
  <c r="O1701" i="1" s="1"/>
  <c r="O1704" i="1" a="1"/>
  <c r="O1704" i="1" s="1"/>
  <c r="N1707" i="1" a="1"/>
  <c r="N1707" i="1" s="1"/>
  <c r="O1707" i="1" a="1"/>
  <c r="O1707" i="1" s="1"/>
  <c r="O1656" i="1" a="1"/>
  <c r="O1656" i="1" s="1"/>
  <c r="O1675" i="1" a="1"/>
  <c r="O1675" i="1" s="1"/>
  <c r="O1680" i="1" a="1"/>
  <c r="O1680" i="1" s="1"/>
  <c r="O1657" i="1" a="1"/>
  <c r="O1657" i="1" s="1"/>
  <c r="K1670" i="1" a="1"/>
  <c r="K1670" i="1" s="1"/>
  <c r="N1670" i="1" s="1" a="1"/>
  <c r="N1670" i="1" s="1"/>
  <c r="O1671" i="1" a="1"/>
  <c r="O1671" i="1" s="1"/>
  <c r="O1674" i="1" a="1"/>
  <c r="O1674" i="1" s="1"/>
  <c r="N1689" i="1" a="1"/>
  <c r="N1689" i="1" s="1"/>
  <c r="O1689" i="1" a="1"/>
  <c r="O1689" i="1" s="1"/>
  <c r="N1693" i="1" a="1"/>
  <c r="N1693" i="1" s="1"/>
  <c r="O1693" i="1" a="1"/>
  <c r="O1693" i="1" s="1"/>
  <c r="O1658" i="1" a="1"/>
  <c r="O1658" i="1" s="1"/>
  <c r="N1718" i="1" a="1"/>
  <c r="N1718" i="1" s="1"/>
  <c r="K5" i="2" a="1"/>
  <c r="K5" i="2" s="1"/>
  <c r="K16" i="2" a="1"/>
  <c r="K16" i="2" s="1"/>
  <c r="N51" i="2" a="1"/>
  <c r="N51" i="2" s="1"/>
  <c r="O51" i="2" a="1"/>
  <c r="O51" i="2" s="1"/>
  <c r="O1700" i="1" a="1"/>
  <c r="O1700" i="1" s="1"/>
  <c r="K4" i="2" a="1"/>
  <c r="K4" i="2" s="1"/>
  <c r="O17" i="2" a="1"/>
  <c r="O17" i="2" s="1"/>
  <c r="N17" i="2" a="1"/>
  <c r="N17" i="2" s="1"/>
  <c r="O19" i="2" a="1"/>
  <c r="O19" i="2" s="1"/>
  <c r="N12" i="2" a="1"/>
  <c r="N12" i="2" s="1"/>
  <c r="O12" i="2" a="1"/>
  <c r="O12" i="2" s="1"/>
  <c r="O18" i="2" a="1"/>
  <c r="O18" i="2" s="1"/>
  <c r="N18" i="2" a="1"/>
  <c r="N18" i="2" s="1"/>
  <c r="N1712" i="1" a="1"/>
  <c r="N1712" i="1" s="1"/>
  <c r="N1714" i="1" a="1"/>
  <c r="N1714" i="1" s="1"/>
  <c r="O13" i="2" a="1"/>
  <c r="O13" i="2" s="1"/>
  <c r="N13" i="2" a="1"/>
  <c r="N13" i="2" s="1"/>
  <c r="O15" i="2" a="1"/>
  <c r="O15" i="2" s="1"/>
  <c r="O26" i="2" a="1"/>
  <c r="O26" i="2" s="1"/>
  <c r="N26" i="2" a="1"/>
  <c r="N26" i="2" s="1"/>
  <c r="N1720" i="1" a="1"/>
  <c r="N1720" i="1" s="1"/>
  <c r="K9" i="2" a="1"/>
  <c r="K9" i="2" s="1"/>
  <c r="O22" i="2" a="1"/>
  <c r="O22" i="2" s="1"/>
  <c r="O27" i="2" a="1"/>
  <c r="O27" i="2" s="1"/>
  <c r="N34" i="2" a="1"/>
  <c r="N34" i="2" s="1"/>
  <c r="O34" i="2" a="1"/>
  <c r="O34" i="2" s="1"/>
  <c r="N1710" i="1" a="1"/>
  <c r="N1710" i="1" s="1"/>
  <c r="K8" i="2" a="1"/>
  <c r="K8" i="2" s="1"/>
  <c r="O11" i="2" a="1"/>
  <c r="O11" i="2" s="1"/>
  <c r="O23" i="2" a="1"/>
  <c r="O23" i="2" s="1"/>
  <c r="N1709" i="1" a="1"/>
  <c r="N1709" i="1" s="1"/>
  <c r="O39" i="2" a="1"/>
  <c r="O39" i="2" s="1"/>
  <c r="N30" i="2" a="1"/>
  <c r="N30" i="2" s="1"/>
  <c r="O30" i="2" a="1"/>
  <c r="O30" i="2" s="1"/>
  <c r="O37" i="2" a="1"/>
  <c r="O37" i="2" s="1"/>
  <c r="O56" i="2" a="1"/>
  <c r="O56" i="2" s="1"/>
  <c r="N56" i="2" a="1"/>
  <c r="N56" i="2" s="1"/>
  <c r="O35" i="2" a="1"/>
  <c r="O35" i="2" s="1"/>
  <c r="O47" i="2" a="1"/>
  <c r="O47" i="2" s="1"/>
  <c r="O24" i="2" a="1"/>
  <c r="O24" i="2" s="1"/>
  <c r="O33" i="2" a="1"/>
  <c r="O33" i="2" s="1"/>
  <c r="O36" i="2" a="1"/>
  <c r="O36" i="2" s="1"/>
  <c r="O46" i="2" a="1"/>
  <c r="O46" i="2" s="1"/>
  <c r="L104" i="2" a="1"/>
  <c r="L104" i="2" s="1"/>
  <c r="O31" i="2" a="1"/>
  <c r="O31" i="2" s="1"/>
  <c r="K42" i="2" a="1"/>
  <c r="K42" i="2" s="1"/>
  <c r="N42" i="2" s="1" a="1"/>
  <c r="N42" i="2" s="1"/>
  <c r="O65" i="2" a="1"/>
  <c r="O65" i="2" s="1"/>
  <c r="N65" i="2" a="1"/>
  <c r="N65" i="2" s="1"/>
  <c r="O29" i="2" a="1"/>
  <c r="O29" i="2" s="1"/>
  <c r="K38" i="2" a="1"/>
  <c r="K38" i="2" s="1"/>
  <c r="K41" i="2" a="1"/>
  <c r="K41" i="2" s="1"/>
  <c r="N41" i="2" s="1" a="1"/>
  <c r="N41" i="2" s="1"/>
  <c r="K43" i="2" a="1"/>
  <c r="K43" i="2" s="1"/>
  <c r="O28" i="2" a="1"/>
  <c r="O28" i="2" s="1"/>
  <c r="N52" i="2" a="1"/>
  <c r="N52" i="2" s="1"/>
  <c r="O52" i="2" a="1"/>
  <c r="O52" i="2" s="1"/>
  <c r="O71" i="2" a="1"/>
  <c r="O71" i="2" s="1"/>
  <c r="O97" i="2" a="1"/>
  <c r="O97" i="2" s="1"/>
  <c r="N97" i="2" a="1"/>
  <c r="N97" i="2" s="1"/>
  <c r="O50" i="2" a="1"/>
  <c r="O50" i="2" s="1"/>
  <c r="O69" i="2" a="1"/>
  <c r="O69" i="2" s="1"/>
  <c r="N69" i="2" a="1"/>
  <c r="N69" i="2" s="1"/>
  <c r="N85" i="2" a="1"/>
  <c r="N85" i="2" s="1"/>
  <c r="O85" i="2" a="1"/>
  <c r="O85" i="2" s="1"/>
  <c r="K55" i="2" a="1"/>
  <c r="K55" i="2" s="1"/>
  <c r="O78" i="2" a="1"/>
  <c r="O78" i="2" s="1"/>
  <c r="N78" i="2" a="1"/>
  <c r="N78" i="2" s="1"/>
  <c r="O61" i="2" a="1"/>
  <c r="O61" i="2" s="1"/>
  <c r="O63" i="2" a="1"/>
  <c r="O63" i="2" s="1"/>
  <c r="O96" i="2" a="1"/>
  <c r="O96" i="2" s="1"/>
  <c r="O54" i="2" a="1"/>
  <c r="O54" i="2" s="1"/>
  <c r="O59" i="2" a="1"/>
  <c r="O59" i="2" s="1"/>
  <c r="O89" i="2" a="1"/>
  <c r="O89" i="2" s="1"/>
  <c r="P103" i="2" s="1" a="1"/>
  <c r="P103" i="2" s="1"/>
  <c r="N89" i="2" a="1"/>
  <c r="N89" i="2" s="1"/>
  <c r="O93" i="2" a="1"/>
  <c r="O93" i="2" s="1"/>
  <c r="N93" i="2" a="1"/>
  <c r="N93" i="2" s="1"/>
  <c r="K86" i="2" a="1"/>
  <c r="K86" i="2" s="1"/>
  <c r="K70" i="2" a="1"/>
  <c r="K70" i="2" s="1"/>
  <c r="O72" i="2" a="1"/>
  <c r="O72" i="2" s="1"/>
  <c r="N77" i="2" a="1"/>
  <c r="N77" i="2" s="1"/>
  <c r="O95" i="2" a="1"/>
  <c r="O95" i="2" s="1"/>
  <c r="O64" i="2" a="1"/>
  <c r="O64" i="2" s="1"/>
  <c r="O75" i="2" a="1"/>
  <c r="O75" i="2" s="1"/>
  <c r="O102" i="2" a="1"/>
  <c r="O102" i="2" s="1"/>
  <c r="K74" i="2" a="1"/>
  <c r="K74" i="2" s="1"/>
  <c r="O76" i="2" a="1"/>
  <c r="O76" i="2" s="1"/>
  <c r="O79" i="2" a="1"/>
  <c r="O79" i="2" s="1"/>
  <c r="O80" i="2" a="1"/>
  <c r="O80" i="2" s="1"/>
  <c r="K84" i="2" a="1"/>
  <c r="K84" i="2" s="1"/>
  <c r="O99" i="2" a="1"/>
  <c r="O99" i="2" s="1"/>
  <c r="O67" i="2" a="1"/>
  <c r="O67" i="2" s="1"/>
  <c r="O101" i="2" a="1"/>
  <c r="O101" i="2" s="1"/>
  <c r="K66" i="2" a="1"/>
  <c r="K66" i="2" s="1"/>
  <c r="O68" i="2" a="1"/>
  <c r="O68" i="2" s="1"/>
  <c r="O91" i="2" a="1"/>
  <c r="O91" i="2" s="1"/>
  <c r="O100" i="2" a="1"/>
  <c r="O100" i="2" s="1"/>
  <c r="O84" i="2" l="1" a="1"/>
  <c r="O84" i="2" s="1"/>
  <c r="N84" i="2" a="1"/>
  <c r="N84" i="2" s="1"/>
  <c r="O1011" i="1" a="1"/>
  <c r="O1011" i="1" s="1"/>
  <c r="N1011" i="1" a="1"/>
  <c r="N1011" i="1" s="1"/>
  <c r="N38" i="2" a="1"/>
  <c r="N38" i="2" s="1"/>
  <c r="O38" i="2" a="1"/>
  <c r="O38" i="2" s="1"/>
  <c r="O1578" i="1" a="1"/>
  <c r="O1578" i="1" s="1"/>
  <c r="N1578" i="1" a="1"/>
  <c r="N1578" i="1" s="1"/>
  <c r="O1584" i="1" a="1"/>
  <c r="O1584" i="1" s="1"/>
  <c r="N1468" i="1" a="1"/>
  <c r="N1468" i="1" s="1"/>
  <c r="O1468" i="1" a="1"/>
  <c r="O1468" i="1" s="1"/>
  <c r="O1418" i="1" a="1"/>
  <c r="O1418" i="1" s="1"/>
  <c r="N1418" i="1" a="1"/>
  <c r="N1418" i="1" s="1"/>
  <c r="N1264" i="1" a="1"/>
  <c r="N1264" i="1" s="1"/>
  <c r="O1264" i="1" a="1"/>
  <c r="O1264" i="1" s="1"/>
  <c r="O959" i="1" a="1"/>
  <c r="O959" i="1" s="1"/>
  <c r="N959" i="1" a="1"/>
  <c r="N959" i="1" s="1"/>
  <c r="O1027" i="1" a="1"/>
  <c r="O1027" i="1" s="1"/>
  <c r="N1027" i="1" a="1"/>
  <c r="N1027" i="1" s="1"/>
  <c r="O963" i="1" a="1"/>
  <c r="O963" i="1" s="1"/>
  <c r="N963" i="1" a="1"/>
  <c r="N963" i="1" s="1"/>
  <c r="N676" i="1" a="1"/>
  <c r="N676" i="1" s="1"/>
  <c r="O676" i="1" a="1"/>
  <c r="O676" i="1" s="1"/>
  <c r="N672" i="1" a="1"/>
  <c r="N672" i="1" s="1"/>
  <c r="O672" i="1" a="1"/>
  <c r="O672" i="1" s="1"/>
  <c r="N703" i="1" a="1"/>
  <c r="N703" i="1" s="1"/>
  <c r="O703" i="1" a="1"/>
  <c r="O703" i="1" s="1"/>
  <c r="O326" i="1" a="1"/>
  <c r="O326" i="1" s="1"/>
  <c r="O400" i="1" a="1"/>
  <c r="O400" i="1" s="1"/>
  <c r="O20" i="1" a="1"/>
  <c r="O20" i="1" s="1"/>
  <c r="O76" i="1" a="1"/>
  <c r="O76" i="1" s="1"/>
  <c r="O1023" i="1" a="1"/>
  <c r="O1023" i="1" s="1"/>
  <c r="N1023" i="1" a="1"/>
  <c r="N1023" i="1" s="1"/>
  <c r="N16" i="2" a="1"/>
  <c r="N16" i="2" s="1"/>
  <c r="O16" i="2" a="1"/>
  <c r="O16" i="2" s="1"/>
  <c r="O5" i="2" a="1"/>
  <c r="O5" i="2" s="1"/>
  <c r="N5" i="2" a="1"/>
  <c r="N5" i="2" s="1"/>
  <c r="O1576" i="1" a="1"/>
  <c r="O1576" i="1" s="1"/>
  <c r="N1467" i="1" a="1"/>
  <c r="N1467" i="1" s="1"/>
  <c r="O1467" i="1" a="1"/>
  <c r="O1467" i="1" s="1"/>
  <c r="O1448" i="1" a="1"/>
  <c r="O1448" i="1" s="1"/>
  <c r="N1448" i="1" a="1"/>
  <c r="N1448" i="1" s="1"/>
  <c r="O1414" i="1" a="1"/>
  <c r="O1414" i="1" s="1"/>
  <c r="N1414" i="1" a="1"/>
  <c r="N1414" i="1" s="1"/>
  <c r="O1447" i="1" a="1"/>
  <c r="O1447" i="1" s="1"/>
  <c r="N1447" i="1" a="1"/>
  <c r="N1447" i="1" s="1"/>
  <c r="O1428" i="1" a="1"/>
  <c r="O1428" i="1" s="1"/>
  <c r="O1340" i="1" a="1"/>
  <c r="O1340" i="1" s="1"/>
  <c r="O1248" i="1" a="1"/>
  <c r="O1248" i="1" s="1"/>
  <c r="N1245" i="1" a="1"/>
  <c r="N1245" i="1" s="1"/>
  <c r="O1245" i="1" a="1"/>
  <c r="O1245" i="1" s="1"/>
  <c r="O1069" i="1" a="1"/>
  <c r="O1069" i="1" s="1"/>
  <c r="N947" i="1" a="1"/>
  <c r="N947" i="1" s="1"/>
  <c r="O947" i="1" a="1"/>
  <c r="O947" i="1" s="1"/>
  <c r="O1039" i="1" a="1"/>
  <c r="O1039" i="1" s="1"/>
  <c r="N1039" i="1" a="1"/>
  <c r="N1039" i="1" s="1"/>
  <c r="O975" i="1" a="1"/>
  <c r="O975" i="1" s="1"/>
  <c r="N975" i="1" a="1"/>
  <c r="N975" i="1" s="1"/>
  <c r="O849" i="1" a="1"/>
  <c r="O849" i="1" s="1"/>
  <c r="N849" i="1" a="1"/>
  <c r="N849" i="1" s="1"/>
  <c r="O824" i="1" a="1"/>
  <c r="O824" i="1" s="1"/>
  <c r="N824" i="1" a="1"/>
  <c r="N824" i="1" s="1"/>
  <c r="N671" i="1" a="1"/>
  <c r="N671" i="1" s="1"/>
  <c r="O671" i="1" a="1"/>
  <c r="O671" i="1" s="1"/>
  <c r="N695" i="1" a="1"/>
  <c r="N695" i="1" s="1"/>
  <c r="O695" i="1" a="1"/>
  <c r="O695" i="1" s="1"/>
  <c r="O501" i="1" a="1"/>
  <c r="O501" i="1" s="1"/>
  <c r="O408" i="1" a="1"/>
  <c r="O408" i="1" s="1"/>
  <c r="O69" i="1" a="1"/>
  <c r="O69" i="1" s="1"/>
  <c r="O318" i="1" a="1"/>
  <c r="O318" i="1" s="1"/>
  <c r="O78" i="1" a="1"/>
  <c r="O78" i="1" s="1"/>
  <c r="O48" i="1" a="1"/>
  <c r="O48" i="1" s="1"/>
  <c r="O72" i="1" a="1"/>
  <c r="O72" i="1" s="1"/>
  <c r="O14" i="1" a="1"/>
  <c r="O14" i="1" s="1"/>
  <c r="N1575" i="1" a="1"/>
  <c r="N1575" i="1" s="1"/>
  <c r="O1575" i="1" a="1"/>
  <c r="O1575" i="1" s="1"/>
  <c r="N1394" i="1" a="1"/>
  <c r="N1394" i="1" s="1"/>
  <c r="O1394" i="1" a="1"/>
  <c r="O1394" i="1" s="1"/>
  <c r="O1006" i="1" a="1"/>
  <c r="O1006" i="1" s="1"/>
  <c r="O841" i="1" a="1"/>
  <c r="O841" i="1" s="1"/>
  <c r="N841" i="1" a="1"/>
  <c r="N841" i="1" s="1"/>
  <c r="N670" i="1" a="1"/>
  <c r="N670" i="1" s="1"/>
  <c r="O670" i="1" a="1"/>
  <c r="O670" i="1" s="1"/>
  <c r="K1722" i="1" a="1"/>
  <c r="K1722" i="1" s="1"/>
  <c r="N1722" i="1" s="1" a="1"/>
  <c r="N1722" i="1" s="1"/>
  <c r="N4" i="1" a="1"/>
  <c r="N4" i="1" s="1"/>
  <c r="P41" i="2" a="1"/>
  <c r="P41" i="2" s="1"/>
  <c r="S122" i="2" s="1" a="1"/>
  <c r="S122" i="2" s="1"/>
  <c r="N1591" i="1" a="1"/>
  <c r="N1591" i="1" s="1"/>
  <c r="O1591" i="1" a="1"/>
  <c r="O1591" i="1" s="1"/>
  <c r="N1573" i="1" a="1"/>
  <c r="N1573" i="1" s="1"/>
  <c r="O1573" i="1" a="1"/>
  <c r="O1573" i="1" s="1"/>
  <c r="P1641" i="1" s="1" a="1"/>
  <c r="P1641" i="1" s="1"/>
  <c r="O1585" i="1" a="1"/>
  <c r="O1585" i="1" s="1"/>
  <c r="O1502" i="1" a="1"/>
  <c r="O1502" i="1" s="1"/>
  <c r="P1565" i="1" s="1" a="1"/>
  <c r="P1565" i="1" s="1"/>
  <c r="N1465" i="1" a="1"/>
  <c r="N1465" i="1" s="1"/>
  <c r="O1465" i="1" a="1"/>
  <c r="O1465" i="1" s="1"/>
  <c r="O1498" i="1" a="1"/>
  <c r="O1498" i="1" s="1"/>
  <c r="O1395" i="1" a="1"/>
  <c r="O1395" i="1" s="1"/>
  <c r="O1449" i="1" a="1"/>
  <c r="O1449" i="1" s="1"/>
  <c r="O1327" i="1" a="1"/>
  <c r="O1327" i="1" s="1"/>
  <c r="O1293" i="1" a="1"/>
  <c r="O1293" i="1" s="1"/>
  <c r="O1227" i="1" a="1"/>
  <c r="O1227" i="1" s="1"/>
  <c r="P1302" i="1" s="1" a="1"/>
  <c r="P1302" i="1" s="1"/>
  <c r="O1243" i="1" a="1"/>
  <c r="O1243" i="1" s="1"/>
  <c r="N1059" i="1" a="1"/>
  <c r="N1059" i="1" s="1"/>
  <c r="O1059" i="1" a="1"/>
  <c r="O1059" i="1" s="1"/>
  <c r="N931" i="1" a="1"/>
  <c r="N931" i="1" s="1"/>
  <c r="O931" i="1" a="1"/>
  <c r="O931" i="1" s="1"/>
  <c r="O1018" i="1" a="1"/>
  <c r="O1018" i="1" s="1"/>
  <c r="O954" i="1" a="1"/>
  <c r="O954" i="1" s="1"/>
  <c r="O832" i="1" a="1"/>
  <c r="O832" i="1" s="1"/>
  <c r="N832" i="1" a="1"/>
  <c r="N832" i="1" s="1"/>
  <c r="O861" i="1" a="1"/>
  <c r="O861" i="1" s="1"/>
  <c r="N861" i="1" a="1"/>
  <c r="N861" i="1" s="1"/>
  <c r="N891" i="1" a="1"/>
  <c r="N891" i="1" s="1"/>
  <c r="O891" i="1" a="1"/>
  <c r="O891" i="1" s="1"/>
  <c r="N699" i="1" a="1"/>
  <c r="N699" i="1" s="1"/>
  <c r="O699" i="1" a="1"/>
  <c r="O699" i="1" s="1"/>
  <c r="N706" i="1" a="1"/>
  <c r="N706" i="1" s="1"/>
  <c r="O706" i="1" a="1"/>
  <c r="O706" i="1" s="1"/>
  <c r="N669" i="1" a="1"/>
  <c r="N669" i="1" s="1"/>
  <c r="O669" i="1" a="1"/>
  <c r="O669" i="1" s="1"/>
  <c r="N686" i="1" a="1"/>
  <c r="N686" i="1" s="1"/>
  <c r="O686" i="1" a="1"/>
  <c r="O686" i="1" s="1"/>
  <c r="O47" i="1" a="1"/>
  <c r="O47" i="1" s="1"/>
  <c r="O384" i="1" a="1"/>
  <c r="O384" i="1" s="1"/>
  <c r="O24" i="1" a="1"/>
  <c r="O24" i="1" s="1"/>
  <c r="O350" i="1" a="1"/>
  <c r="O350" i="1" s="1"/>
  <c r="O141" i="1" a="1"/>
  <c r="O141" i="1" s="1"/>
  <c r="O109" i="1" a="1"/>
  <c r="O109" i="1" s="1"/>
  <c r="O56" i="1" a="1"/>
  <c r="O56" i="1" s="1"/>
  <c r="O61" i="1" a="1"/>
  <c r="O61" i="1" s="1"/>
  <c r="O9" i="2" a="1"/>
  <c r="O9" i="2" s="1"/>
  <c r="N9" i="2" a="1"/>
  <c r="N9" i="2" s="1"/>
  <c r="K104" i="2" a="1"/>
  <c r="K104" i="2" s="1"/>
  <c r="N104" i="2" s="1" a="1"/>
  <c r="N104" i="2" s="1"/>
  <c r="N4" i="2" a="1"/>
  <c r="N4" i="2" s="1"/>
  <c r="O4" i="2" a="1"/>
  <c r="O4" i="2" s="1"/>
  <c r="N1583" i="1" a="1"/>
  <c r="N1583" i="1" s="1"/>
  <c r="O1583" i="1" a="1"/>
  <c r="O1583" i="1" s="1"/>
  <c r="O1577" i="1" a="1"/>
  <c r="O1577" i="1" s="1"/>
  <c r="O1472" i="1" a="1"/>
  <c r="O1472" i="1" s="1"/>
  <c r="N1451" i="1" a="1"/>
  <c r="N1451" i="1" s="1"/>
  <c r="O1451" i="1" a="1"/>
  <c r="O1451" i="1" s="1"/>
  <c r="O1483" i="1" a="1"/>
  <c r="O1483" i="1" s="1"/>
  <c r="O1436" i="1" a="1"/>
  <c r="O1436" i="1" s="1"/>
  <c r="P1489" i="1" s="1" a="1"/>
  <c r="P1489" i="1" s="1"/>
  <c r="O1356" i="1" a="1"/>
  <c r="O1356" i="1" s="1"/>
  <c r="O1325" i="1" a="1"/>
  <c r="O1325" i="1" s="1"/>
  <c r="O1244" i="1" a="1"/>
  <c r="O1244" i="1" s="1"/>
  <c r="N1244" i="1" a="1"/>
  <c r="N1244" i="1" s="1"/>
  <c r="O1073" i="1" a="1"/>
  <c r="O1073" i="1" s="1"/>
  <c r="O995" i="1" a="1"/>
  <c r="O995" i="1" s="1"/>
  <c r="N995" i="1" a="1"/>
  <c r="N995" i="1" s="1"/>
  <c r="N692" i="1" a="1"/>
  <c r="N692" i="1" s="1"/>
  <c r="O692" i="1" a="1"/>
  <c r="O692" i="1" s="1"/>
  <c r="N698" i="1" a="1"/>
  <c r="N698" i="1" s="1"/>
  <c r="O698" i="1" a="1"/>
  <c r="O698" i="1" s="1"/>
  <c r="N682" i="1" a="1"/>
  <c r="N682" i="1" s="1"/>
  <c r="O682" i="1" a="1"/>
  <c r="O682" i="1" s="1"/>
  <c r="N589" i="1" a="1"/>
  <c r="N589" i="1" s="1"/>
  <c r="O589" i="1" a="1"/>
  <c r="O589" i="1" s="1"/>
  <c r="P832" i="1" s="1" a="1"/>
  <c r="P832" i="1" s="1"/>
  <c r="O38" i="1" a="1"/>
  <c r="O38" i="1" s="1"/>
  <c r="O166" i="1" a="1"/>
  <c r="O166" i="1" s="1"/>
  <c r="O66" i="1" a="1"/>
  <c r="O66" i="1" s="1"/>
  <c r="O36" i="1" a="1"/>
  <c r="O36" i="1" s="1"/>
  <c r="O4" i="1" a="1"/>
  <c r="O4" i="1" s="1"/>
  <c r="O44" i="1" a="1"/>
  <c r="O44" i="1" s="1"/>
  <c r="O49" i="1" a="1"/>
  <c r="O49" i="1" s="1"/>
  <c r="N907" i="1" a="1"/>
  <c r="N907" i="1" s="1"/>
  <c r="O907" i="1" a="1"/>
  <c r="O907" i="1" s="1"/>
  <c r="N690" i="1" a="1"/>
  <c r="N690" i="1" s="1"/>
  <c r="O690" i="1" a="1"/>
  <c r="O690" i="1" s="1"/>
  <c r="O1670" i="1" a="1"/>
  <c r="O1670" i="1" s="1"/>
  <c r="O1588" i="1" a="1"/>
  <c r="O1588" i="1" s="1"/>
  <c r="N1588" i="1" a="1"/>
  <c r="N1588" i="1" s="1"/>
  <c r="O1589" i="1" a="1"/>
  <c r="O1589" i="1" s="1"/>
  <c r="N1517" i="1" a="1"/>
  <c r="N1517" i="1" s="1"/>
  <c r="O1517" i="1" a="1"/>
  <c r="O1517" i="1" s="1"/>
  <c r="O1475" i="1" a="1"/>
  <c r="O1475" i="1" s="1"/>
  <c r="O1228" i="1" a="1"/>
  <c r="O1228" i="1" s="1"/>
  <c r="N1228" i="1" a="1"/>
  <c r="N1228" i="1" s="1"/>
  <c r="N1269" i="1" a="1"/>
  <c r="N1269" i="1" s="1"/>
  <c r="O1269" i="1" a="1"/>
  <c r="O1269" i="1" s="1"/>
  <c r="N1240" i="1" a="1"/>
  <c r="N1240" i="1" s="1"/>
  <c r="O1240" i="1" a="1"/>
  <c r="O1240" i="1" s="1"/>
  <c r="N1079" i="1" a="1"/>
  <c r="N1079" i="1" s="1"/>
  <c r="O1079" i="1" a="1"/>
  <c r="O1079" i="1" s="1"/>
  <c r="N1075" i="1" a="1"/>
  <c r="N1075" i="1" s="1"/>
  <c r="O1075" i="1" a="1"/>
  <c r="O1075" i="1" s="1"/>
  <c r="O991" i="1" a="1"/>
  <c r="O991" i="1" s="1"/>
  <c r="N991" i="1" a="1"/>
  <c r="N991" i="1" s="1"/>
  <c r="O1007" i="1" a="1"/>
  <c r="O1007" i="1" s="1"/>
  <c r="N1007" i="1" a="1"/>
  <c r="N1007" i="1" s="1"/>
  <c r="O1043" i="1" a="1"/>
  <c r="O1043" i="1" s="1"/>
  <c r="N1043" i="1" a="1"/>
  <c r="N1043" i="1" s="1"/>
  <c r="O865" i="1" a="1"/>
  <c r="O865" i="1" s="1"/>
  <c r="N865" i="1" a="1"/>
  <c r="N865" i="1" s="1"/>
  <c r="N688" i="1" a="1"/>
  <c r="N688" i="1" s="1"/>
  <c r="O688" i="1" a="1"/>
  <c r="O688" i="1" s="1"/>
  <c r="N675" i="1" a="1"/>
  <c r="N675" i="1" s="1"/>
  <c r="O675" i="1" a="1"/>
  <c r="O675" i="1" s="1"/>
  <c r="N678" i="1" a="1"/>
  <c r="N678" i="1" s="1"/>
  <c r="O678" i="1" a="1"/>
  <c r="O678" i="1" s="1"/>
  <c r="O23" i="1" a="1"/>
  <c r="O23" i="1" s="1"/>
  <c r="O147" i="1" a="1"/>
  <c r="O147" i="1" s="1"/>
  <c r="O115" i="1" a="1"/>
  <c r="O115" i="1" s="1"/>
  <c r="O83" i="1" a="1"/>
  <c r="O83" i="1" s="1"/>
  <c r="O16" i="1" a="1"/>
  <c r="O16" i="1" s="1"/>
  <c r="O392" i="1" a="1"/>
  <c r="O392" i="1" s="1"/>
  <c r="O133" i="1" a="1"/>
  <c r="O133" i="1" s="1"/>
  <c r="O101" i="1" a="1"/>
  <c r="O101" i="1" s="1"/>
  <c r="P164" i="1" s="1" a="1"/>
  <c r="P164" i="1" s="1"/>
  <c r="O75" i="1" a="1"/>
  <c r="O75" i="1" s="1"/>
  <c r="N55" i="2" a="1"/>
  <c r="N55" i="2" s="1"/>
  <c r="O55" i="2" a="1"/>
  <c r="O55" i="2" s="1"/>
  <c r="N1410" i="1" a="1"/>
  <c r="N1410" i="1" s="1"/>
  <c r="O1410" i="1" a="1"/>
  <c r="O1410" i="1" s="1"/>
  <c r="N707" i="1" a="1"/>
  <c r="N707" i="1" s="1"/>
  <c r="O707" i="1" a="1"/>
  <c r="O707" i="1" s="1"/>
  <c r="N66" i="2" a="1"/>
  <c r="N66" i="2" s="1"/>
  <c r="O66" i="2" a="1"/>
  <c r="O66" i="2" s="1"/>
  <c r="N1470" i="1" a="1"/>
  <c r="N1470" i="1" s="1"/>
  <c r="O1470" i="1" a="1"/>
  <c r="O1470" i="1" s="1"/>
  <c r="O1336" i="1" a="1"/>
  <c r="O1336" i="1" s="1"/>
  <c r="O1332" i="1" a="1"/>
  <c r="O1332" i="1" s="1"/>
  <c r="O1236" i="1" a="1"/>
  <c r="O1236" i="1" s="1"/>
  <c r="O946" i="1" a="1"/>
  <c r="O946" i="1" s="1"/>
  <c r="N943" i="1" a="1"/>
  <c r="N943" i="1" s="1"/>
  <c r="O943" i="1" a="1"/>
  <c r="O943" i="1" s="1"/>
  <c r="N701" i="1" a="1"/>
  <c r="N701" i="1" s="1"/>
  <c r="O701" i="1" a="1"/>
  <c r="O701" i="1" s="1"/>
  <c r="N684" i="1" a="1"/>
  <c r="N684" i="1" s="1"/>
  <c r="O684" i="1" a="1"/>
  <c r="O684" i="1" s="1"/>
  <c r="N674" i="1" a="1"/>
  <c r="N674" i="1" s="1"/>
  <c r="O674" i="1" a="1"/>
  <c r="O674" i="1" s="1"/>
  <c r="O30" i="1" a="1"/>
  <c r="O30" i="1" s="1"/>
  <c r="O43" i="1" a="1"/>
  <c r="O43" i="1" s="1"/>
  <c r="O15" i="1" a="1"/>
  <c r="O15" i="1" s="1"/>
  <c r="O46" i="1" a="1"/>
  <c r="O46" i="1" s="1"/>
  <c r="P257" i="1" a="1"/>
  <c r="P257" i="1" s="1"/>
  <c r="O42" i="1" a="1"/>
  <c r="O42" i="1" s="1"/>
  <c r="O28" i="1" a="1"/>
  <c r="O28" i="1" s="1"/>
  <c r="O64" i="1" a="1"/>
  <c r="O64" i="1" s="1"/>
  <c r="O59" i="1" a="1"/>
  <c r="O59" i="1" s="1"/>
  <c r="O334" i="1" a="1"/>
  <c r="O334" i="1" s="1"/>
  <c r="N1466" i="1" a="1"/>
  <c r="N1466" i="1" s="1"/>
  <c r="O1466" i="1" a="1"/>
  <c r="O1466" i="1" s="1"/>
  <c r="N1406" i="1" a="1"/>
  <c r="N1406" i="1" s="1"/>
  <c r="O1406" i="1" a="1"/>
  <c r="O1406" i="1" s="1"/>
  <c r="N1095" i="1" a="1"/>
  <c r="N1095" i="1" s="1"/>
  <c r="O1095" i="1" a="1"/>
  <c r="O1095" i="1" s="1"/>
  <c r="N70" i="2" a="1"/>
  <c r="N70" i="2" s="1"/>
  <c r="O70" i="2" a="1"/>
  <c r="O70" i="2" s="1"/>
  <c r="N74" i="2" a="1"/>
  <c r="N74" i="2" s="1"/>
  <c r="O74" i="2" a="1"/>
  <c r="O74" i="2" s="1"/>
  <c r="O86" i="2" a="1"/>
  <c r="O86" i="2" s="1"/>
  <c r="N86" i="2" a="1"/>
  <c r="N86" i="2" s="1"/>
  <c r="N43" i="2" a="1"/>
  <c r="N43" i="2" s="1"/>
  <c r="O43" i="2" a="1"/>
  <c r="O43" i="2" s="1"/>
  <c r="N8" i="2" a="1"/>
  <c r="N8" i="2" s="1"/>
  <c r="O8" i="2" a="1"/>
  <c r="O8" i="2" s="1"/>
  <c r="O1580" i="1" a="1"/>
  <c r="O1580" i="1" s="1"/>
  <c r="N1580" i="1" a="1"/>
  <c r="N1580" i="1" s="1"/>
  <c r="O1586" i="1" a="1"/>
  <c r="O1586" i="1" s="1"/>
  <c r="N1586" i="1" a="1"/>
  <c r="N1586" i="1" s="1"/>
  <c r="N1469" i="1" a="1"/>
  <c r="N1469" i="1" s="1"/>
  <c r="O1469" i="1" a="1"/>
  <c r="O1469" i="1" s="1"/>
  <c r="O1450" i="1" a="1"/>
  <c r="O1450" i="1" s="1"/>
  <c r="N1450" i="1" a="1"/>
  <c r="N1450" i="1" s="1"/>
  <c r="O1422" i="1" a="1"/>
  <c r="O1422" i="1" s="1"/>
  <c r="N1422" i="1" a="1"/>
  <c r="N1422" i="1" s="1"/>
  <c r="O1399" i="1" a="1"/>
  <c r="O1399" i="1" s="1"/>
  <c r="O1407" i="1" a="1"/>
  <c r="O1407" i="1" s="1"/>
  <c r="O1419" i="1" a="1"/>
  <c r="O1419" i="1" s="1"/>
  <c r="O1312" i="1" a="1"/>
  <c r="O1312" i="1" s="1"/>
  <c r="P1425" i="1" s="1" a="1"/>
  <c r="P1425" i="1" s="1"/>
  <c r="Q1425" i="1" s="1" a="1"/>
  <c r="Q1425" i="1" s="1"/>
  <c r="O1287" i="1" a="1"/>
  <c r="O1287" i="1" s="1"/>
  <c r="O1260" i="1" a="1"/>
  <c r="O1260" i="1" s="1"/>
  <c r="O1074" i="1" a="1"/>
  <c r="O1074" i="1" s="1"/>
  <c r="O1070" i="1" a="1"/>
  <c r="O1070" i="1" s="1"/>
  <c r="O1026" i="1" a="1"/>
  <c r="O1026" i="1" s="1"/>
  <c r="O986" i="1" a="1"/>
  <c r="O986" i="1" s="1"/>
  <c r="O938" i="1" a="1"/>
  <c r="O938" i="1" s="1"/>
  <c r="P1157" i="1" s="1" a="1"/>
  <c r="P1157" i="1" s="1"/>
  <c r="O979" i="1" a="1"/>
  <c r="O979" i="1" s="1"/>
  <c r="N979" i="1" a="1"/>
  <c r="N979" i="1" s="1"/>
  <c r="O845" i="1" a="1"/>
  <c r="O845" i="1" s="1"/>
  <c r="N845" i="1" a="1"/>
  <c r="N845" i="1" s="1"/>
  <c r="N680" i="1" a="1"/>
  <c r="N680" i="1" s="1"/>
  <c r="O680" i="1" a="1"/>
  <c r="O680" i="1" s="1"/>
  <c r="N673" i="1" a="1"/>
  <c r="N673" i="1" s="1"/>
  <c r="O673" i="1" a="1"/>
  <c r="O673" i="1" s="1"/>
  <c r="O376" i="1" a="1"/>
  <c r="O376" i="1" s="1"/>
  <c r="O310" i="1" a="1"/>
  <c r="O310" i="1" s="1"/>
  <c r="P555" i="1" s="1" a="1"/>
  <c r="P555" i="1" s="1"/>
  <c r="O139" i="1" a="1"/>
  <c r="O139" i="1" s="1"/>
  <c r="O107" i="1" a="1"/>
  <c r="O107" i="1" s="1"/>
  <c r="O424" i="1" a="1"/>
  <c r="O424" i="1" s="1"/>
  <c r="O60" i="1" a="1"/>
  <c r="O60" i="1" s="1"/>
  <c r="O11" i="1" a="1"/>
  <c r="O11" i="1" s="1"/>
  <c r="P1722" i="1" l="1" a="1"/>
  <c r="P1722" i="1" s="1"/>
  <c r="O1722" i="1" a="1"/>
  <c r="O1722" i="1" s="1"/>
  <c r="P87" i="2" a="1"/>
  <c r="P87" i="2" s="1"/>
  <c r="O104" i="2" a="1"/>
  <c r="O104" i="2" s="1"/>
  <c r="P20" i="2" a="1"/>
  <c r="P20" i="2" s="1"/>
  <c r="P104" i="2" s="1" a="1"/>
  <c r="P104" i="2" s="1"/>
  <c r="S123" i="2" a="1"/>
  <c r="S123" i="2" s="1"/>
  <c r="V123" i="2" l="1" a="1"/>
  <c r="V123" i="2" s="1"/>
  <c r="U123" i="2" a="1"/>
  <c r="U12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<sst xmlns="http://schemas.openxmlformats.org/spreadsheetml/2006/main" count="2055" uniqueCount="439">
  <si>
    <t>Sembol</t>
  </si>
  <si>
    <t>Tarih</t>
  </si>
  <si>
    <t>Fark</t>
  </si>
  <si>
    <t>Yüzde Kazanç</t>
  </si>
  <si>
    <t>Lot Adedi</t>
  </si>
  <si>
    <t>Price Paid in US Dollars</t>
  </si>
  <si>
    <t>Alış Komisyonu</t>
  </si>
  <si>
    <t>Satış Komisyonu</t>
  </si>
  <si>
    <t>Toplam Komisyon</t>
  </si>
  <si>
    <t>Komisyonsuz Kar/Zarar</t>
  </si>
  <si>
    <t>Previous Gain</t>
  </si>
  <si>
    <t>% Gain</t>
  </si>
  <si>
    <t>Komisyonlu Kar/Zarar</t>
  </si>
  <si>
    <t>–</t>
  </si>
  <si>
    <t>AUDIO</t>
  </si>
  <si>
    <t>MITH</t>
  </si>
  <si>
    <t>REN</t>
  </si>
  <si>
    <t>ZRX</t>
  </si>
  <si>
    <t>UMA</t>
  </si>
  <si>
    <t>WRX</t>
  </si>
  <si>
    <t>REEF</t>
  </si>
  <si>
    <t>BTS</t>
  </si>
  <si>
    <t>FORTH</t>
  </si>
  <si>
    <t>XVS</t>
  </si>
  <si>
    <t>LINA</t>
  </si>
  <si>
    <t>OMG</t>
  </si>
  <si>
    <t>KAVA</t>
  </si>
  <si>
    <t>ROSE</t>
  </si>
  <si>
    <t>OCEAN</t>
  </si>
  <si>
    <t>GO</t>
  </si>
  <si>
    <t>BTC</t>
  </si>
  <si>
    <t>LINK</t>
  </si>
  <si>
    <t>DATA</t>
  </si>
  <si>
    <t>WIN</t>
  </si>
  <si>
    <t>CHZ</t>
  </si>
  <si>
    <t>CRV</t>
  </si>
  <si>
    <t>IOTA</t>
  </si>
  <si>
    <t>NEO</t>
  </si>
  <si>
    <t>ORN</t>
  </si>
  <si>
    <t>TCT</t>
  </si>
  <si>
    <t>RUNE</t>
  </si>
  <si>
    <t>ETH</t>
  </si>
  <si>
    <t>DASH</t>
  </si>
  <si>
    <t>GRT</t>
  </si>
  <si>
    <t>BNBDOWN</t>
  </si>
  <si>
    <t>ETHDOWN</t>
  </si>
  <si>
    <t>MIR</t>
  </si>
  <si>
    <t>ATM</t>
  </si>
  <si>
    <t>CAKE</t>
  </si>
  <si>
    <t>PSG</t>
  </si>
  <si>
    <t>ALICE</t>
  </si>
  <si>
    <t>SXP</t>
  </si>
  <si>
    <t>XMR</t>
  </si>
  <si>
    <t>WTC</t>
  </si>
  <si>
    <t>SAND</t>
  </si>
  <si>
    <t>IRIS</t>
  </si>
  <si>
    <t>RSR</t>
  </si>
  <si>
    <t>BEL</t>
  </si>
  <si>
    <t>XRP</t>
  </si>
  <si>
    <t>BAR</t>
  </si>
  <si>
    <t>SFP</t>
  </si>
  <si>
    <t>COMP</t>
  </si>
  <si>
    <t>FIO</t>
  </si>
  <si>
    <t>BLZ</t>
  </si>
  <si>
    <t>DOGE</t>
  </si>
  <si>
    <t>QSP</t>
  </si>
  <si>
    <t>CHR</t>
  </si>
  <si>
    <t>ATA</t>
  </si>
  <si>
    <t xml:space="preserve">FIO </t>
  </si>
  <si>
    <t>REP</t>
  </si>
  <si>
    <t>RLC</t>
  </si>
  <si>
    <t>FOR</t>
  </si>
  <si>
    <t>MDT</t>
  </si>
  <si>
    <t>XVG</t>
  </si>
  <si>
    <t>PNT</t>
  </si>
  <si>
    <t>LTO</t>
  </si>
  <si>
    <t>SHIB</t>
  </si>
  <si>
    <t>SUPER</t>
  </si>
  <si>
    <t>RAMP</t>
  </si>
  <si>
    <t>AUTO</t>
  </si>
  <si>
    <t>EPS</t>
  </si>
  <si>
    <t>PERL</t>
  </si>
  <si>
    <t>IOTX</t>
  </si>
  <si>
    <t>STMX</t>
  </si>
  <si>
    <t>RIF</t>
  </si>
  <si>
    <t>DIA</t>
  </si>
  <si>
    <t>NKN</t>
  </si>
  <si>
    <t>FIS</t>
  </si>
  <si>
    <t>RVN</t>
  </si>
  <si>
    <t>VET</t>
  </si>
  <si>
    <t>ARPA</t>
  </si>
  <si>
    <t>BZRX</t>
  </si>
  <si>
    <t>DGB</t>
  </si>
  <si>
    <t>LIT</t>
  </si>
  <si>
    <t>1INCH</t>
  </si>
  <si>
    <t>TLM</t>
  </si>
  <si>
    <t>ANKR</t>
  </si>
  <si>
    <t>ERN</t>
  </si>
  <si>
    <t>ICX</t>
  </si>
  <si>
    <t>FİO</t>
  </si>
  <si>
    <t>HARD</t>
  </si>
  <si>
    <t>DNT</t>
  </si>
  <si>
    <t>JUV</t>
  </si>
  <si>
    <t>KEEP</t>
  </si>
  <si>
    <t>NULS</t>
  </si>
  <si>
    <t>OGN</t>
  </si>
  <si>
    <t>WAN</t>
  </si>
  <si>
    <t>SKL</t>
  </si>
  <si>
    <t>NEAR</t>
  </si>
  <si>
    <t>STPT</t>
  </si>
  <si>
    <t>BTCST</t>
  </si>
  <si>
    <t>GXS</t>
  </si>
  <si>
    <t>VTHO</t>
  </si>
  <si>
    <t>DOCK</t>
  </si>
  <si>
    <t>AVA</t>
  </si>
  <si>
    <t>OXT</t>
  </si>
  <si>
    <t>BNB</t>
  </si>
  <si>
    <t>CTK</t>
  </si>
  <si>
    <t>AION</t>
  </si>
  <si>
    <t>ONE</t>
  </si>
  <si>
    <t>CFX</t>
  </si>
  <si>
    <t>DOT</t>
  </si>
  <si>
    <t>TKO</t>
  </si>
  <si>
    <t>MTL</t>
  </si>
  <si>
    <t>DODO</t>
  </si>
  <si>
    <t>FIRO</t>
  </si>
  <si>
    <t>LRC</t>
  </si>
  <si>
    <t>ASR</t>
  </si>
  <si>
    <t>DUSK</t>
  </si>
  <si>
    <t>UNFI</t>
  </si>
  <si>
    <t>BEAM</t>
  </si>
  <si>
    <t>TRB</t>
  </si>
  <si>
    <t>SLP</t>
  </si>
  <si>
    <t>TWT</t>
  </si>
  <si>
    <t>SRM</t>
  </si>
  <si>
    <t>BAT</t>
  </si>
  <si>
    <t>ONT</t>
  </si>
  <si>
    <t>YOYO</t>
  </si>
  <si>
    <t>DEXE</t>
  </si>
  <si>
    <t>1İNCH</t>
  </si>
  <si>
    <t>RAY</t>
  </si>
  <si>
    <t>BURGER</t>
  </si>
  <si>
    <t>BAKE</t>
  </si>
  <si>
    <t>MBOX</t>
  </si>
  <si>
    <t>IOST</t>
  </si>
  <si>
    <t>SNX</t>
  </si>
  <si>
    <t>COS</t>
  </si>
  <si>
    <t>CTXC</t>
  </si>
  <si>
    <t>JST</t>
  </si>
  <si>
    <t>VITE</t>
  </si>
  <si>
    <t>STORJ</t>
  </si>
  <si>
    <t>CLV</t>
  </si>
  <si>
    <t>GTO</t>
  </si>
  <si>
    <t>TVK</t>
  </si>
  <si>
    <t>THETA</t>
  </si>
  <si>
    <t>HBAR</t>
  </si>
  <si>
    <t>STRAX</t>
  </si>
  <si>
    <t>COTI</t>
  </si>
  <si>
    <t>NANO</t>
  </si>
  <si>
    <t>BAL</t>
  </si>
  <si>
    <t>FUN</t>
  </si>
  <si>
    <t>HOT</t>
  </si>
  <si>
    <t>DEGO</t>
  </si>
  <si>
    <t>WAXP</t>
  </si>
  <si>
    <t>YFII</t>
  </si>
  <si>
    <t>DREP</t>
  </si>
  <si>
    <t>GTC</t>
  </si>
  <si>
    <t>QTUM</t>
  </si>
  <si>
    <t>ENJ</t>
  </si>
  <si>
    <t>DAO</t>
  </si>
  <si>
    <t>CTSI</t>
  </si>
  <si>
    <t>BAND</t>
  </si>
  <si>
    <t>LTC</t>
  </si>
  <si>
    <t>ACM</t>
  </si>
  <si>
    <t>ELF</t>
  </si>
  <si>
    <t>QNT</t>
  </si>
  <si>
    <t>POLY</t>
  </si>
  <si>
    <t>EGLD</t>
  </si>
  <si>
    <t>MINA</t>
  </si>
  <si>
    <t>FXS</t>
  </si>
  <si>
    <t>FTM</t>
  </si>
  <si>
    <t>CELR</t>
  </si>
  <si>
    <t>FET</t>
  </si>
  <si>
    <t>REQ</t>
  </si>
  <si>
    <t>QUICK</t>
  </si>
  <si>
    <t>POLS</t>
  </si>
  <si>
    <t>NU</t>
  </si>
  <si>
    <t>ZEN</t>
  </si>
  <si>
    <t>MFT</t>
  </si>
  <si>
    <t>ADA</t>
  </si>
  <si>
    <t>AVAX</t>
  </si>
  <si>
    <t>MASK</t>
  </si>
  <si>
    <t>OM</t>
  </si>
  <si>
    <t>INJ</t>
  </si>
  <si>
    <t>ZIL</t>
  </si>
  <si>
    <t>XLM</t>
  </si>
  <si>
    <t>FARM</t>
  </si>
  <si>
    <t>KMD</t>
  </si>
  <si>
    <t>CELO</t>
  </si>
  <si>
    <t>AXS</t>
  </si>
  <si>
    <t>POND</t>
  </si>
  <si>
    <t>BADGER</t>
  </si>
  <si>
    <t>UNI</t>
  </si>
  <si>
    <t>LPT</t>
  </si>
  <si>
    <t>TRU</t>
  </si>
  <si>
    <t>TOMO</t>
  </si>
  <si>
    <t>HNT</t>
  </si>
  <si>
    <t>LAZIO</t>
  </si>
  <si>
    <t>POA</t>
  </si>
  <si>
    <t>** Fatih,Kayra</t>
  </si>
  <si>
    <t>AKRO</t>
  </si>
  <si>
    <t>ARDR</t>
  </si>
  <si>
    <t xml:space="preserve">MIR </t>
  </si>
  <si>
    <t>DYDX</t>
  </si>
  <si>
    <t>YGG</t>
  </si>
  <si>
    <t>SUN</t>
  </si>
  <si>
    <t>STX</t>
  </si>
  <si>
    <t>ICP</t>
  </si>
  <si>
    <t>EOS</t>
  </si>
  <si>
    <t>FLM</t>
  </si>
  <si>
    <t>XTZ</t>
  </si>
  <si>
    <t>RARE</t>
  </si>
  <si>
    <t>GALA</t>
  </si>
  <si>
    <t>ETC</t>
  </si>
  <si>
    <t>EVX</t>
  </si>
  <si>
    <t>GATE</t>
  </si>
  <si>
    <t>KNC</t>
  </si>
  <si>
    <t>KLAY</t>
  </si>
  <si>
    <t>NXS</t>
  </si>
  <si>
    <t>ARNX</t>
  </si>
  <si>
    <t>OCTO</t>
  </si>
  <si>
    <t>ZSC</t>
  </si>
  <si>
    <t>LSK</t>
  </si>
  <si>
    <t>CHESS</t>
  </si>
  <si>
    <t>BTF</t>
  </si>
  <si>
    <t>C98</t>
  </si>
  <si>
    <t>EGG</t>
  </si>
  <si>
    <t>GDAO</t>
  </si>
  <si>
    <t>LIBRE</t>
  </si>
  <si>
    <t>ENS</t>
  </si>
  <si>
    <t>MCASH</t>
  </si>
  <si>
    <t>FLURRY</t>
  </si>
  <si>
    <t>WING</t>
  </si>
  <si>
    <t>CSPR</t>
  </si>
  <si>
    <t>TRY</t>
  </si>
  <si>
    <t>EZ</t>
  </si>
  <si>
    <t>MET</t>
  </si>
  <si>
    <t>AMP</t>
  </si>
  <si>
    <t>ALPACA</t>
  </si>
  <si>
    <t>RIN</t>
  </si>
  <si>
    <t>ZEC</t>
  </si>
  <si>
    <t>AGLD</t>
  </si>
  <si>
    <t>SAND (V)</t>
  </si>
  <si>
    <t>RACA</t>
  </si>
  <si>
    <t>BLT</t>
  </si>
  <si>
    <t>SASHIMI</t>
  </si>
  <si>
    <t>NEBL</t>
  </si>
  <si>
    <t>VIDT</t>
  </si>
  <si>
    <t>GRS</t>
  </si>
  <si>
    <t>VADELİ</t>
  </si>
  <si>
    <t>POWR</t>
  </si>
  <si>
    <t>CITY</t>
  </si>
  <si>
    <t>NBOT</t>
  </si>
  <si>
    <t>FAN</t>
  </si>
  <si>
    <t>FIDA</t>
  </si>
  <si>
    <t>ELEC</t>
  </si>
  <si>
    <t>TTK</t>
  </si>
  <si>
    <t>OAX</t>
  </si>
  <si>
    <t>FLOKI</t>
  </si>
  <si>
    <t>KSM</t>
  </si>
  <si>
    <t>MRCH</t>
  </si>
  <si>
    <t>NBP</t>
  </si>
  <si>
    <t>XEC</t>
  </si>
  <si>
    <t>DAR</t>
  </si>
  <si>
    <t>SCAM</t>
  </si>
  <si>
    <t>MC</t>
  </si>
  <si>
    <t>PORTO</t>
  </si>
  <si>
    <t>KOMİSYON</t>
  </si>
  <si>
    <t>BTC V</t>
  </si>
  <si>
    <t>MX</t>
  </si>
  <si>
    <t>ALPHA</t>
  </si>
  <si>
    <t>AR</t>
  </si>
  <si>
    <t>SUSHI</t>
  </si>
  <si>
    <t>MATIC</t>
  </si>
  <si>
    <t>JASMY</t>
  </si>
  <si>
    <t>IMX</t>
  </si>
  <si>
    <t>MIINA</t>
  </si>
  <si>
    <t>UTK</t>
  </si>
  <si>
    <t>FRONT</t>
  </si>
  <si>
    <t>FLOW</t>
  </si>
  <si>
    <t>BICO</t>
  </si>
  <si>
    <t>WOO</t>
  </si>
  <si>
    <t>PEOPLE</t>
  </si>
  <si>
    <t>MANA</t>
  </si>
  <si>
    <t>ILV</t>
  </si>
  <si>
    <t>ALGO</t>
  </si>
  <si>
    <t>BCASH</t>
  </si>
  <si>
    <t>PERP</t>
  </si>
  <si>
    <t>DENT</t>
  </si>
  <si>
    <t>HIVE</t>
  </si>
  <si>
    <t>SPELL</t>
  </si>
  <si>
    <t>RAD</t>
  </si>
  <si>
    <t>SCRT</t>
  </si>
  <si>
    <t>APE</t>
  </si>
  <si>
    <t>ATOM</t>
  </si>
  <si>
    <t xml:space="preserve">ATOM	</t>
  </si>
  <si>
    <t>GLMR</t>
  </si>
  <si>
    <t>TRX</t>
  </si>
  <si>
    <t>GMT</t>
  </si>
  <si>
    <t>WAVES</t>
  </si>
  <si>
    <t>SOL</t>
  </si>
  <si>
    <t>QI</t>
  </si>
  <si>
    <t>MDX</t>
  </si>
  <si>
    <t>Portföy</t>
  </si>
  <si>
    <t>Hisse Alış Fiyatı</t>
  </si>
  <si>
    <t>Hisse Satış Fiyatı</t>
  </si>
  <si>
    <t>NOTLAR</t>
  </si>
  <si>
    <t>6 EKİM</t>
  </si>
  <si>
    <t>İPEKE</t>
  </si>
  <si>
    <t>FLAP</t>
  </si>
  <si>
    <t>KNFRT</t>
  </si>
  <si>
    <t>TRCAS</t>
  </si>
  <si>
    <t>KARSN</t>
  </si>
  <si>
    <t>EGPRO</t>
  </si>
  <si>
    <t>AYEN</t>
  </si>
  <si>
    <t>AVOD</t>
  </si>
  <si>
    <t>ALGYO</t>
  </si>
  <si>
    <t>IHGZT</t>
  </si>
  <si>
    <t>MEGAP</t>
  </si>
  <si>
    <t>TURSG</t>
  </si>
  <si>
    <t>SASA</t>
  </si>
  <si>
    <t>ALİ PERŞEMBE!</t>
  </si>
  <si>
    <t>06.11-12.11</t>
  </si>
  <si>
    <t>6 KASIM</t>
  </si>
  <si>
    <t>CEMAS</t>
  </si>
  <si>
    <t>11.11-13.11</t>
  </si>
  <si>
    <t>YAYLA</t>
  </si>
  <si>
    <t>12.11-13.11</t>
  </si>
  <si>
    <t>13.11-13.11</t>
  </si>
  <si>
    <t>13.11-16.11</t>
  </si>
  <si>
    <t>16.11-17.11</t>
  </si>
  <si>
    <t>18.11-18.11</t>
  </si>
  <si>
    <t>AKBNK</t>
  </si>
  <si>
    <t>19.11-19.11</t>
  </si>
  <si>
    <t>TKFEN</t>
  </si>
  <si>
    <t>20.11-23.11</t>
  </si>
  <si>
    <t>23.11-23.11</t>
  </si>
  <si>
    <t>ODAS</t>
  </si>
  <si>
    <t>KUTPO</t>
  </si>
  <si>
    <t>OYAKC</t>
  </si>
  <si>
    <t>23.11-24.11</t>
  </si>
  <si>
    <t>6 ARALIK</t>
  </si>
  <si>
    <t>CRDFA</t>
  </si>
  <si>
    <t>26.11-11.12</t>
  </si>
  <si>
    <t>26.11-9.12</t>
  </si>
  <si>
    <t>1.12-9.12</t>
  </si>
  <si>
    <t>9.12-9.12</t>
  </si>
  <si>
    <t>9.12-10.12</t>
  </si>
  <si>
    <t>10.12-11.12</t>
  </si>
  <si>
    <t>11.12-14.12</t>
  </si>
  <si>
    <t>POLHO</t>
  </si>
  <si>
    <t>17.12-21.12</t>
  </si>
  <si>
    <t>18.12-21.12</t>
  </si>
  <si>
    <t>TSKB</t>
  </si>
  <si>
    <t>21.12-21.12</t>
  </si>
  <si>
    <t>VAKFN</t>
  </si>
  <si>
    <t>21.12-22.12</t>
  </si>
  <si>
    <t>KLMSN</t>
  </si>
  <si>
    <t>22.12-22.12</t>
  </si>
  <si>
    <t>22.12-23.12</t>
  </si>
  <si>
    <t>23.12-23.12</t>
  </si>
  <si>
    <t>ADESE</t>
  </si>
  <si>
    <t>25.12-28.12</t>
  </si>
  <si>
    <t>KRVT</t>
  </si>
  <si>
    <t>28.12-28.12</t>
  </si>
  <si>
    <t>EGEEN</t>
  </si>
  <si>
    <t>28.12-29.12</t>
  </si>
  <si>
    <t>29.12-30.12</t>
  </si>
  <si>
    <t>29.12-29.12</t>
  </si>
  <si>
    <t>29.12-4.01</t>
  </si>
  <si>
    <t>HATEK</t>
  </si>
  <si>
    <t>30.12-31.12</t>
  </si>
  <si>
    <t>30.12-4.01</t>
  </si>
  <si>
    <t>5.01-22.01</t>
  </si>
  <si>
    <t>6 OCAK</t>
  </si>
  <si>
    <t>DURDO</t>
  </si>
  <si>
    <t>22.01-27.01</t>
  </si>
  <si>
    <t>EGSER</t>
  </si>
  <si>
    <t>27.01-27.01</t>
  </si>
  <si>
    <t>28.01-28.01</t>
  </si>
  <si>
    <t>BAKAB</t>
  </si>
  <si>
    <t>29.01-29.01</t>
  </si>
  <si>
    <t>Hesap Hareketleri</t>
  </si>
  <si>
    <t>TARİH</t>
  </si>
  <si>
    <t xml:space="preserve">PARA GİRİŞ-ÇIKIŞI </t>
  </si>
  <si>
    <t>PORTFÖY TUTARI</t>
  </si>
  <si>
    <t>AYLIK KAZANÇ</t>
  </si>
  <si>
    <t>AYLIK YÜZDE KAZANÇ</t>
  </si>
  <si>
    <t>KASIM</t>
  </si>
  <si>
    <t>-</t>
  </si>
  <si>
    <t>ARALIK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</si>
  <si>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</si>
  <si>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</si>
  <si>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</si>
  <si>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</si>
  <si>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</si>
  <si>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</si>
  <si>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</si>
  <si>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</si>
  <si>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</si>
  <si>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</si>
  <si>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Symbol</t>
  </si>
  <si>
    <t>Date</t>
  </si>
  <si>
    <t>Buy Price</t>
  </si>
  <si>
    <t>Sell Price</t>
  </si>
  <si>
    <t>Diff.</t>
  </si>
  <si>
    <t>Percentage Gain</t>
  </si>
  <si>
    <t>Qty</t>
  </si>
  <si>
    <t>Buy Comission</t>
  </si>
  <si>
    <t>Sell Comission</t>
  </si>
  <si>
    <t>Total Comission</t>
  </si>
  <si>
    <t>Before Comission P&amp;L</t>
  </si>
  <si>
    <t>Net P&amp;L</t>
  </si>
  <si>
    <t>Notes</t>
  </si>
  <si>
    <t>1 May</t>
  </si>
  <si>
    <t xml:space="preserve">May P&amp;L : </t>
  </si>
  <si>
    <t>Currency</t>
  </si>
  <si>
    <t>June P&amp;L :</t>
  </si>
  <si>
    <t>July P&amp;L:</t>
  </si>
  <si>
    <t>August P&amp;L:</t>
  </si>
  <si>
    <t>September P&amp;L:</t>
  </si>
  <si>
    <t>October P&amp;L:</t>
  </si>
  <si>
    <t>November P&amp;L:</t>
  </si>
  <si>
    <t>(Besides Scam)</t>
  </si>
  <si>
    <t>December P&amp;L:</t>
  </si>
  <si>
    <t>January P&amp;L:</t>
  </si>
  <si>
    <t>February P&amp;L:</t>
  </si>
  <si>
    <t>March P&amp;L:</t>
  </si>
  <si>
    <t>Perpetual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</si>
</sst>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.00000"/>
    <numFmt numFmtId="165" formatCode="#,##0.00[$TRY]"/>
    <numFmt numFmtId="166" formatCode="&quot;$&quot;0.00"/>
    <numFmt numFmtId="167" formatCode="dd\.mm\.yyyy"/>
    <numFmt numFmtId="168" formatCode="&quot;$&quot;0.0000"/>
    <numFmt numFmtId="169" formatCode="&quot;$&quot;0.00000"/>
    <numFmt numFmtId="170" formatCode="#,##0.00%"/>
    <numFmt numFmtId="171" formatCode="&quot;$&quot;#,##0.00"/>
    <numFmt numFmtId="172" formatCode="0.0%"/>
    <numFmt numFmtId="173" formatCode="&quot;$&quot;#,##0.0000"/>
    <numFmt numFmtId="174" formatCode="d\.mm\.yyyy"/>
    <numFmt numFmtId="175" formatCode="d\.m\.yyyy"/>
    <numFmt numFmtId="176" formatCode="d\.\ mmm\ yyyy"/>
    <numFmt numFmtId="177" formatCode="0.00[$TRY]"/>
    <numFmt numFmtId="178" formatCode="0.000[$TRY]"/>
    <numFmt numFmtId="179" formatCode="0.00%;[Red]0.00%"/>
  </numFmts>
  <fonts count="3">
    <font>
      <sz val="10"/>
      <color indexed="8"/>
      <name val="Avenir Next Regular"/>
    </font>
    <font>
      <sz val="10"/>
      <color indexed="8"/>
      <name val="Avenir Next Demi Bold"/>
    </font>
    <font>
      <b/>
      <sz val="12"/>
      <color indexed="8"/>
      <name val="Avenir Next Regular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5"/>
      </bottom>
      <diagonal/>
    </border>
    <border>
      <left style="thin">
        <color indexed="11"/>
      </left>
      <right style="thin">
        <color indexed="12"/>
      </right>
      <top style="thin">
        <color indexed="15"/>
      </top>
      <bottom style="thin">
        <color indexed="11"/>
      </bottom>
      <diagonal/>
    </border>
    <border>
      <left style="thin">
        <color indexed="12"/>
      </left>
      <right/>
      <top style="thin">
        <color indexed="15"/>
      </top>
      <bottom style="thin">
        <color indexed="11"/>
      </bottom>
      <diagonal/>
    </border>
    <border>
      <left/>
      <right/>
      <top style="thin">
        <color indexed="15"/>
      </top>
      <bottom style="thin">
        <color indexed="11"/>
      </bottom>
      <diagonal/>
    </border>
    <border>
      <left/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8"/>
      </left>
      <right/>
      <top style="thin">
        <color indexed="18"/>
      </top>
      <bottom style="thin">
        <color indexed="12"/>
      </bottom>
      <diagonal/>
    </border>
    <border>
      <left/>
      <right/>
      <top style="thin">
        <color indexed="18"/>
      </top>
      <bottom style="thin">
        <color indexed="12"/>
      </bottom>
      <diagonal/>
    </border>
    <border>
      <left/>
      <right style="thin">
        <color indexed="18"/>
      </right>
      <top style="thin">
        <color indexed="18"/>
      </top>
      <bottom style="thin">
        <color indexed="12"/>
      </bottom>
      <diagonal/>
    </border>
    <border>
      <left style="thin">
        <color indexed="1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8"/>
      </right>
      <top style="thin">
        <color indexed="12"/>
      </top>
      <bottom style="thin">
        <color indexed="12"/>
      </bottom>
      <diagonal/>
    </border>
    <border>
      <left style="thin">
        <color indexed="18"/>
      </left>
      <right style="thin">
        <color indexed="12"/>
      </right>
      <top style="thin">
        <color indexed="12"/>
      </top>
      <bottom style="thin">
        <color indexed="1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8"/>
      </bottom>
      <diagonal/>
    </border>
    <border>
      <left style="thin">
        <color indexed="12"/>
      </left>
      <right style="thin">
        <color indexed="18"/>
      </right>
      <top style="thin">
        <color indexed="12"/>
      </top>
      <bottom style="thin">
        <color indexed="1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4">
    <xf numFmtId="0" fontId="0" fillId="0" borderId="0" xfId="0">
      <alignment vertical="top" wrapText="1"/>
    </xf>
    <xf numFmtId="0" fontId="0" fillId="2" borderId="0" xfId="0" applyNumberFormat="1" applyFill="1">
      <alignment vertical="top" wrapText="1"/>
    </xf>
    <xf numFmtId="49" fontId="1" fillId="3" borderId="1" xfId="0" applyNumberFormat="1" applyFont="1" applyFill="1" applyBorder="1" applyAlignment="1">
      <alignment horizontal="center" vertical="top" wrapText="1"/>
    </xf>
    <xf numFmtId="49" fontId="1" fillId="3" borderId="2" xfId="0" applyNumberFormat="1" applyFont="1" applyFill="1" applyBorder="1" applyAlignment="1">
      <alignment horizontal="center" vertical="top" wrapText="1"/>
    </xf>
    <xf numFmtId="49" fontId="1" fillId="3" borderId="2" xfId="0" applyNumberFormat="1" applyFont="1" applyFill="1" applyBorder="1" applyAlignment="1">
      <alignment horizontal="left" vertical="top" wrapText="1"/>
    </xf>
    <xf numFmtId="49" fontId="1" fillId="3" borderId="2" xfId="0" applyNumberFormat="1" applyFont="1" applyFill="1" applyBorder="1">
      <alignment vertical="top" wrapText="1"/>
    </xf>
    <xf numFmtId="49" fontId="1" fillId="3" borderId="3" xfId="0" applyNumberFormat="1" applyFont="1" applyFill="1" applyBorder="1" applyAlignment="1">
      <alignment horizontal="center" vertical="top" wrapText="1"/>
    </xf>
    <xf numFmtId="0" fontId="1" fillId="4" borderId="4" xfId="0" applyFont="1" applyFill="1" applyBorder="1">
      <alignment vertical="top" wrapText="1"/>
    </xf>
    <xf numFmtId="0" fontId="0" fillId="2" borderId="5" xfId="0" applyFill="1" applyBorder="1" applyAlignment="1">
      <alignment horizontal="center" vertical="top" wrapText="1"/>
    </xf>
    <xf numFmtId="164" fontId="0" fillId="2" borderId="5" xfId="0" applyNumberFormat="1" applyFill="1" applyBorder="1" applyAlignment="1">
      <alignment horizontal="center" vertical="top" wrapText="1"/>
    </xf>
    <xf numFmtId="165" fontId="0" fillId="2" borderId="5" xfId="0" applyNumberFormat="1" applyFill="1" applyBorder="1" applyAlignment="1">
      <alignment horizontal="right" vertical="top" wrapText="1"/>
    </xf>
    <xf numFmtId="166" fontId="0" fillId="2" borderId="5" xfId="0" applyNumberFormat="1" applyFill="1" applyBorder="1" applyAlignment="1">
      <alignment horizontal="center" vertical="top" wrapText="1"/>
    </xf>
    <xf numFmtId="166" fontId="0" fillId="2" borderId="5" xfId="0" applyNumberFormat="1" applyFill="1" applyBorder="1">
      <alignment vertical="top" wrapText="1"/>
    </xf>
    <xf numFmtId="0" fontId="0" fillId="2" borderId="5" xfId="0" applyFill="1" applyBorder="1" applyAlignment="1">
      <alignment horizontal="right" vertical="top" wrapText="1"/>
    </xf>
    <xf numFmtId="49" fontId="0" fillId="2" borderId="5" xfId="0" applyNumberForma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49" fontId="1" fillId="4" borderId="4" xfId="0" applyNumberFormat="1" applyFont="1" applyFill="1" applyBorder="1">
      <alignment vertical="top" wrapText="1"/>
    </xf>
    <xf numFmtId="167" fontId="0" fillId="5" borderId="5" xfId="0" applyNumberFormat="1" applyFill="1" applyBorder="1" applyAlignment="1">
      <alignment horizontal="center" vertical="top" wrapText="1"/>
    </xf>
    <xf numFmtId="168" fontId="0" fillId="5" borderId="5" xfId="0" applyNumberFormat="1" applyFill="1" applyBorder="1" applyAlignment="1">
      <alignment horizontal="center" vertical="top" wrapText="1"/>
    </xf>
    <xf numFmtId="169" fontId="0" fillId="5" borderId="5" xfId="0" applyNumberFormat="1" applyFill="1" applyBorder="1" applyAlignment="1">
      <alignment horizontal="center" vertical="top" wrapText="1"/>
    </xf>
    <xf numFmtId="170" fontId="0" fillId="5" borderId="5" xfId="0" applyNumberFormat="1" applyFill="1" applyBorder="1" applyAlignment="1">
      <alignment horizontal="center" vertical="top" wrapText="1"/>
    </xf>
    <xf numFmtId="0" fontId="0" fillId="5" borderId="5" xfId="0" applyNumberFormat="1" applyFill="1" applyBorder="1" applyAlignment="1">
      <alignment horizontal="center" vertical="top" wrapText="1"/>
    </xf>
    <xf numFmtId="165" fontId="0" fillId="5" borderId="5" xfId="0" applyNumberFormat="1" applyFill="1" applyBorder="1" applyAlignment="1">
      <alignment horizontal="right" vertical="top" wrapText="1"/>
    </xf>
    <xf numFmtId="166" fontId="0" fillId="5" borderId="5" xfId="0" applyNumberFormat="1" applyFill="1" applyBorder="1" applyAlignment="1">
      <alignment horizontal="center" vertical="top" wrapText="1"/>
    </xf>
    <xf numFmtId="171" fontId="0" fillId="5" borderId="5" xfId="0" applyNumberFormat="1" applyFill="1" applyBorder="1" applyAlignment="1">
      <alignment horizontal="center" vertical="top" wrapText="1"/>
    </xf>
    <xf numFmtId="166" fontId="0" fillId="5" borderId="5" xfId="0" applyNumberFormat="1" applyFill="1" applyBorder="1">
      <alignment vertical="top" wrapText="1"/>
    </xf>
    <xf numFmtId="172" fontId="0" fillId="5" borderId="5" xfId="0" applyNumberFormat="1" applyFill="1" applyBorder="1" applyAlignment="1">
      <alignment horizontal="right" vertical="top" wrapText="1"/>
    </xf>
    <xf numFmtId="166" fontId="0" fillId="5" borderId="6" xfId="0" applyNumberFormat="1" applyFill="1" applyBorder="1" applyAlignment="1">
      <alignment horizontal="center" vertical="top" wrapText="1"/>
    </xf>
    <xf numFmtId="167" fontId="0" fillId="2" borderId="5" xfId="0" applyNumberFormat="1" applyFill="1" applyBorder="1" applyAlignment="1">
      <alignment horizontal="center" vertical="top" wrapText="1"/>
    </xf>
    <xf numFmtId="168" fontId="0" fillId="2" borderId="5" xfId="0" applyNumberFormat="1" applyFill="1" applyBorder="1" applyAlignment="1">
      <alignment horizontal="center" vertical="top" wrapText="1"/>
    </xf>
    <xf numFmtId="169" fontId="0" fillId="2" borderId="5" xfId="0" applyNumberFormat="1" applyFill="1" applyBorder="1" applyAlignment="1">
      <alignment horizontal="center" vertical="top" wrapText="1"/>
    </xf>
    <xf numFmtId="170" fontId="0" fillId="2" borderId="5" xfId="0" applyNumberFormat="1" applyFill="1" applyBorder="1" applyAlignment="1">
      <alignment horizontal="center" vertical="top" wrapText="1"/>
    </xf>
    <xf numFmtId="0" fontId="0" fillId="2" borderId="5" xfId="0" applyNumberFormat="1" applyFill="1" applyBorder="1" applyAlignment="1">
      <alignment horizontal="center" vertical="top" wrapText="1"/>
    </xf>
    <xf numFmtId="171" fontId="0" fillId="2" borderId="5" xfId="0" applyNumberFormat="1" applyFill="1" applyBorder="1" applyAlignment="1">
      <alignment horizontal="center" vertical="top" wrapText="1"/>
    </xf>
    <xf numFmtId="172" fontId="0" fillId="2" borderId="5" xfId="0" applyNumberFormat="1" applyFill="1" applyBorder="1" applyAlignment="1">
      <alignment horizontal="right" vertical="top" wrapText="1"/>
    </xf>
    <xf numFmtId="166" fontId="0" fillId="2" borderId="6" xfId="0" applyNumberFormat="1" applyFill="1" applyBorder="1" applyAlignment="1">
      <alignment horizontal="center" vertical="top" wrapText="1"/>
    </xf>
    <xf numFmtId="173" fontId="0" fillId="2" borderId="5" xfId="0" applyNumberFormat="1" applyFill="1" applyBorder="1" applyAlignment="1">
      <alignment horizontal="center" vertical="top" wrapText="1"/>
    </xf>
    <xf numFmtId="173" fontId="0" fillId="5" borderId="5" xfId="0" applyNumberFormat="1" applyFill="1" applyBorder="1" applyAlignment="1">
      <alignment horizontal="center" vertical="top" wrapText="1"/>
    </xf>
    <xf numFmtId="171" fontId="0" fillId="5" borderId="6" xfId="0" applyNumberFormat="1" applyFill="1" applyBorder="1" applyAlignment="1">
      <alignment horizontal="center" vertical="top" wrapText="1"/>
    </xf>
    <xf numFmtId="166" fontId="0" fillId="5" borderId="6" xfId="0" applyNumberFormat="1" applyFill="1" applyBorder="1">
      <alignment vertical="top" wrapText="1"/>
    </xf>
    <xf numFmtId="0" fontId="0" fillId="5" borderId="5" xfId="0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top" wrapText="1"/>
    </xf>
    <xf numFmtId="174" fontId="0" fillId="2" borderId="5" xfId="0" applyNumberFormat="1" applyFill="1" applyBorder="1" applyAlignment="1">
      <alignment horizontal="center" vertical="top" wrapText="1"/>
    </xf>
    <xf numFmtId="174" fontId="0" fillId="5" borderId="5" xfId="0" applyNumberFormat="1" applyFill="1" applyBorder="1" applyAlignment="1">
      <alignment horizontal="center" vertical="top" wrapText="1"/>
    </xf>
    <xf numFmtId="49" fontId="0" fillId="5" borderId="5" xfId="0" applyNumberFormat="1" applyFill="1" applyBorder="1" applyAlignment="1">
      <alignment horizontal="center" vertical="top" wrapText="1"/>
    </xf>
    <xf numFmtId="0" fontId="0" fillId="2" borderId="5" xfId="0" applyFill="1" applyBorder="1">
      <alignment vertical="top" wrapText="1"/>
    </xf>
    <xf numFmtId="0" fontId="0" fillId="5" borderId="5" xfId="0" applyFill="1" applyBorder="1">
      <alignment vertical="top" wrapText="1"/>
    </xf>
    <xf numFmtId="0" fontId="0" fillId="5" borderId="5" xfId="0" applyFill="1" applyBorder="1" applyAlignment="1">
      <alignment horizontal="right" vertical="top" wrapText="1"/>
    </xf>
    <xf numFmtId="0" fontId="0" fillId="5" borderId="5" xfId="0" applyNumberFormat="1" applyFill="1" applyBorder="1">
      <alignment vertical="top" wrapText="1"/>
    </xf>
    <xf numFmtId="0" fontId="0" fillId="2" borderId="5" xfId="0" applyNumberFormat="1" applyFill="1" applyBorder="1">
      <alignment vertical="top" wrapText="1"/>
    </xf>
    <xf numFmtId="0" fontId="0" fillId="2" borderId="6" xfId="0" applyFill="1" applyBorder="1">
      <alignment vertical="top" wrapText="1"/>
    </xf>
    <xf numFmtId="0" fontId="0" fillId="5" borderId="6" xfId="0" applyFill="1" applyBorder="1">
      <alignment vertical="top" wrapText="1"/>
    </xf>
    <xf numFmtId="175" fontId="0" fillId="5" borderId="5" xfId="0" applyNumberFormat="1" applyFill="1" applyBorder="1" applyAlignment="1">
      <alignment horizontal="center" vertical="top" wrapText="1"/>
    </xf>
    <xf numFmtId="175" fontId="0" fillId="2" borderId="5" xfId="0" applyNumberFormat="1" applyFill="1" applyBorder="1" applyAlignment="1">
      <alignment horizontal="center" vertical="top" wrapText="1"/>
    </xf>
    <xf numFmtId="176" fontId="0" fillId="5" borderId="5" xfId="0" applyNumberFormat="1" applyFill="1" applyBorder="1" applyAlignment="1">
      <alignment horizontal="center" vertical="top" wrapText="1"/>
    </xf>
    <xf numFmtId="176" fontId="0" fillId="2" borderId="5" xfId="0" applyNumberFormat="1" applyFill="1" applyBorder="1" applyAlignment="1">
      <alignment horizontal="center" vertical="top" wrapText="1"/>
    </xf>
    <xf numFmtId="171" fontId="0" fillId="2" borderId="5" xfId="0" applyNumberFormat="1" applyFill="1" applyBorder="1">
      <alignment vertical="top" wrapText="1"/>
    </xf>
    <xf numFmtId="171" fontId="0" fillId="2" borderId="6" xfId="0" applyNumberFormat="1" applyFill="1" applyBorder="1" applyAlignment="1">
      <alignment horizontal="center" vertical="top" wrapText="1"/>
    </xf>
    <xf numFmtId="49" fontId="0" fillId="5" borderId="6" xfId="0" applyNumberFormat="1" applyFill="1" applyBorder="1" applyAlignment="1">
      <alignment horizontal="center" vertical="top" wrapText="1"/>
    </xf>
    <xf numFmtId="0" fontId="1" fillId="4" borderId="7" xfId="0" applyFont="1" applyFill="1" applyBorder="1">
      <alignment vertical="top" wrapText="1"/>
    </xf>
    <xf numFmtId="0" fontId="0" fillId="2" borderId="8" xfId="0" applyFill="1" applyBorder="1" applyAlignment="1">
      <alignment horizontal="center" vertical="top" wrapText="1"/>
    </xf>
    <xf numFmtId="173" fontId="0" fillId="2" borderId="8" xfId="0" applyNumberFormat="1" applyFill="1" applyBorder="1" applyAlignment="1">
      <alignment horizontal="center" vertical="top" wrapText="1"/>
    </xf>
    <xf numFmtId="0" fontId="0" fillId="2" borderId="8" xfId="0" applyNumberFormat="1" applyFill="1" applyBorder="1" applyAlignment="1">
      <alignment horizontal="center" vertical="top" wrapText="1"/>
    </xf>
    <xf numFmtId="165" fontId="0" fillId="2" borderId="8" xfId="0" applyNumberFormat="1" applyFill="1" applyBorder="1" applyAlignment="1">
      <alignment horizontal="right" vertical="top" wrapText="1"/>
    </xf>
    <xf numFmtId="171" fontId="0" fillId="2" borderId="8" xfId="0" applyNumberFormat="1" applyFill="1" applyBorder="1" applyAlignment="1">
      <alignment horizontal="center" vertical="top" wrapText="1"/>
    </xf>
    <xf numFmtId="0" fontId="0" fillId="2" borderId="8" xfId="0" applyFill="1" applyBorder="1">
      <alignment vertical="top" wrapText="1"/>
    </xf>
    <xf numFmtId="0" fontId="0" fillId="2" borderId="8" xfId="0" applyFill="1" applyBorder="1" applyAlignment="1">
      <alignment horizontal="right" vertical="top" wrapText="1"/>
    </xf>
    <xf numFmtId="166" fontId="0" fillId="2" borderId="8" xfId="0" applyNumberFormat="1" applyFill="1" applyBorder="1" applyAlignment="1">
      <alignment horizontal="center" vertical="top" wrapText="1"/>
    </xf>
    <xf numFmtId="166" fontId="0" fillId="2" borderId="9" xfId="0" applyNumberFormat="1" applyFill="1" applyBorder="1" applyAlignment="1">
      <alignment horizontal="center" vertical="top" wrapText="1"/>
    </xf>
    <xf numFmtId="49" fontId="1" fillId="2" borderId="10" xfId="0" applyNumberFormat="1" applyFont="1" applyFill="1" applyBorder="1">
      <alignment vertical="top" wrapText="1"/>
    </xf>
    <xf numFmtId="0" fontId="0" fillId="2" borderId="11" xfId="0" applyFill="1" applyBorder="1" applyAlignment="1">
      <alignment horizontal="center" vertical="top" wrapText="1"/>
    </xf>
    <xf numFmtId="166" fontId="1" fillId="2" borderId="12" xfId="0" applyNumberFormat="1" applyFont="1" applyFill="1" applyBorder="1">
      <alignment vertical="top" wrapText="1"/>
    </xf>
    <xf numFmtId="0" fontId="1" fillId="2" borderId="12" xfId="0" applyFont="1" applyFill="1" applyBorder="1">
      <alignment vertical="top" wrapText="1"/>
    </xf>
    <xf numFmtId="0" fontId="1" fillId="2" borderId="12" xfId="0" applyFont="1" applyFill="1" applyBorder="1" applyAlignment="1">
      <alignment horizontal="right" vertical="top" wrapText="1"/>
    </xf>
    <xf numFmtId="171" fontId="1" fillId="2" borderId="12" xfId="0" applyNumberFormat="1" applyFont="1" applyFill="1" applyBorder="1">
      <alignment vertical="top" wrapText="1"/>
    </xf>
    <xf numFmtId="166" fontId="1" fillId="2" borderId="12" xfId="0" applyNumberFormat="1" applyFont="1" applyFill="1" applyBorder="1" applyAlignment="1">
      <alignment horizontal="right" vertical="top" wrapText="1"/>
    </xf>
    <xf numFmtId="172" fontId="1" fillId="2" borderId="12" xfId="0" applyNumberFormat="1" applyFont="1" applyFill="1" applyBorder="1" applyAlignment="1">
      <alignment horizontal="right" vertical="top" wrapText="1"/>
    </xf>
    <xf numFmtId="171" fontId="1" fillId="2" borderId="13" xfId="0" applyNumberFormat="1" applyFont="1" applyFill="1" applyBorder="1">
      <alignment vertical="top" wrapText="1"/>
    </xf>
    <xf numFmtId="0" fontId="0" fillId="2" borderId="14" xfId="0" applyFill="1" applyBorder="1">
      <alignment vertical="top" wrapText="1"/>
    </xf>
    <xf numFmtId="49" fontId="0" fillId="2" borderId="6" xfId="0" applyNumberFormat="1" applyFill="1" applyBorder="1" applyAlignment="1">
      <alignment horizontal="center" vertical="top" wrapText="1"/>
    </xf>
    <xf numFmtId="177" fontId="0" fillId="5" borderId="5" xfId="0" applyNumberFormat="1" applyFill="1" applyBorder="1" applyAlignment="1">
      <alignment horizontal="center" vertical="top" wrapText="1"/>
    </xf>
    <xf numFmtId="165" fontId="0" fillId="5" borderId="5" xfId="0" applyNumberFormat="1" applyFill="1" applyBorder="1" applyAlignment="1">
      <alignment horizontal="center" vertical="top" wrapText="1"/>
    </xf>
    <xf numFmtId="177" fontId="0" fillId="5" borderId="6" xfId="0" applyNumberFormat="1" applyFill="1" applyBorder="1" applyAlignment="1">
      <alignment horizontal="center" vertical="top" wrapText="1"/>
    </xf>
    <xf numFmtId="177" fontId="0" fillId="2" borderId="5" xfId="0" applyNumberFormat="1" applyFill="1" applyBorder="1" applyAlignment="1">
      <alignment horizontal="center" vertical="top" wrapText="1"/>
    </xf>
    <xf numFmtId="165" fontId="0" fillId="2" borderId="5" xfId="0" applyNumberFormat="1" applyFill="1" applyBorder="1" applyAlignment="1">
      <alignment horizontal="center" vertical="top" wrapText="1"/>
    </xf>
    <xf numFmtId="177" fontId="0" fillId="2" borderId="6" xfId="0" applyNumberFormat="1" applyFill="1" applyBorder="1" applyAlignment="1">
      <alignment horizontal="center" vertical="top" wrapText="1"/>
    </xf>
    <xf numFmtId="178" fontId="0" fillId="2" borderId="5" xfId="0" applyNumberFormat="1" applyFill="1" applyBorder="1" applyAlignment="1">
      <alignment horizontal="center" vertical="top" wrapText="1"/>
    </xf>
    <xf numFmtId="165" fontId="0" fillId="5" borderId="5" xfId="0" applyNumberFormat="1" applyFill="1" applyBorder="1">
      <alignment vertical="top" wrapText="1"/>
    </xf>
    <xf numFmtId="171" fontId="0" fillId="5" borderId="5" xfId="0" applyNumberFormat="1" applyFill="1" applyBorder="1">
      <alignment vertical="top" wrapText="1"/>
    </xf>
    <xf numFmtId="165" fontId="0" fillId="5" borderId="6" xfId="0" applyNumberFormat="1" applyFill="1" applyBorder="1">
      <alignment vertical="top" wrapText="1"/>
    </xf>
    <xf numFmtId="49" fontId="0" fillId="2" borderId="5" xfId="0" applyNumberFormat="1" applyFill="1" applyBorder="1">
      <alignment vertical="top" wrapText="1"/>
    </xf>
    <xf numFmtId="165" fontId="0" fillId="2" borderId="5" xfId="0" applyNumberFormat="1" applyFill="1" applyBorder="1">
      <alignment vertical="top" wrapText="1"/>
    </xf>
    <xf numFmtId="177" fontId="0" fillId="2" borderId="6" xfId="0" applyNumberFormat="1" applyFill="1" applyBorder="1">
      <alignment vertical="top" wrapText="1"/>
    </xf>
    <xf numFmtId="165" fontId="0" fillId="2" borderId="6" xfId="0" applyNumberFormat="1" applyFill="1" applyBorder="1" applyAlignment="1">
      <alignment horizontal="center" vertical="top" wrapText="1"/>
    </xf>
    <xf numFmtId="165" fontId="0" fillId="2" borderId="6" xfId="0" applyNumberFormat="1" applyFill="1" applyBorder="1">
      <alignment vertical="top" wrapText="1"/>
    </xf>
    <xf numFmtId="49" fontId="0" fillId="5" borderId="6" xfId="0" applyNumberFormat="1" applyFill="1" applyBorder="1">
      <alignment vertical="top" wrapText="1"/>
    </xf>
    <xf numFmtId="177" fontId="0" fillId="2" borderId="8" xfId="0" applyNumberFormat="1" applyFill="1" applyBorder="1" applyAlignment="1">
      <alignment horizontal="center" vertical="top" wrapText="1"/>
    </xf>
    <xf numFmtId="165" fontId="0" fillId="2" borderId="8" xfId="0" applyNumberFormat="1" applyFill="1" applyBorder="1" applyAlignment="1">
      <alignment horizontal="center" vertical="top" wrapText="1"/>
    </xf>
    <xf numFmtId="165" fontId="0" fillId="2" borderId="9" xfId="0" applyNumberFormat="1" applyFill="1" applyBorder="1">
      <alignment vertical="top" wrapText="1"/>
    </xf>
    <xf numFmtId="0" fontId="1" fillId="2" borderId="11" xfId="0" applyFont="1" applyFill="1" applyBorder="1">
      <alignment vertical="top" wrapText="1"/>
    </xf>
    <xf numFmtId="3" fontId="1" fillId="2" borderId="12" xfId="0" applyNumberFormat="1" applyFont="1" applyFill="1" applyBorder="1">
      <alignment vertical="top" wrapText="1"/>
    </xf>
    <xf numFmtId="165" fontId="1" fillId="2" borderId="12" xfId="0" applyNumberFormat="1" applyFont="1" applyFill="1" applyBorder="1">
      <alignment vertical="top" wrapText="1"/>
    </xf>
    <xf numFmtId="171" fontId="1" fillId="2" borderId="12" xfId="0" applyNumberFormat="1" applyFont="1" applyFill="1" applyBorder="1" applyAlignment="1">
      <alignment horizontal="right" vertical="top" wrapText="1"/>
    </xf>
    <xf numFmtId="165" fontId="1" fillId="2" borderId="13" xfId="0" applyNumberFormat="1" applyFont="1" applyFill="1" applyBorder="1">
      <alignment vertical="top" wrapText="1"/>
    </xf>
    <xf numFmtId="174" fontId="1" fillId="4" borderId="4" xfId="0" applyNumberFormat="1" applyFont="1" applyFill="1" applyBorder="1">
      <alignment vertical="top" wrapText="1"/>
    </xf>
    <xf numFmtId="165" fontId="0" fillId="5" borderId="6" xfId="0" applyNumberFormat="1" applyFill="1" applyBorder="1" applyAlignment="1">
      <alignment horizontal="center" vertical="top" wrapText="1"/>
    </xf>
    <xf numFmtId="167" fontId="1" fillId="4" borderId="4" xfId="0" applyNumberFormat="1" applyFont="1" applyFill="1" applyBorder="1">
      <alignment vertical="top" wrapText="1"/>
    </xf>
    <xf numFmtId="0" fontId="1" fillId="4" borderId="15" xfId="0" applyFont="1" applyFill="1" applyBorder="1">
      <alignment vertical="top" wrapText="1"/>
    </xf>
    <xf numFmtId="165" fontId="0" fillId="5" borderId="16" xfId="0" applyNumberFormat="1" applyFill="1" applyBorder="1" applyAlignment="1">
      <alignment horizontal="center" vertical="top" wrapText="1"/>
    </xf>
    <xf numFmtId="49" fontId="1" fillId="3" borderId="17" xfId="0" applyNumberFormat="1" applyFont="1" applyFill="1" applyBorder="1" applyAlignment="1">
      <alignment horizontal="center" vertical="top" wrapText="1"/>
    </xf>
    <xf numFmtId="49" fontId="1" fillId="3" borderId="18" xfId="0" applyNumberFormat="1" applyFont="1" applyFill="1" applyBorder="1">
      <alignment vertical="top" wrapText="1"/>
    </xf>
    <xf numFmtId="49" fontId="1" fillId="3" borderId="19" xfId="0" applyNumberFormat="1" applyFont="1" applyFill="1" applyBorder="1">
      <alignment vertical="top" wrapText="1"/>
    </xf>
    <xf numFmtId="165" fontId="0" fillId="2" borderId="20" xfId="0" applyNumberFormat="1" applyFill="1" applyBorder="1">
      <alignment vertical="top" wrapText="1"/>
    </xf>
    <xf numFmtId="49" fontId="0" fillId="2" borderId="21" xfId="0" applyNumberFormat="1" applyFill="1" applyBorder="1">
      <alignment vertical="top" wrapText="1"/>
    </xf>
    <xf numFmtId="165" fontId="0" fillId="5" borderId="20" xfId="0" applyNumberFormat="1" applyFill="1" applyBorder="1">
      <alignment vertical="top" wrapText="1"/>
    </xf>
    <xf numFmtId="49" fontId="0" fillId="5" borderId="5" xfId="0" applyNumberFormat="1" applyFill="1" applyBorder="1">
      <alignment vertical="top" wrapText="1"/>
    </xf>
    <xf numFmtId="179" fontId="0" fillId="5" borderId="21" xfId="0" applyNumberFormat="1" applyFill="1" applyBorder="1">
      <alignment vertical="top" wrapText="1"/>
    </xf>
    <xf numFmtId="0" fontId="0" fillId="2" borderId="21" xfId="0" applyFill="1" applyBorder="1">
      <alignment vertical="top" wrapText="1"/>
    </xf>
    <xf numFmtId="0" fontId="0" fillId="5" borderId="21" xfId="0" applyFill="1" applyBorder="1">
      <alignment vertical="top" wrapText="1"/>
    </xf>
    <xf numFmtId="165" fontId="0" fillId="5" borderId="22" xfId="0" applyNumberFormat="1" applyFill="1" applyBorder="1">
      <alignment vertical="top" wrapText="1"/>
    </xf>
    <xf numFmtId="49" fontId="0" fillId="5" borderId="23" xfId="0" applyNumberFormat="1" applyFill="1" applyBorder="1">
      <alignment vertical="top" wrapText="1"/>
    </xf>
    <xf numFmtId="0" fontId="0" fillId="5" borderId="23" xfId="0" applyFill="1" applyBorder="1">
      <alignment vertical="top" wrapText="1"/>
    </xf>
    <xf numFmtId="0" fontId="0" fillId="5" borderId="24" xfId="0" applyFill="1" applyBorder="1">
      <alignment vertical="top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BEF"/>
      <rgbColor rgb="FF90BE72"/>
      <rgbColor rgb="FFB3AFAA"/>
      <rgbColor rgb="FFCCCAC6"/>
      <rgbColor rgb="FFE4E2DE"/>
      <rgbColor rgb="FFF0EBE2"/>
      <rgbColor rgb="FF9A958E"/>
      <rgbColor rgb="FFFF4641"/>
      <rgbColor rgb="FF494A49"/>
      <rgbColor rgb="FF777778"/>
      <rgbColor rgb="FFB8B8B8"/>
      <rgbColor rgb="FF91BE72"/>
      <rgbColor rgb="FFB7F19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53501"/>
          <c:y val="5.2068499999999997E-2"/>
          <c:w val="0.841499"/>
          <c:h val="0.861493999999999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'Yatırım Dökümü Hisse Senedi'!$N$2</c:f>
              <c:strCache>
                <c:ptCount val="1"/>
                <c:pt idx="0">
                  <c:v>% Gain</c:v>
                </c:pt>
              </c:strCache>
            </c:strRef>
          </c:tx>
          <c:spPr>
            <a:solidFill>
              <a:srgbClr val="91BE72"/>
            </a:solidFill>
            <a:ln w="12700" cap="flat">
              <a:noFill/>
              <a:miter lim="400000"/>
            </a:ln>
            <a:effectLst/>
          </c:spPr>
          <c:invertIfNegative val="0"/>
          <c:trendline>
            <c:spPr>
              <a:ln w="25400" cap="flat">
                <a:solidFill>
                  <a:srgbClr val="B8F191"/>
                </a:solidFill>
                <a:prstDash val="solid"/>
                <a:miter lim="400000"/>
              </a:ln>
              <a:effectLst>
                <a:outerShdw blurRad="12700" dist="25400" dir="7320000" algn="tl">
                  <a:srgbClr val="000000">
                    <a:alpha val="25000"/>
                  </a:srgbClr>
                </a:outerShdw>
              </a:effectLst>
            </c:spPr>
            <c:trendlineType val="linear"/>
            <c:dispRSqr val="0"/>
            <c:dispEq val="0"/>
          </c:trendline>
          <c:cat>
            <c:strLit>
              <c:ptCount val="14"/>
              <c:pt idx="0">
                <c:v>DURDO</c:v>
              </c:pt>
              <c:pt idx="1">
                <c:v>EGSER</c:v>
              </c:pt>
              <c:pt idx="2">
                <c:v>EGSER</c:v>
              </c:pt>
              <c:pt idx="3">
                <c:v>EGSER</c:v>
              </c:pt>
              <c:pt idx="4">
                <c:v>EGSER</c:v>
              </c:pt>
              <c:pt idx="5">
                <c:v>EGSER</c:v>
              </c:pt>
              <c:pt idx="6">
                <c:v>EGSER</c:v>
              </c:pt>
              <c:pt idx="7">
                <c:v>EGSER</c:v>
              </c:pt>
              <c:pt idx="8">
                <c:v>DURDO</c:v>
              </c:pt>
              <c:pt idx="9">
                <c:v>BAKAB</c:v>
              </c:pt>
              <c:pt idx="10">
                <c:v>YAYLA</c:v>
              </c:pt>
              <c:pt idx="11">
                <c:v>ODAS</c:v>
              </c:pt>
              <c:pt idx="12">
                <c:v>EGPRO</c:v>
              </c:pt>
              <c:pt idx="13">
                <c:v>YAYLA</c:v>
              </c:pt>
            </c:strLit>
          </c:cat>
          <c:val>
            <c:numRef>
              <c:f>'Yatırım Dökümü Hisse Senedi'!$F$89:$F$102</c:f>
              <c:numCache>
                <c:formatCode>#,##0.00%</c:formatCode>
                <c:ptCount val="14"/>
                <c:pt idx="0">
                  <c:v>-1.1824324324324372E-2</c:v>
                </c:pt>
                <c:pt idx="1">
                  <c:v>3.9370078740157403E-2</c:v>
                </c:pt>
                <c:pt idx="2">
                  <c:v>-2.5910364145658209E-2</c:v>
                </c:pt>
                <c:pt idx="3">
                  <c:v>-2.6610644257703014E-2</c:v>
                </c:pt>
                <c:pt idx="4">
                  <c:v>-2.4561403508771906E-2</c:v>
                </c:pt>
                <c:pt idx="5">
                  <c:v>-1.5406162464985915E-2</c:v>
                </c:pt>
                <c:pt idx="6">
                  <c:v>2.1321961620468627E-3</c:v>
                </c:pt>
                <c:pt idx="7">
                  <c:v>2.0900321543408342E-2</c:v>
                </c:pt>
                <c:pt idx="8">
                  <c:v>0</c:v>
                </c:pt>
                <c:pt idx="9">
                  <c:v>-1.8803418803418709E-2</c:v>
                </c:pt>
                <c:pt idx="10">
                  <c:v>1.2722646310432524E-2</c:v>
                </c:pt>
                <c:pt idx="11">
                  <c:v>0</c:v>
                </c:pt>
                <c:pt idx="12">
                  <c:v>-1.8062827225131015E-2</c:v>
                </c:pt>
                <c:pt idx="13">
                  <c:v>-7.633587786259605E-3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1-4E43-8ACC-A35157514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25400" cap="flat">
            <a:solidFill>
              <a:schemeClr val="accent3">
                <a:hueOff val="-38674"/>
                <a:satOff val="-11856"/>
                <a:lumOff val="-9051"/>
              </a:schemeClr>
            </a:solidFill>
            <a:prstDash val="solid"/>
            <a:miter lim="400000"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Optima"/>
              </a:defRPr>
            </a:pPr>
            <a:endParaRPr lang="en-US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  <c:max val="0.3"/>
          <c:min val="-0.3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min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inorGridlines>
        <c:numFmt formatCode="0%" sourceLinked="0"/>
        <c:majorTickMark val="none"/>
        <c:minorTickMark val="none"/>
        <c:tickLblPos val="nextTo"/>
        <c:spPr>
          <a:ln w="254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Optima"/>
              </a:defRPr>
            </a:pPr>
            <a:endParaRPr lang="en-US"/>
          </a:p>
        </c:txPr>
        <c:crossAx val="2094734552"/>
        <c:crosses val="min"/>
        <c:crossBetween val="between"/>
        <c:majorUnit val="0.06"/>
        <c:minorUnit val="0.03"/>
      </c:valAx>
      <c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/>
      </c:spPr>
    </c:plotArea>
    <c:legend>
      <c:legendPos val="l"/>
      <c:layout>
        <c:manualLayout>
          <c:xMode val="edge"/>
          <c:yMode val="edge"/>
          <c:x val="0"/>
          <c:y val="0.63924099999999995"/>
          <c:w val="9.1350700000000007E-2"/>
          <c:h val="7.7068499999999998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1000" b="0" i="0" u="none" strike="noStrike">
              <a:solidFill>
                <a:srgbClr val="000000"/>
              </a:solidFill>
              <a:latin typeface="Optima"/>
            </a:defRPr>
          </a:pPr>
          <a:endParaRPr lang="en-US"/>
        </a:p>
      </c:txPr>
    </c:legend>
    <c:plotVisOnly val="0"/>
    <c:dispBlanksAs val="gap"/>
    <c:showDLblsOverMax val="1"/>
  </c:chart>
  <c:spPr>
    <a:noFill/>
    <a:ln>
      <a:noFill/>
    </a:ln>
    <a:effectLst/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647699</xdr:rowOff>
    </xdr:from>
    <xdr:to>
      <xdr:col>10</xdr:col>
      <xdr:colOff>863599</xdr:colOff>
      <xdr:row>0</xdr:row>
      <xdr:rowOff>647699</xdr:rowOff>
    </xdr:to>
    <xdr:sp macro="" textlink="">
      <xdr:nvSpPr>
        <xdr:cNvPr id="2" name="Lin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0</xdr:colOff>
      <xdr:row>0</xdr:row>
      <xdr:rowOff>1371600</xdr:rowOff>
    </xdr:from>
    <xdr:to>
      <xdr:col>10</xdr:col>
      <xdr:colOff>863599</xdr:colOff>
      <xdr:row>0</xdr:row>
      <xdr:rowOff>1371600</xdr:rowOff>
    </xdr:to>
    <xdr:sp macro="" textlink="">
      <xdr:nvSpPr>
        <xdr:cNvPr id="3" name="Lin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0</xdr:colOff>
      <xdr:row>0</xdr:row>
      <xdr:rowOff>712260</xdr:rowOff>
    </xdr:from>
    <xdr:to>
      <xdr:col>10</xdr:col>
      <xdr:colOff>901700</xdr:colOff>
      <xdr:row>0</xdr:row>
      <xdr:rowOff>1048175</xdr:rowOff>
    </xdr:to>
    <xdr:sp macro="" textlink="">
      <xdr:nvSpPr>
        <xdr:cNvPr id="4" name="Portföy başlangıç tarihi 25 Eylül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-19051" y="712260"/>
          <a:ext cx="9271001" cy="3359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Portföy başlangıç tarihi </a:t>
          </a:r>
          <a:r>
            <a:rPr sz="1100" b="0" i="0" u="none" strike="noStrike" cap="none" spc="0" baseline="0">
              <a:solidFill>
                <a:schemeClr val="accent5"/>
              </a:solidFill>
              <a:uFillTx/>
              <a:latin typeface="+mn-lt"/>
              <a:ea typeface="+mn-ea"/>
              <a:cs typeface="+mn-cs"/>
              <a:sym typeface="Avenir Next Regular"/>
            </a:rPr>
            <a:t>25 Eylül </a:t>
          </a:r>
        </a:p>
      </xdr:txBody>
    </xdr:sp>
    <xdr:clientData/>
  </xdr:twoCellAnchor>
  <xdr:twoCellAnchor>
    <xdr:from>
      <xdr:col>0</xdr:col>
      <xdr:colOff>64446</xdr:colOff>
      <xdr:row>0</xdr:row>
      <xdr:rowOff>0</xdr:rowOff>
    </xdr:from>
    <xdr:to>
      <xdr:col>10</xdr:col>
      <xdr:colOff>882650</xdr:colOff>
      <xdr:row>0</xdr:row>
      <xdr:rowOff>762255</xdr:rowOff>
    </xdr:to>
    <xdr:sp macro="" textlink="">
      <xdr:nvSpPr>
        <xdr:cNvPr id="5" name="Tulum Portföy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4446" y="-151313"/>
          <a:ext cx="9187504" cy="762257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400" b="0" i="0" u="none" strike="noStrike" cap="none" spc="0" baseline="0">
              <a:solidFill>
                <a:srgbClr val="4A4A4A"/>
              </a:solidFill>
              <a:uFillTx/>
              <a:latin typeface="Rockwell Bold"/>
              <a:ea typeface="Rockwell Bold"/>
              <a:cs typeface="Rockwell Bold"/>
              <a:sym typeface="Rockwell Bold"/>
            </a:defRPr>
          </a:pPr>
          <a:r>
            <a:rPr sz="4400" b="0" i="0" u="none" strike="noStrike" cap="none" spc="0" baseline="0">
              <a:solidFill>
                <a:srgbClr val="4A4A4A"/>
              </a:solidFill>
              <a:uFillTx/>
              <a:latin typeface="Rockwell Bold"/>
              <a:ea typeface="Rockwell Bold"/>
              <a:cs typeface="Rockwell Bold"/>
              <a:sym typeface="Rockwell Bold"/>
            </a:rPr>
            <a:t>Tulum Portföy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647699</xdr:rowOff>
    </xdr:from>
    <xdr:to>
      <xdr:col>11</xdr:col>
      <xdr:colOff>304799</xdr:colOff>
      <xdr:row>0</xdr:row>
      <xdr:rowOff>647699</xdr:rowOff>
    </xdr:to>
    <xdr:sp macro="" textlink="">
      <xdr:nvSpPr>
        <xdr:cNvPr id="7" name="Lin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flipV="1">
          <a:off x="0" y="647699"/>
          <a:ext cx="9232900" cy="1"/>
        </a:xfrm>
        <a:prstGeom prst="line">
          <a:avLst/>
        </a:prstGeom>
        <a:noFill/>
        <a:ln w="381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0</xdr:colOff>
      <xdr:row>0</xdr:row>
      <xdr:rowOff>1371600</xdr:rowOff>
    </xdr:from>
    <xdr:to>
      <xdr:col>11</xdr:col>
      <xdr:colOff>304799</xdr:colOff>
      <xdr:row>0</xdr:row>
      <xdr:rowOff>1371600</xdr:rowOff>
    </xdr:to>
    <xdr:sp macro="" textlink="">
      <xdr:nvSpPr>
        <xdr:cNvPr id="8" name="Lin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-1" y="1371599"/>
          <a:ext cx="9232901" cy="1"/>
        </a:xfrm>
        <a:prstGeom prst="line">
          <a:avLst/>
        </a:prstGeom>
        <a:noFill/>
        <a:ln w="12700" cap="flat">
          <a:solidFill>
            <a:srgbClr val="4A4A4B"/>
          </a:solidFill>
          <a:prstDash val="solid"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0</xdr:colOff>
      <xdr:row>0</xdr:row>
      <xdr:rowOff>712260</xdr:rowOff>
    </xdr:from>
    <xdr:to>
      <xdr:col>11</xdr:col>
      <xdr:colOff>342900</xdr:colOff>
      <xdr:row>0</xdr:row>
      <xdr:rowOff>1048175</xdr:rowOff>
    </xdr:to>
    <xdr:sp macro="" textlink="">
      <xdr:nvSpPr>
        <xdr:cNvPr id="9" name="Portföy başlangıç tarihi 25 Eylül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-19051" y="712260"/>
          <a:ext cx="9271001" cy="33591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Portföy başlangıç tarihi </a:t>
          </a:r>
          <a:r>
            <a:rPr sz="1100" b="0" i="0" u="none" strike="noStrike" cap="none" spc="0" baseline="0">
              <a:solidFill>
                <a:schemeClr val="accent5"/>
              </a:solidFill>
              <a:uFillTx/>
              <a:latin typeface="+mn-lt"/>
              <a:ea typeface="+mn-ea"/>
              <a:cs typeface="+mn-cs"/>
              <a:sym typeface="Avenir Next Regular"/>
            </a:rPr>
            <a:t>25 Eylül </a:t>
          </a:r>
        </a:p>
      </xdr:txBody>
    </xdr:sp>
    <xdr:clientData/>
  </xdr:twoCellAnchor>
  <xdr:twoCellAnchor>
    <xdr:from>
      <xdr:col>0</xdr:col>
      <xdr:colOff>0</xdr:colOff>
      <xdr:row>0</xdr:row>
      <xdr:rowOff>1429961</xdr:rowOff>
    </xdr:from>
    <xdr:to>
      <xdr:col>15</xdr:col>
      <xdr:colOff>563568</xdr:colOff>
      <xdr:row>0</xdr:row>
      <xdr:rowOff>4295897</xdr:rowOff>
    </xdr:to>
    <xdr:graphicFrame macro="">
      <xdr:nvGraphicFramePr>
        <xdr:cNvPr id="10" name="2D Stacked Column Chart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64446</xdr:colOff>
      <xdr:row>0</xdr:row>
      <xdr:rowOff>0</xdr:rowOff>
    </xdr:from>
    <xdr:to>
      <xdr:col>11</xdr:col>
      <xdr:colOff>323849</xdr:colOff>
      <xdr:row>0</xdr:row>
      <xdr:rowOff>762255</xdr:rowOff>
    </xdr:to>
    <xdr:sp macro="" textlink="">
      <xdr:nvSpPr>
        <xdr:cNvPr id="11" name="Tulum Portföy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64446" y="-151313"/>
          <a:ext cx="9187504" cy="762257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1543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400" b="0" i="0" u="none" strike="noStrike" cap="none" spc="0" baseline="0">
              <a:solidFill>
                <a:srgbClr val="4A4A4A"/>
              </a:solidFill>
              <a:uFillTx/>
              <a:latin typeface="Rockwell Bold"/>
              <a:ea typeface="Rockwell Bold"/>
              <a:cs typeface="Rockwell Bold"/>
              <a:sym typeface="Rockwell Bold"/>
            </a:defRPr>
          </a:pPr>
          <a:r>
            <a:rPr sz="4400" b="0" i="0" u="none" strike="noStrike" cap="none" spc="0" baseline="0">
              <a:solidFill>
                <a:srgbClr val="4A4A4A"/>
              </a:solidFill>
              <a:uFillTx/>
              <a:latin typeface="Rockwell Bold"/>
              <a:ea typeface="Rockwell Bold"/>
              <a:cs typeface="Rockwell Bold"/>
              <a:sym typeface="Rockwell Bold"/>
            </a:rPr>
            <a:t>Tulum Portföy</a:t>
          </a:r>
        </a:p>
      </xdr:txBody>
    </xdr:sp>
    <xdr:clientData/>
  </xdr:twoCellAnchor>
  <xdr:twoCellAnchor>
    <xdr:from>
      <xdr:col>6</xdr:col>
      <xdr:colOff>67115</xdr:colOff>
      <xdr:row>106</xdr:row>
      <xdr:rowOff>44498</xdr:rowOff>
    </xdr:from>
    <xdr:to>
      <xdr:col>14</xdr:col>
      <xdr:colOff>668878</xdr:colOff>
      <xdr:row>107</xdr:row>
      <xdr:rowOff>107998</xdr:rowOff>
    </xdr:to>
    <xdr:sp macro="" textlink="">
      <xdr:nvSpPr>
        <xdr:cNvPr id="12" name="Hesap Özeti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566215" y="35320018"/>
          <a:ext cx="4932464" cy="35052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="" xmlns:r="http://schemas.openxmlformats.org/officeDocument/2006/relationships" xmlns:m="http://schemas.openxmlformats.org/officeDocument/2006/math" xmlns:a14="http://schemas.microsoft.com/office/drawing/2010/main"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400"/>
            </a:spcBef>
            <a:spcAft>
              <a:spcPts val="0"/>
            </a:spcAft>
            <a:buClrTx/>
            <a:buSzTx/>
            <a:buFontTx/>
            <a:buNone/>
            <a:defRPr sz="12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defRPr>
          </a:pPr>
          <a:r>
            <a:rPr sz="1200" b="1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Avenir Next Regular"/>
            </a:rPr>
            <a:t>Hesap Özeti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26_Stocks">
  <a:themeElements>
    <a:clrScheme name="26_Stocks">
      <a:dk1>
        <a:srgbClr val="000000"/>
      </a:dk1>
      <a:lt1>
        <a:srgbClr val="FFFFFF"/>
      </a:lt1>
      <a:dk2>
        <a:srgbClr val="4A4A4B"/>
      </a:dk2>
      <a:lt2>
        <a:srgbClr val="C2C3C6"/>
      </a:lt2>
      <a:accent1>
        <a:srgbClr val="53BBE0"/>
      </a:accent1>
      <a:accent2>
        <a:srgbClr val="6DCFB9"/>
      </a:accent2>
      <a:accent3>
        <a:srgbClr val="90BF72"/>
      </a:accent3>
      <a:accent4>
        <a:srgbClr val="F2C34A"/>
      </a:accent4>
      <a:accent5>
        <a:srgbClr val="FF4741"/>
      </a:accent5>
      <a:accent6>
        <a:srgbClr val="FF8700"/>
      </a:accent6>
      <a:hlink>
        <a:srgbClr val="0000FF"/>
      </a:hlink>
      <a:folHlink>
        <a:srgbClr val="FF00FF"/>
      </a:folHlink>
    </a:clrScheme>
    <a:fontScheme name="26_Stocks">
      <a:majorFont>
        <a:latin typeface="Publico Headline Roman"/>
        <a:ea typeface="Publico Headline Roman"/>
        <a:cs typeface="Publico Headline Roman"/>
      </a:majorFont>
      <a:minorFont>
        <a:latin typeface="Avenir Next Regular"/>
        <a:ea typeface="Avenir Next Regular"/>
        <a:cs typeface="Avenir Next Regular"/>
      </a:minorFont>
    </a:fontScheme>
    <a:fmtScheme name="26_Stock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4B4A4B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all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Publico Text Roman"/>
            <a:ea typeface="Publico Text Roman"/>
            <a:cs typeface="Publico Text Roman"/>
            <a:sym typeface="Publico Text Roman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40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venir Next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24"/>
  <sheetViews>
    <sheetView showGridLines="0" tabSelected="1" topLeftCell="A236" workbookViewId="0">
      <selection activeCell="Q13" sqref="Q13"/>
    </sheetView>
  </sheetViews>
  <sheetFormatPr defaultColWidth="11.7109375" defaultRowHeight="21.6" customHeight="1"/>
  <cols>
    <col min="1" max="1" width="13" style="1" customWidth="1"/>
    <col min="2" max="2" width="15.28515625" style="1" customWidth="1"/>
    <col min="3" max="4" width="11.7109375" style="1" customWidth="1"/>
    <col min="5" max="5" width="12.140625" style="1" customWidth="1"/>
    <col min="6" max="6" width="11.140625" style="1" customWidth="1"/>
    <col min="7" max="7" width="11.28515625" style="1" customWidth="1"/>
    <col min="8" max="8" width="11.7109375" style="1" hidden="1" customWidth="1"/>
    <col min="9" max="10" width="11.85546875" style="1" customWidth="1"/>
    <col min="11" max="11" width="12.42578125" style="1" customWidth="1"/>
    <col min="12" max="12" width="11.85546875" style="1" customWidth="1"/>
    <col min="13" max="14" width="11.7109375" style="1" hidden="1" customWidth="1"/>
    <col min="15" max="15" width="11.85546875" style="1" customWidth="1"/>
    <col min="16" max="17" width="14.5703125" style="1" customWidth="1"/>
    <col min="18" max="18" width="16.7109375" style="1" customWidth="1"/>
    <col min="19" max="19" width="11.7109375" style="1" customWidth="1"/>
    <col min="20" max="16384" width="11.7109375" style="1"/>
  </cols>
  <sheetData>
    <row r="1" spans="1:17" ht="135.19999999999999" customHeight="1"/>
    <row r="2" spans="1:17" ht="36.6" customHeight="1">
      <c r="A2" s="2" t="s">
        <v>411</v>
      </c>
      <c r="B2" s="3" t="s">
        <v>412</v>
      </c>
      <c r="C2" s="3" t="s">
        <v>413</v>
      </c>
      <c r="D2" s="3" t="s">
        <v>414</v>
      </c>
      <c r="E2" s="3" t="s">
        <v>415</v>
      </c>
      <c r="F2" s="3" t="s">
        <v>416</v>
      </c>
      <c r="G2" s="3" t="s">
        <v>417</v>
      </c>
      <c r="H2" s="4" t="s">
        <v>5</v>
      </c>
      <c r="I2" s="3" t="s">
        <v>418</v>
      </c>
      <c r="J2" s="3" t="s">
        <v>419</v>
      </c>
      <c r="K2" s="3" t="s">
        <v>420</v>
      </c>
      <c r="L2" s="3" t="s">
        <v>421</v>
      </c>
      <c r="M2" s="5" t="s">
        <v>10</v>
      </c>
      <c r="N2" s="5" t="s">
        <v>11</v>
      </c>
      <c r="O2" s="3" t="s">
        <v>422</v>
      </c>
      <c r="P2" s="3" t="s">
        <v>423</v>
      </c>
      <c r="Q2" s="6"/>
    </row>
    <row r="3" spans="1:17" ht="22.5" customHeight="1">
      <c r="A3" s="7"/>
      <c r="B3" s="8"/>
      <c r="C3" s="9"/>
      <c r="D3" s="9"/>
      <c r="E3" s="8"/>
      <c r="F3" s="8"/>
      <c r="G3" s="8"/>
      <c r="H3" s="10">
        <v>1</v>
      </c>
      <c r="I3" s="11"/>
      <c r="J3" s="11"/>
      <c r="K3" s="11"/>
      <c r="L3" s="11"/>
      <c r="M3" s="12">
        <v>0</v>
      </c>
      <c r="N3" s="13" t="str" cm="1">
        <f t="array" ref="N3">IFERROR((K3-J3)/J3,"–")</f>
        <v>–</v>
      </c>
      <c r="O3" s="11"/>
      <c r="P3" s="14" t="s">
        <v>424</v>
      </c>
      <c r="Q3" s="15"/>
    </row>
    <row r="4" spans="1:17" ht="22.5" customHeight="1">
      <c r="A4" s="16" t="s">
        <v>14</v>
      </c>
      <c r="B4" s="17">
        <v>44317</v>
      </c>
      <c r="C4" s="18">
        <v>2.3898999999999999</v>
      </c>
      <c r="D4" s="18">
        <v>2.395</v>
      </c>
      <c r="E4" s="19" cm="1">
        <f t="array" ref="E4">IF(D4="","",D4-C4)</f>
        <v>5.1000000000001044E-3</v>
      </c>
      <c r="F4" s="20" cm="1">
        <f t="array" ref="F4">IF(D4=0,"",(D4-C4)/C4)</f>
        <v>2.1339805012762477E-3</v>
      </c>
      <c r="G4" s="21">
        <v>2141.3000000000002</v>
      </c>
      <c r="H4" s="22">
        <v>1</v>
      </c>
      <c r="I4" s="23" cm="1">
        <f t="array" ref="I4">IF(D4="","",(G4*C4)*0.00075)</f>
        <v>3.8381196525000001</v>
      </c>
      <c r="J4" s="23" cm="1">
        <f t="array" ref="J4">IF(D4="","",(G4*D4)*0.00075)</f>
        <v>3.8463101250000005</v>
      </c>
      <c r="K4" s="24" cm="1">
        <f t="array" ref="K4">IF(D4="","",J4+I4)</f>
        <v>7.6844297775000001</v>
      </c>
      <c r="L4" s="24" cm="1">
        <f t="array" ref="L4">IF(D4=0,0,(D4-C4)*G4)</f>
        <v>10.920630000000225</v>
      </c>
      <c r="M4" s="25">
        <v>5113.6465598750001</v>
      </c>
      <c r="N4" s="26" cm="1">
        <f t="array" ref="N4">IFERROR((K4-J4)/J4,"–")</f>
        <v>0.99787056367432125</v>
      </c>
      <c r="O4" s="24" cm="1">
        <f t="array" ref="O4">IF(D4=0,0,L4-K4)</f>
        <v>3.2362002225002247</v>
      </c>
      <c r="P4" s="23"/>
      <c r="Q4" s="27"/>
    </row>
    <row r="5" spans="1:17" ht="22.5" customHeight="1">
      <c r="A5" s="16" t="s">
        <v>15</v>
      </c>
      <c r="B5" s="28">
        <v>44317</v>
      </c>
      <c r="C5" s="29">
        <v>0.12720000000000001</v>
      </c>
      <c r="D5" s="29">
        <v>0.12791</v>
      </c>
      <c r="E5" s="30" cm="1">
        <f t="array" ref="E5">IF(D5="","",D5-C5)</f>
        <v>7.0999999999998842E-4</v>
      </c>
      <c r="F5" s="31" cm="1">
        <f t="array" ref="F5">IF(D5=0,"",(D5-C5)/C5)</f>
        <v>5.5817610062892167E-3</v>
      </c>
      <c r="G5" s="32">
        <v>10059.799999999999</v>
      </c>
      <c r="H5" s="10">
        <v>1</v>
      </c>
      <c r="I5" s="11" cm="1">
        <f t="array" ref="I5">IF(D5="","",(G5*C5)*0.00075)</f>
        <v>0.95970491999999996</v>
      </c>
      <c r="J5" s="11" cm="1">
        <f t="array" ref="J5">IF(D5="","",(G5*D5)*0.00075)</f>
        <v>0.96506176350000006</v>
      </c>
      <c r="K5" s="33" cm="1">
        <f t="array" ref="K5">IF(D5="","",J5+I5)</f>
        <v>1.9247666835000001</v>
      </c>
      <c r="L5" s="33" cm="1">
        <f t="array" ref="L5">IF(D5=0,0,(D5-C5)*G5)</f>
        <v>7.1424579999998832</v>
      </c>
      <c r="M5" s="12">
        <v>1271.4990402364999</v>
      </c>
      <c r="N5" s="34" cm="1">
        <f t="array" ref="N5">IFERROR((K5-J5)/J5,"–")</f>
        <v>0.99444922210929565</v>
      </c>
      <c r="O5" s="33" cm="1">
        <f t="array" ref="O5">IF(D5=0,0,L5-K5)</f>
        <v>5.2176913164998826</v>
      </c>
      <c r="P5" s="11"/>
      <c r="Q5" s="35"/>
    </row>
    <row r="6" spans="1:17" ht="22.5" customHeight="1">
      <c r="A6" s="16" t="s">
        <v>15</v>
      </c>
      <c r="B6" s="17">
        <v>44317</v>
      </c>
      <c r="C6" s="18">
        <v>0.12798000000000001</v>
      </c>
      <c r="D6" s="18">
        <v>0.12791</v>
      </c>
      <c r="E6" s="19" cm="1">
        <f t="array" ref="E6">IF(D6="","",D6-C6)</f>
        <v>-7.0000000000014495E-5</v>
      </c>
      <c r="F6" s="20" cm="1">
        <f t="array" ref="F6">IF(D6=0,"",(D6-C6)/C6)</f>
        <v>-5.469604625723901E-4</v>
      </c>
      <c r="G6" s="21">
        <v>7498.9</v>
      </c>
      <c r="H6" s="22">
        <v>1</v>
      </c>
      <c r="I6" s="23" cm="1">
        <f t="array" ref="I6">IF(D6="","",(G6*C6)*0.00075)</f>
        <v>0.71978191650000012</v>
      </c>
      <c r="J6" s="23" cm="1">
        <f t="array" ref="J6">IF(D6="","",(G6*D6)*0.00075)</f>
        <v>0.71938822424999993</v>
      </c>
      <c r="K6" s="24" cm="1">
        <f t="array" ref="K6">IF(D6="","",J6+I6)</f>
        <v>1.4391701407499999</v>
      </c>
      <c r="L6" s="24" cm="1">
        <f t="array" ref="L6">IF(D6=0,0,(D6-C6)*G6)</f>
        <v>-0.52492300000010872</v>
      </c>
      <c r="M6" s="25">
        <v>959.51475677575002</v>
      </c>
      <c r="N6" s="26" cm="1">
        <f t="array" ref="N6">IFERROR((K6-J6)/J6,"–")</f>
        <v>1.0005472597920413</v>
      </c>
      <c r="O6" s="24" cm="1">
        <f t="array" ref="O6">IF(D6=0,0,L6-K6)</f>
        <v>-1.9640931407501085</v>
      </c>
      <c r="P6" s="23"/>
      <c r="Q6" s="27"/>
    </row>
    <row r="7" spans="1:17" ht="22.5" customHeight="1">
      <c r="A7" s="16" t="s">
        <v>16</v>
      </c>
      <c r="B7" s="28">
        <v>44317</v>
      </c>
      <c r="C7" s="29">
        <v>0.97226999999999997</v>
      </c>
      <c r="D7" s="29">
        <v>0.9778</v>
      </c>
      <c r="E7" s="30" cm="1">
        <f t="array" ref="E7">IF(D7="","",D7-C7)</f>
        <v>5.5300000000000349E-3</v>
      </c>
      <c r="F7" s="31" cm="1">
        <f t="array" ref="F7">IF(D7=0,"",(D7-C7)/C7)</f>
        <v>5.6877204891645685E-3</v>
      </c>
      <c r="G7" s="32">
        <v>2635.5</v>
      </c>
      <c r="H7" s="10">
        <v>1</v>
      </c>
      <c r="I7" s="11" cm="1">
        <f t="array" ref="I7">IF(D7="","",(G7*C7)*0.00075)</f>
        <v>1.9218131887499998</v>
      </c>
      <c r="J7" s="11" cm="1">
        <f t="array" ref="J7">IF(D7="","",(G7*D7)*0.00075)</f>
        <v>1.932743925</v>
      </c>
      <c r="K7" s="33" cm="1">
        <f t="array" ref="K7">IF(D7="","",J7+I7)</f>
        <v>3.8545571137499999</v>
      </c>
      <c r="L7" s="33" cm="1">
        <f t="array" ref="L7">IF(D7=0,0,(D7-C7)*G7)</f>
        <v>14.574315000000093</v>
      </c>
      <c r="M7" s="12">
        <v>2545.9105260749998</v>
      </c>
      <c r="N7" s="34" cm="1">
        <f t="array" ref="N7">IFERROR((K7-J7)/J7,"–")</f>
        <v>0.99434444671711997</v>
      </c>
      <c r="O7" s="33" cm="1">
        <f t="array" ref="O7">IF(D7=0,0,L7-K7)</f>
        <v>10.719757886250093</v>
      </c>
      <c r="P7" s="11"/>
      <c r="Q7" s="35"/>
    </row>
    <row r="8" spans="1:17" ht="22.5" customHeight="1">
      <c r="A8" s="16" t="s">
        <v>17</v>
      </c>
      <c r="B8" s="17">
        <v>44317</v>
      </c>
      <c r="C8" s="18">
        <v>1.8965000000000001</v>
      </c>
      <c r="D8" s="18">
        <v>1.91</v>
      </c>
      <c r="E8" s="19" cm="1">
        <f t="array" ref="E8">IF(D8="","",D8-C8)</f>
        <v>1.3499999999999845E-2</v>
      </c>
      <c r="F8" s="20" cm="1">
        <f t="array" ref="F8">IF(D8=0,"",(D8-C8)/C8)</f>
        <v>7.1183759557078008E-3</v>
      </c>
      <c r="G8" s="21">
        <v>1344.64</v>
      </c>
      <c r="H8" s="22">
        <v>1</v>
      </c>
      <c r="I8" s="23" cm="1">
        <f t="array" ref="I8">IF(D8="","",(G8*C8)*0.00075)</f>
        <v>1.9125823200000003</v>
      </c>
      <c r="J8" s="23" cm="1">
        <f t="array" ref="J8">IF(D8="","",(G8*D8)*0.00075)</f>
        <v>1.9261968</v>
      </c>
      <c r="K8" s="24" cm="1">
        <f t="array" ref="K8">IF(D8="","",J8+I8)</f>
        <v>3.8387791200000003</v>
      </c>
      <c r="L8" s="24" cm="1">
        <f t="array" ref="L8">IF(D8=0,0,(D8-C8)*G8)</f>
        <v>18.152639999999792</v>
      </c>
      <c r="M8" s="25">
        <v>2530.0309232</v>
      </c>
      <c r="N8" s="26" cm="1">
        <f t="array" ref="N8">IFERROR((K8-J8)/J8,"–")</f>
        <v>0.99293193717277495</v>
      </c>
      <c r="O8" s="24" cm="1">
        <f t="array" ref="O8">IF(D8=0,0,L8-K8)</f>
        <v>14.313860879999792</v>
      </c>
      <c r="P8" s="23"/>
      <c r="Q8" s="27"/>
    </row>
    <row r="9" spans="1:17" ht="22.5" customHeight="1">
      <c r="A9" s="16" t="s">
        <v>18</v>
      </c>
      <c r="B9" s="28">
        <v>44317</v>
      </c>
      <c r="C9" s="36">
        <v>27.777000000000001</v>
      </c>
      <c r="D9" s="36">
        <v>28.335999999999999</v>
      </c>
      <c r="E9" s="30" cm="1">
        <f t="array" ref="E9">IF(D9="","",D9-C9)</f>
        <v>0.5589999999999975</v>
      </c>
      <c r="F9" s="31" cm="1">
        <f t="array" ref="F9">IF(D9=0,"",(D9-C9)/C9)</f>
        <v>2.0124563487777566E-2</v>
      </c>
      <c r="G9" s="32">
        <v>184.262</v>
      </c>
      <c r="H9" s="10">
        <v>1</v>
      </c>
      <c r="I9" s="11" cm="1">
        <f t="array" ref="I9">IF(D9="","",(G9*C9)*0.00075)</f>
        <v>3.8386841805000005</v>
      </c>
      <c r="J9" s="11" cm="1">
        <f t="array" ref="J9">IF(D9="","",(G9*D9)*0.00075)</f>
        <v>3.9159360239999996</v>
      </c>
      <c r="K9" s="33" cm="1">
        <f t="array" ref="K9">IF(D9="","",J9+I9)</f>
        <v>7.7546202045000001</v>
      </c>
      <c r="L9" s="33" cm="1">
        <f t="array" ref="L9">IF(D9=0,0,(D9-C9)*G9)</f>
        <v>103.00245799999954</v>
      </c>
      <c r="M9" s="12">
        <v>5011.3271799759996</v>
      </c>
      <c r="N9" s="34" cm="1">
        <f t="array" ref="N9">IFERROR((K9-J9)/J9,"–")</f>
        <v>0.98027244494635823</v>
      </c>
      <c r="O9" s="33" cm="1">
        <f t="array" ref="O9">IF(D9=0,0,L9-K9)</f>
        <v>95.247837795499535</v>
      </c>
      <c r="P9" s="11"/>
      <c r="Q9" s="35"/>
    </row>
    <row r="10" spans="1:17" ht="22.5" customHeight="1">
      <c r="A10" s="16" t="s">
        <v>19</v>
      </c>
      <c r="B10" s="17">
        <v>44317</v>
      </c>
      <c r="C10" s="37">
        <v>2.7837999999999998</v>
      </c>
      <c r="D10" s="37">
        <v>2.8085</v>
      </c>
      <c r="E10" s="19" cm="1">
        <f t="array" ref="E10">IF(D10="","",D10-C10)</f>
        <v>2.4700000000000166E-2</v>
      </c>
      <c r="F10" s="20" cm="1">
        <f t="array" ref="F10">IF(D10=0,"",(D10-C10)/C10)</f>
        <v>8.8727638479776452E-3</v>
      </c>
      <c r="G10" s="21">
        <v>467.91</v>
      </c>
      <c r="H10" s="22">
        <v>1</v>
      </c>
      <c r="I10" s="23" cm="1">
        <f t="array" ref="I10">IF(D10="","",(G10*C10)*0.00075)</f>
        <v>0.97692589349999992</v>
      </c>
      <c r="J10" s="23" cm="1">
        <f t="array" ref="J10">IF(D10="","",(G10*D10)*0.00075)</f>
        <v>0.98559392624999997</v>
      </c>
      <c r="K10" s="24" cm="1">
        <f t="array" ref="K10">IF(D10="","",J10+I10)</f>
        <v>1.9625198197499998</v>
      </c>
      <c r="L10" s="24" cm="1">
        <f t="array" ref="L10">IF(D10=0,0,(D10-C10)*G10)</f>
        <v>11.557377000000079</v>
      </c>
      <c r="M10" s="25">
        <v>1290.0248870737501</v>
      </c>
      <c r="N10" s="26" cm="1">
        <f t="array" ref="N10">IFERROR((K10-J10)/J10,"–")</f>
        <v>0.99120526971693057</v>
      </c>
      <c r="O10" s="24" cm="1">
        <f t="array" ref="O10">IF(D10=0,0,L10-K10)</f>
        <v>9.5948571802500791</v>
      </c>
      <c r="P10" s="23"/>
      <c r="Q10" s="27"/>
    </row>
    <row r="11" spans="1:17" ht="22.5" customHeight="1">
      <c r="A11" s="16" t="s">
        <v>20</v>
      </c>
      <c r="B11" s="28">
        <v>44317</v>
      </c>
      <c r="C11" s="36">
        <v>4.0488000000000003E-2</v>
      </c>
      <c r="D11" s="36">
        <v>4.0800000000000003E-2</v>
      </c>
      <c r="E11" s="30" cm="1">
        <f t="array" ref="E11">IF(D11="","",D11-C11)</f>
        <v>3.1199999999999978E-4</v>
      </c>
      <c r="F11" s="31" cm="1">
        <f t="array" ref="F11">IF(D11=0,"",(D11-C11)/C11)</f>
        <v>7.7059869590989866E-3</v>
      </c>
      <c r="G11" s="32">
        <v>32243</v>
      </c>
      <c r="H11" s="10">
        <v>1</v>
      </c>
      <c r="I11" s="11" cm="1">
        <f t="array" ref="I11">IF(D11="","",(G11*C11)*0.00075)</f>
        <v>0.97909093800000002</v>
      </c>
      <c r="J11" s="11" cm="1">
        <f t="array" ref="J11">IF(D11="","",(G11*D11)*0.00075)</f>
        <v>0.98663580000000006</v>
      </c>
      <c r="K11" s="33" cm="1">
        <f t="array" ref="K11">IF(D11="","",J11+I11)</f>
        <v>1.9657267380000001</v>
      </c>
      <c r="L11" s="33" cm="1">
        <f t="array" ref="L11">IF(D11=0,0,(D11-C11)*G11)</f>
        <v>10.059815999999993</v>
      </c>
      <c r="M11" s="12">
        <v>1294.4081322</v>
      </c>
      <c r="N11" s="34" cm="1">
        <f t="array" ref="N11">IFERROR((K11-J11)/J11,"–")</f>
        <v>0.99235294117647055</v>
      </c>
      <c r="O11" s="33" cm="1">
        <f t="array" ref="O11">IF(D11=0,0,L11-K11)</f>
        <v>8.0940892619999918</v>
      </c>
      <c r="P11" s="11"/>
      <c r="Q11" s="35"/>
    </row>
    <row r="12" spans="1:17" ht="22.5" customHeight="1">
      <c r="A12" s="16" t="s">
        <v>19</v>
      </c>
      <c r="B12" s="17">
        <v>44317</v>
      </c>
      <c r="C12" s="37">
        <v>2.8178999999999998</v>
      </c>
      <c r="D12" s="37">
        <v>2.827</v>
      </c>
      <c r="E12" s="19" cm="1">
        <f t="array" ref="E12">IF(D12="","",D12-C12)</f>
        <v>9.100000000000108E-3</v>
      </c>
      <c r="F12" s="20" cm="1">
        <f t="array" ref="F12">IF(D12=0,"",(D12-C12)/C12)</f>
        <v>3.2293551935839129E-3</v>
      </c>
      <c r="G12" s="21">
        <v>444.72</v>
      </c>
      <c r="H12" s="22">
        <v>1</v>
      </c>
      <c r="I12" s="23" cm="1">
        <f t="array" ref="I12">IF(D12="","",(G12*C12)*0.00075)</f>
        <v>0.93988236600000008</v>
      </c>
      <c r="J12" s="23" cm="1">
        <f t="array" ref="J12">IF(D12="","",(G12*D12)*0.00075)</f>
        <v>0.94291758000000003</v>
      </c>
      <c r="K12" s="24" cm="1">
        <f t="array" ref="K12">IF(D12="","",J12+I12)</f>
        <v>1.882799946</v>
      </c>
      <c r="L12" s="24" cm="1">
        <f t="array" ref="L12">IF(D12=0,0,(D12-C12)*G12)</f>
        <v>4.0469520000000481</v>
      </c>
      <c r="M12" s="25">
        <v>1248.1866184200001</v>
      </c>
      <c r="N12" s="26" cm="1">
        <f t="array" ref="N12">IFERROR((K12-J12)/J12,"–")</f>
        <v>0.99678103997170142</v>
      </c>
      <c r="O12" s="24" cm="1">
        <f t="array" ref="O12">IF(D12=0,0,L12-K12)</f>
        <v>2.1641520540000481</v>
      </c>
      <c r="P12" s="23"/>
      <c r="Q12" s="27"/>
    </row>
    <row r="13" spans="1:17" ht="22.5" customHeight="1">
      <c r="A13" s="16" t="s">
        <v>19</v>
      </c>
      <c r="B13" s="28">
        <v>44317</v>
      </c>
      <c r="C13" s="36">
        <v>2.8178999999999998</v>
      </c>
      <c r="D13" s="36">
        <v>2.8279999999999998</v>
      </c>
      <c r="E13" s="30" cm="1">
        <f t="array" ref="E13">IF(D13="","",D13-C13)</f>
        <v>1.0099999999999998E-2</v>
      </c>
      <c r="F13" s="31" cm="1">
        <f t="array" ref="F13">IF(D13=0,"",(D13-C13)/C13)</f>
        <v>3.5842293906810031E-3</v>
      </c>
      <c r="G13" s="32">
        <v>19.45</v>
      </c>
      <c r="H13" s="10">
        <v>1</v>
      </c>
      <c r="I13" s="11" cm="1">
        <f t="array" ref="I13">IF(D13="","",(G13*C13)*0.00075)</f>
        <v>4.1106116249999998E-2</v>
      </c>
      <c r="J13" s="11" cm="1">
        <f t="array" ref="J13">IF(D13="","",(G13*D13)*0.00075)</f>
        <v>4.1253449999999997E-2</v>
      </c>
      <c r="K13" s="33" cm="1">
        <f t="array" ref="K13">IF(D13="","",J13+I13)</f>
        <v>8.2359566249999988E-2</v>
      </c>
      <c r="L13" s="33" cm="1">
        <f t="array" ref="L13">IF(D13=0,0,(D13-C13)*G13)</f>
        <v>0.19644499999999995</v>
      </c>
      <c r="M13" s="12">
        <v>54.570456550000003</v>
      </c>
      <c r="N13" s="34" cm="1">
        <f t="array" ref="N13">IFERROR((K13-J13)/J13,"–")</f>
        <v>0.99642857142857133</v>
      </c>
      <c r="O13" s="33" cm="1">
        <f t="array" ref="O13">IF(D13=0,0,L13-K13)</f>
        <v>0.11408543374999996</v>
      </c>
      <c r="P13" s="11"/>
      <c r="Q13" s="35"/>
    </row>
    <row r="14" spans="1:17" ht="22.5" customHeight="1">
      <c r="A14" s="16" t="s">
        <v>21</v>
      </c>
      <c r="B14" s="17">
        <v>44317</v>
      </c>
      <c r="C14" s="37">
        <v>0.12361</v>
      </c>
      <c r="D14" s="37">
        <v>0.12970000000000001</v>
      </c>
      <c r="E14" s="19" cm="1">
        <f t="array" ref="E14">IF(D14="","",D14-C14)</f>
        <v>6.0900000000000121E-3</v>
      </c>
      <c r="F14" s="20" cm="1">
        <f t="array" ref="F14">IF(D14=0,"",(D14-C14)/C14)</f>
        <v>4.9267858587493017E-2</v>
      </c>
      <c r="G14" s="21">
        <v>42360.6</v>
      </c>
      <c r="H14" s="22">
        <v>1</v>
      </c>
      <c r="I14" s="23" cm="1">
        <f t="array" ref="I14">IF(D14="","",(G14*C14)*0.00075)</f>
        <v>3.9271453244999996</v>
      </c>
      <c r="J14" s="23" cm="1">
        <f t="array" ref="J14">IF(D14="","",(G14*D14)*0.00075)</f>
        <v>4.1206273649999998</v>
      </c>
      <c r="K14" s="24" cm="1">
        <f t="array" ref="K14">IF(D14="","",J14+I14)</f>
        <v>8.0477726895000004</v>
      </c>
      <c r="L14" s="24" cm="1">
        <f t="array" ref="L14">IF(D14=0,0,(D14-C14)*G14)</f>
        <v>257.97605400000049</v>
      </c>
      <c r="M14" s="25">
        <v>4974.0970846350001</v>
      </c>
      <c r="N14" s="26" cm="1">
        <f t="array" ref="N14">IFERROR((K14-J14)/J14,"–")</f>
        <v>0.95304548959136481</v>
      </c>
      <c r="O14" s="24" cm="1">
        <f t="array" ref="O14">IF(D14=0,0,L14-K14)</f>
        <v>249.92828131050049</v>
      </c>
      <c r="P14" s="23"/>
      <c r="Q14" s="27"/>
    </row>
    <row r="15" spans="1:17" ht="22.5" customHeight="1">
      <c r="A15" s="16" t="s">
        <v>17</v>
      </c>
      <c r="B15" s="28">
        <v>44317</v>
      </c>
      <c r="C15" s="36">
        <v>1.99</v>
      </c>
      <c r="D15" s="36">
        <v>2.0049999999999999</v>
      </c>
      <c r="E15" s="30" cm="1">
        <f t="array" ref="E15">IF(D15="","",D15-C15)</f>
        <v>1.4999999999999902E-2</v>
      </c>
      <c r="F15" s="31" cm="1">
        <f t="array" ref="F15">IF(D15=0,"",(D15-C15)/C15)</f>
        <v>7.5376884422110064E-3</v>
      </c>
      <c r="G15" s="32">
        <v>2753.9</v>
      </c>
      <c r="H15" s="10">
        <v>1</v>
      </c>
      <c r="I15" s="11" cm="1">
        <f t="array" ref="I15">IF(D15="","",(G15*C15)*0.00075)</f>
        <v>4.1101957500000008</v>
      </c>
      <c r="J15" s="11" cm="1">
        <f t="array" ref="J15">IF(D15="","",(G15*D15)*0.00075)</f>
        <v>4.1411771249999996</v>
      </c>
      <c r="K15" s="33" cm="1">
        <f t="array" ref="K15">IF(D15="","",J15+I15)</f>
        <v>8.2513728750000013</v>
      </c>
      <c r="L15" s="33" cm="1">
        <f t="array" ref="L15">IF(D15=0,0,(D15-C15)*G15)</f>
        <v>41.308499999999732</v>
      </c>
      <c r="M15" s="12">
        <v>5434.8113228749999</v>
      </c>
      <c r="N15" s="34" cm="1">
        <f t="array" ref="N15">IFERROR((K15-J15)/J15,"–")</f>
        <v>0.99251870324189573</v>
      </c>
      <c r="O15" s="33" cm="1">
        <f t="array" ref="O15">IF(D15=0,0,L15-K15)</f>
        <v>33.057127124999731</v>
      </c>
      <c r="P15" s="11"/>
      <c r="Q15" s="35"/>
    </row>
    <row r="16" spans="1:17" ht="22.5" customHeight="1">
      <c r="A16" s="16" t="s">
        <v>22</v>
      </c>
      <c r="B16" s="17">
        <v>44318</v>
      </c>
      <c r="C16" s="37">
        <v>43.191000000000003</v>
      </c>
      <c r="D16" s="37">
        <v>43.5</v>
      </c>
      <c r="E16" s="19" cm="1">
        <f t="array" ref="E16">IF(D16="","",D16-C16)</f>
        <v>0.3089999999999975</v>
      </c>
      <c r="F16" s="20" cm="1">
        <f t="array" ref="F16">IF(D16=0,"",(D16-C16)/C16)</f>
        <v>7.1542682503298715E-3</v>
      </c>
      <c r="G16" s="21">
        <v>63.802999999999997</v>
      </c>
      <c r="H16" s="22">
        <v>1</v>
      </c>
      <c r="I16" s="23" cm="1">
        <f t="array" ref="I16">IF(D16="","",(G16*C16)*0.00075)</f>
        <v>2.0667865297499999</v>
      </c>
      <c r="J16" s="23" cm="1">
        <f t="array" ref="J16">IF(D16="","",(G16*D16)*0.00075)</f>
        <v>2.081572875</v>
      </c>
      <c r="K16" s="24" cm="1">
        <f t="array" ref="K16">IF(D16="","",J16+I16)</f>
        <v>4.1483594047499999</v>
      </c>
      <c r="L16" s="24" cm="1">
        <f t="array" ref="L16">IF(D16=0,0,(D16-C16)*G16)</f>
        <v>19.715126999999839</v>
      </c>
      <c r="M16" s="25">
        <v>2733.9186731250002</v>
      </c>
      <c r="N16" s="26" cm="1">
        <f t="array" ref="N16">IFERROR((K16-J16)/J16,"–")</f>
        <v>0.99289655172413793</v>
      </c>
      <c r="O16" s="24" cm="1">
        <f t="array" ref="O16">IF(D16=0,0,L16-K16)</f>
        <v>15.566767595249839</v>
      </c>
      <c r="P16" s="23"/>
      <c r="Q16" s="27"/>
    </row>
    <row r="17" spans="1:17" ht="22.5" customHeight="1">
      <c r="A17" s="16" t="s">
        <v>22</v>
      </c>
      <c r="B17" s="28">
        <v>44318</v>
      </c>
      <c r="C17" s="36">
        <v>43.191000000000003</v>
      </c>
      <c r="D17" s="36">
        <v>44.5</v>
      </c>
      <c r="E17" s="30" cm="1">
        <f t="array" ref="E17">IF(D17="","",D17-C17)</f>
        <v>1.3089999999999975</v>
      </c>
      <c r="F17" s="31" cm="1">
        <f t="array" ref="F17">IF(D17=0,"",(D17-C17)/C17)</f>
        <v>3.03072399342455E-2</v>
      </c>
      <c r="G17" s="32">
        <v>63.802999999999997</v>
      </c>
      <c r="H17" s="10">
        <v>1</v>
      </c>
      <c r="I17" s="11" cm="1">
        <f t="array" ref="I17">IF(D17="","",(G17*C17)*0.00075)</f>
        <v>2.0667865297499999</v>
      </c>
      <c r="J17" s="11" cm="1">
        <f t="array" ref="J17">IF(D17="","",(G17*D17)*0.00075)</f>
        <v>2.129425125</v>
      </c>
      <c r="K17" s="33" cm="1">
        <f t="array" ref="K17">IF(D17="","",J17+I17)</f>
        <v>4.1962116547499999</v>
      </c>
      <c r="L17" s="33" cm="1">
        <f t="array" ref="L17">IF(D17=0,0,(D17-C17)*G17)</f>
        <v>83.518126999999836</v>
      </c>
      <c r="M17" s="12">
        <v>2670.0678208750001</v>
      </c>
      <c r="N17" s="34" cm="1">
        <f t="array" ref="N17">IFERROR((K17-J17)/J17,"–")</f>
        <v>0.97058426966292133</v>
      </c>
      <c r="O17" s="33" cm="1">
        <f t="array" ref="O17">IF(D17=0,0,L17-K17)</f>
        <v>79.321915345249835</v>
      </c>
      <c r="P17" s="11"/>
      <c r="Q17" s="35"/>
    </row>
    <row r="18" spans="1:17" ht="22.5" customHeight="1">
      <c r="A18" s="16" t="s">
        <v>23</v>
      </c>
      <c r="B18" s="17">
        <v>44318</v>
      </c>
      <c r="C18" s="37">
        <v>130.964</v>
      </c>
      <c r="D18" s="37">
        <v>130.4</v>
      </c>
      <c r="E18" s="19" cm="1">
        <f t="array" ref="E18">IF(D18="","",D18-C18)</f>
        <v>-0.56399999999999295</v>
      </c>
      <c r="F18" s="20" cm="1">
        <f t="array" ref="F18">IF(D18=0,"",(D18-C18)/C18)</f>
        <v>-4.306526984514775E-3</v>
      </c>
      <c r="G18" s="21">
        <v>42.774000000000001</v>
      </c>
      <c r="H18" s="22">
        <v>1</v>
      </c>
      <c r="I18" s="23" cm="1">
        <f t="array" ref="I18">IF(D18="","",(G18*C18)*0.00075)</f>
        <v>4.201390602</v>
      </c>
      <c r="J18" s="23" cm="1">
        <f t="array" ref="J18">IF(D18="","",(G18*D18)*0.00075)</f>
        <v>4.1832972000000002</v>
      </c>
      <c r="K18" s="24" cm="1">
        <f t="array" ref="K18">IF(D18="","",J18+I18)</f>
        <v>8.3846878020000002</v>
      </c>
      <c r="L18" s="24" cm="1">
        <f t="array" ref="L18">IF(D18=0,0,(D18-C18)*G18)</f>
        <v>-24.124535999999701</v>
      </c>
      <c r="M18" s="25">
        <v>5621.7953748</v>
      </c>
      <c r="N18" s="26" cm="1">
        <f t="array" ref="N18">IFERROR((K18-J18)/J18,"–")</f>
        <v>1.004325153374233</v>
      </c>
      <c r="O18" s="24" cm="1">
        <f t="array" ref="O18">IF(D18=0,0,L18-K18)</f>
        <v>-32.509223801999703</v>
      </c>
      <c r="P18" s="23"/>
      <c r="Q18" s="27"/>
    </row>
    <row r="19" spans="1:17" ht="22.5" customHeight="1">
      <c r="A19" s="16" t="s">
        <v>17</v>
      </c>
      <c r="B19" s="28">
        <v>44318</v>
      </c>
      <c r="C19" s="36">
        <v>1.9338</v>
      </c>
      <c r="D19" s="36">
        <v>1.93</v>
      </c>
      <c r="E19" s="30" cm="1">
        <f t="array" ref="E19">IF(D19="","",D19-C19)</f>
        <v>-3.8000000000000256E-3</v>
      </c>
      <c r="F19" s="31" cm="1">
        <f t="array" ref="F19">IF(D19=0,"",(D19-C19)/C19)</f>
        <v>-1.9650429206743334E-3</v>
      </c>
      <c r="G19" s="32">
        <v>582.15</v>
      </c>
      <c r="H19" s="10">
        <v>1</v>
      </c>
      <c r="I19" s="11" cm="1">
        <f t="array" ref="I19">IF(D19="","",(G19*C19)*0.00075)</f>
        <v>0.8443212524999999</v>
      </c>
      <c r="J19" s="11" cm="1">
        <f t="array" ref="J19">IF(D19="","",(G19*D19)*0.00075)</f>
        <v>0.84266212499999993</v>
      </c>
      <c r="K19" s="33" cm="1">
        <f t="array" ref="K19">IF(D19="","",J19+I19)</f>
        <v>1.6869833774999998</v>
      </c>
      <c r="L19" s="33" cm="1">
        <f t="array" ref="L19">IF(D19=0,0,(D19-C19)*G19)</f>
        <v>-2.2121700000000146</v>
      </c>
      <c r="M19" s="12">
        <v>1127.131177875</v>
      </c>
      <c r="N19" s="34" cm="1">
        <f t="array" ref="N19">IFERROR((K19-J19)/J19,"–")</f>
        <v>1.0019689119170985</v>
      </c>
      <c r="O19" s="33" cm="1">
        <f t="array" ref="O19">IF(D19=0,0,L19-K19)</f>
        <v>-3.8991533775000145</v>
      </c>
      <c r="P19" s="11"/>
      <c r="Q19" s="35"/>
    </row>
    <row r="20" spans="1:17" ht="22.5" customHeight="1">
      <c r="A20" s="16" t="s">
        <v>17</v>
      </c>
      <c r="B20" s="17">
        <v>44318</v>
      </c>
      <c r="C20" s="37">
        <v>1.9338</v>
      </c>
      <c r="D20" s="37">
        <v>1.927</v>
      </c>
      <c r="E20" s="19" cm="1">
        <f t="array" ref="E20">IF(D20="","",D20-C20)</f>
        <v>-6.7999999999999172E-3</v>
      </c>
      <c r="F20" s="20" cm="1">
        <f t="array" ref="F20">IF(D20=0,"",(D20-C20)/C20)</f>
        <v>-3.5163925948908455E-3</v>
      </c>
      <c r="G20" s="21">
        <v>2298.94</v>
      </c>
      <c r="H20" s="22">
        <v>1</v>
      </c>
      <c r="I20" s="23" cm="1">
        <f t="array" ref="I20">IF(D20="","",(G20*C20)*0.00075)</f>
        <v>3.3342676289999997</v>
      </c>
      <c r="J20" s="23" cm="1">
        <f t="array" ref="J20">IF(D20="","",(G20*D20)*0.00075)</f>
        <v>3.3225430350000003</v>
      </c>
      <c r="K20" s="24" cm="1">
        <f t="array" ref="K20">IF(D20="","",J20+I20)</f>
        <v>6.656810664</v>
      </c>
      <c r="L20" s="24" cm="1">
        <f t="array" ref="L20">IF(D20=0,0,(D20-C20)*G20)</f>
        <v>-15.63279199999981</v>
      </c>
      <c r="M20" s="25">
        <v>4458.0004209649996</v>
      </c>
      <c r="N20" s="26" cm="1">
        <f t="array" ref="N20">IFERROR((K20-J20)/J20,"–")</f>
        <v>1.0035288012454591</v>
      </c>
      <c r="O20" s="24" cm="1">
        <f t="array" ref="O20">IF(D20=0,0,L20-K20)</f>
        <v>-22.289602663999808</v>
      </c>
      <c r="P20" s="24"/>
      <c r="Q20" s="38"/>
    </row>
    <row r="21" spans="1:17" ht="22.5" customHeight="1">
      <c r="A21" s="16" t="s">
        <v>24</v>
      </c>
      <c r="B21" s="28">
        <v>44318</v>
      </c>
      <c r="C21" s="36">
        <v>0.1157</v>
      </c>
      <c r="D21" s="36">
        <v>0.11559999999999999</v>
      </c>
      <c r="E21" s="30" cm="1">
        <f t="array" ref="E21">IF(D21="","",D21-C21)</f>
        <v>-1.0000000000000286E-4</v>
      </c>
      <c r="F21" s="31" cm="1">
        <f t="array" ref="F21">IF(D21=0,"",(D21-C21)/C21)</f>
        <v>-8.6430423509077669E-4</v>
      </c>
      <c r="G21" s="32">
        <v>47882.96</v>
      </c>
      <c r="H21" s="10">
        <v>1</v>
      </c>
      <c r="I21" s="11" cm="1">
        <f t="array" ref="I21">IF(D21="","",(G21*C21)*0.00075)</f>
        <v>4.1550438539999996</v>
      </c>
      <c r="J21" s="11" cm="1">
        <f t="array" ref="J21">IF(D21="","",(G21*D21)*0.00075)</f>
        <v>4.1514526319999998</v>
      </c>
      <c r="K21" s="33" cm="1">
        <f t="array" ref="K21">IF(D21="","",J21+I21)</f>
        <v>8.3064964860000003</v>
      </c>
      <c r="L21" s="33" cm="1">
        <f t="array" ref="L21">IF(D21=0,0,(D21-C21)*G21)</f>
        <v>-4.7882960000001367</v>
      </c>
      <c r="M21" s="12">
        <v>5540.6953153679997</v>
      </c>
      <c r="N21" s="34" cm="1">
        <f t="array" ref="N21">IFERROR((K21-J21)/J21,"–")</f>
        <v>1.0008650519031144</v>
      </c>
      <c r="O21" s="33" cm="1">
        <f t="array" ref="O21">IF(D21=0,0,L21-K21)</f>
        <v>-13.094792486000138</v>
      </c>
      <c r="P21" s="11"/>
      <c r="Q21" s="35"/>
    </row>
    <row r="22" spans="1:17" ht="22.5" customHeight="1">
      <c r="A22" s="16" t="s">
        <v>25</v>
      </c>
      <c r="B22" s="17">
        <v>44319</v>
      </c>
      <c r="C22" s="37">
        <v>8.6943000000000001</v>
      </c>
      <c r="D22" s="37">
        <v>8.67</v>
      </c>
      <c r="E22" s="19" cm="1">
        <f t="array" ref="E22">IF(D22="","",D22-C22)</f>
        <v>-2.430000000000021E-2</v>
      </c>
      <c r="F22" s="20" cm="1">
        <f t="array" ref="F22">IF(D22=0,"",(D22-C22)/C22)</f>
        <v>-2.794934612332242E-3</v>
      </c>
      <c r="G22" s="21">
        <v>631.45000000000005</v>
      </c>
      <c r="H22" s="22">
        <v>1</v>
      </c>
      <c r="I22" s="23" cm="1">
        <f t="array" ref="I22">IF(D22="","",(G22*C22)*0.00075)</f>
        <v>4.1175118012500009</v>
      </c>
      <c r="J22" s="23" cm="1">
        <f t="array" ref="J22">IF(D22="","",(G22*D22)*0.00075)</f>
        <v>4.1060036250000005</v>
      </c>
      <c r="K22" s="24" cm="1">
        <f t="array" ref="K22">IF(D22="","",J22+I22)</f>
        <v>8.2235154262500014</v>
      </c>
      <c r="L22" s="24" cm="1">
        <f t="array" ref="L22">IF(D22=0,0,(D22-C22)*G22)</f>
        <v>-15.344235000000134</v>
      </c>
      <c r="M22" s="25">
        <v>5501.2539663750003</v>
      </c>
      <c r="N22" s="26" cm="1">
        <f t="array" ref="N22">IFERROR((K22-J22)/J22,"–")</f>
        <v>1.00280276816609</v>
      </c>
      <c r="O22" s="24" cm="1">
        <f t="array" ref="O22">IF(D22=0,0,L22-K22)</f>
        <v>-23.567750426250136</v>
      </c>
      <c r="P22" s="23"/>
      <c r="Q22" s="27"/>
    </row>
    <row r="23" spans="1:17" ht="22.5" customHeight="1">
      <c r="A23" s="16" t="s">
        <v>26</v>
      </c>
      <c r="B23" s="28">
        <v>44319</v>
      </c>
      <c r="C23" s="36">
        <v>6.992</v>
      </c>
      <c r="D23" s="36">
        <v>6.8951000000000002</v>
      </c>
      <c r="E23" s="30" cm="1">
        <f t="array" ref="E23">IF(D23="","",D23-C23)</f>
        <v>-9.6899999999999764E-2</v>
      </c>
      <c r="F23" s="31" cm="1">
        <f t="array" ref="F23">IF(D23=0,"",(D23-C23)/C23)</f>
        <v>-1.385869565217388E-2</v>
      </c>
      <c r="G23" s="32">
        <v>782.33</v>
      </c>
      <c r="H23" s="10">
        <v>1</v>
      </c>
      <c r="I23" s="11" cm="1">
        <f t="array" ref="I23">IF(D23="","",(G23*C23)*0.00075)</f>
        <v>4.1025385200000004</v>
      </c>
      <c r="J23" s="11" cm="1">
        <f t="array" ref="J23">IF(D23="","",(G23*D23)*0.00075)</f>
        <v>4.0456826872500002</v>
      </c>
      <c r="K23" s="33" cm="1">
        <f t="array" ref="K23">IF(D23="","",J23+I23)</f>
        <v>8.1482212072499998</v>
      </c>
      <c r="L23" s="33" cm="1">
        <f t="array" ref="L23">IF(D23=0,0,(D23-C23)*G23)</f>
        <v>-75.807776999999817</v>
      </c>
      <c r="M23" s="12">
        <v>5541.8134543127499</v>
      </c>
      <c r="N23" s="34" cm="1">
        <f t="array" ref="N23">IFERROR((K23-J23)/J23,"–")</f>
        <v>1.0140534582529621</v>
      </c>
      <c r="O23" s="33" cm="1">
        <f t="array" ref="O23">IF(D23=0,0,L23-K23)</f>
        <v>-83.95599820724982</v>
      </c>
      <c r="P23" s="11"/>
      <c r="Q23" s="35"/>
    </row>
    <row r="24" spans="1:17" ht="22.5" customHeight="1">
      <c r="A24" s="16" t="s">
        <v>25</v>
      </c>
      <c r="B24" s="17">
        <v>44319</v>
      </c>
      <c r="C24" s="37">
        <v>8.7393999999999998</v>
      </c>
      <c r="D24" s="37">
        <v>8.92</v>
      </c>
      <c r="E24" s="19" cm="1">
        <f t="array" ref="E24">IF(D24="","",D24-C24)</f>
        <v>0.18060000000000009</v>
      </c>
      <c r="F24" s="20" cm="1">
        <f t="array" ref="F24">IF(D24=0,"",(D24-C24)/C24)</f>
        <v>2.0665034212875036E-2</v>
      </c>
      <c r="G24" s="21">
        <v>154.19</v>
      </c>
      <c r="H24" s="22">
        <v>1</v>
      </c>
      <c r="I24" s="23" cm="1">
        <f t="array" ref="I24">IF(D24="","",(G24*C24)*0.00075)</f>
        <v>1.0106460644999999</v>
      </c>
      <c r="J24" s="23" cm="1">
        <f t="array" ref="J24">IF(D24="","",(G24*D24)*0.00075)</f>
        <v>1.0315311</v>
      </c>
      <c r="K24" s="24" cm="1">
        <f t="array" ref="K24">IF(D24="","",J24+I24)</f>
        <v>2.0421771645</v>
      </c>
      <c r="L24" s="24" cm="1">
        <f t="array" ref="L24">IF(D24=0,0,(D24-C24)*G24)</f>
        <v>27.846714000000013</v>
      </c>
      <c r="M24" s="25">
        <v>1318.6498409000001</v>
      </c>
      <c r="N24" s="26" cm="1">
        <f t="array" ref="N24">IFERROR((K24-J24)/J24,"–")</f>
        <v>0.97975336322869944</v>
      </c>
      <c r="O24" s="24" cm="1">
        <f t="array" ref="O24">IF(D24=0,0,L24-K24)</f>
        <v>25.804536835500013</v>
      </c>
      <c r="P24" s="23"/>
      <c r="Q24" s="27"/>
    </row>
    <row r="25" spans="1:17" ht="22.5" customHeight="1">
      <c r="A25" s="16" t="s">
        <v>25</v>
      </c>
      <c r="B25" s="28">
        <v>44319</v>
      </c>
      <c r="C25" s="36">
        <v>8.7393999999999998</v>
      </c>
      <c r="D25" s="36">
        <v>8.8861000000000008</v>
      </c>
      <c r="E25" s="30" cm="1">
        <f t="array" ref="E25">IF(D25="","",D25-C25)</f>
        <v>0.14670000000000094</v>
      </c>
      <c r="F25" s="31" cm="1">
        <f t="array" ref="F25">IF(D25=0,"",(D25-C25)/C25)</f>
        <v>1.678604938554145E-2</v>
      </c>
      <c r="G25" s="32">
        <v>462.56</v>
      </c>
      <c r="H25" s="10">
        <v>1</v>
      </c>
      <c r="I25" s="11" cm="1">
        <f t="array" ref="I25">IF(D25="","",(G25*C25)*0.00075)</f>
        <v>3.0318726479999998</v>
      </c>
      <c r="J25" s="11" cm="1">
        <f t="array" ref="J25">IF(D25="","",(G25*D25)*0.00075)</f>
        <v>3.0827658120000003</v>
      </c>
      <c r="K25" s="33" cm="1">
        <f t="array" ref="K25">IF(D25="","",J25+I25)</f>
        <v>6.1146384600000001</v>
      </c>
      <c r="L25" s="33" cm="1">
        <f t="array" ref="L25">IF(D25=0,0,(D25-C25)*G25)</f>
        <v>67.857552000000439</v>
      </c>
      <c r="M25" s="12">
        <v>3971.5565461880001</v>
      </c>
      <c r="N25" s="34" cm="1">
        <f t="array" ref="N25">IFERROR((K25-J25)/J25,"–")</f>
        <v>0.98349107032331373</v>
      </c>
      <c r="O25" s="33" cm="1">
        <f t="array" ref="O25">IF(D25=0,0,L25-K25)</f>
        <v>61.742913540000437</v>
      </c>
      <c r="P25" s="11"/>
      <c r="Q25" s="35"/>
    </row>
    <row r="26" spans="1:17" ht="22.5" customHeight="1">
      <c r="A26" s="16" t="s">
        <v>27</v>
      </c>
      <c r="B26" s="17">
        <v>44319</v>
      </c>
      <c r="C26" s="37">
        <v>0.17288000000000001</v>
      </c>
      <c r="D26" s="37">
        <v>0.17499000000000001</v>
      </c>
      <c r="E26" s="19" cm="1">
        <f t="array" ref="E26">IF(D26="","",D26-C26)</f>
        <v>2.1100000000000008E-3</v>
      </c>
      <c r="F26" s="20" cm="1">
        <f t="array" ref="F26">IF(D26=0,"",(D26-C26)/C26)</f>
        <v>1.2204997686256366E-2</v>
      </c>
      <c r="G26" s="21">
        <v>15849.7</v>
      </c>
      <c r="H26" s="22">
        <v>1</v>
      </c>
      <c r="I26" s="23" cm="1">
        <f t="array" ref="I26">IF(D26="","",(G26*C26)*0.00075)</f>
        <v>2.055072102</v>
      </c>
      <c r="J26" s="23" cm="1">
        <f t="array" ref="J26">IF(D26="","",(G26*D26)*0.00075)</f>
        <v>2.0801542522500003</v>
      </c>
      <c r="K26" s="24" cm="1">
        <f t="array" ref="K26">IF(D26="","",J26+I26)</f>
        <v>4.1352263542500003</v>
      </c>
      <c r="L26" s="24" cm="1">
        <f t="array" ref="L26">IF(D26=0,0,(D26-C26)*G26)</f>
        <v>33.442867000000014</v>
      </c>
      <c r="M26" s="25">
        <v>2704.57311474775</v>
      </c>
      <c r="N26" s="26" cm="1">
        <f t="array" ref="N26">IFERROR((K26-J26)/J26,"–")</f>
        <v>0.98794216812389268</v>
      </c>
      <c r="O26" s="24" cm="1">
        <f t="array" ref="O26">IF(D26=0,0,L26-K26)</f>
        <v>29.307640645750013</v>
      </c>
      <c r="P26" s="23"/>
      <c r="Q26" s="27"/>
    </row>
    <row r="27" spans="1:17" ht="22.5" customHeight="1">
      <c r="A27" s="16" t="s">
        <v>27</v>
      </c>
      <c r="B27" s="28">
        <v>44319</v>
      </c>
      <c r="C27" s="36">
        <v>0.17288000000000001</v>
      </c>
      <c r="D27" s="36">
        <v>0.17396</v>
      </c>
      <c r="E27" s="30" cm="1">
        <f t="array" ref="E27">IF(D27="","",D27-C27)</f>
        <v>1.0799999999999976E-3</v>
      </c>
      <c r="F27" s="31" cm="1">
        <f t="array" ref="F27">IF(D27=0,"",(D27-C27)/C27)</f>
        <v>6.2471078204534795E-3</v>
      </c>
      <c r="G27" s="32">
        <v>15849.7</v>
      </c>
      <c r="H27" s="10">
        <v>1</v>
      </c>
      <c r="I27" s="11" cm="1">
        <f t="array" ref="I27">IF(D27="","",(G27*C27)*0.00075)</f>
        <v>2.055072102</v>
      </c>
      <c r="J27" s="11" cm="1">
        <f t="array" ref="J27">IF(D27="","",(G27*D27)*0.00075)</f>
        <v>2.0679103589999999</v>
      </c>
      <c r="K27" s="33" cm="1">
        <f t="array" ref="K27">IF(D27="","",J27+I27)</f>
        <v>4.1229824609999994</v>
      </c>
      <c r="L27" s="33" cm="1">
        <f t="array" ref="L27">IF(D27=0,0,(D27-C27)*G27)</f>
        <v>17.117675999999964</v>
      </c>
      <c r="M27" s="12">
        <v>2720.9105496410002</v>
      </c>
      <c r="N27" s="34" cm="1">
        <f t="array" ref="N27">IFERROR((K27-J27)/J27,"–")</f>
        <v>0.99379167624741305</v>
      </c>
      <c r="O27" s="33" cm="1">
        <f t="array" ref="O27">IF(D27=0,0,L27-K27)</f>
        <v>12.994693538999964</v>
      </c>
      <c r="P27" s="11"/>
      <c r="Q27" s="35"/>
    </row>
    <row r="28" spans="1:17" ht="22.5" customHeight="1">
      <c r="A28" s="16" t="s">
        <v>28</v>
      </c>
      <c r="B28" s="17">
        <v>44319</v>
      </c>
      <c r="C28" s="37">
        <v>1.4987999999999999</v>
      </c>
      <c r="D28" s="37">
        <v>1.47</v>
      </c>
      <c r="E28" s="19" cm="1">
        <f t="array" ref="E28">IF(D28="","",D28-C28)</f>
        <v>-2.8799999999999937E-2</v>
      </c>
      <c r="F28" s="20" cm="1">
        <f t="array" ref="F28">IF(D28=0,"",(D28-C28)/C28)</f>
        <v>-1.9215372297838231E-2</v>
      </c>
      <c r="G28" s="21">
        <v>2001.66</v>
      </c>
      <c r="H28" s="22">
        <v>1</v>
      </c>
      <c r="I28" s="23" cm="1">
        <f t="array" ref="I28">IF(D28="","",(G28*C28)*0.00075)</f>
        <v>2.250066006</v>
      </c>
      <c r="J28" s="23" cm="1">
        <f t="array" ref="J28">IF(D28="","",(G28*D28)*0.00075)</f>
        <v>2.20683015</v>
      </c>
      <c r="K28" s="24" cm="1">
        <f t="array" ref="K28">IF(D28="","",J28+I28)</f>
        <v>4.456896156</v>
      </c>
      <c r="L28" s="24" cm="1">
        <f t="array" ref="L28">IF(D28=0,0,(D28-C28)*G28)</f>
        <v>-57.647807999999877</v>
      </c>
      <c r="M28" s="25">
        <v>3055.52898585</v>
      </c>
      <c r="N28" s="26" cm="1">
        <f t="array" ref="N28">IFERROR((K28-J28)/J28,"–")</f>
        <v>1.0195918367346939</v>
      </c>
      <c r="O28" s="24" cm="1">
        <f t="array" ref="O28">IF(D28=0,0,L28-K28)</f>
        <v>-62.104704155999876</v>
      </c>
      <c r="P28" s="23"/>
      <c r="Q28" s="27"/>
    </row>
    <row r="29" spans="1:17" ht="22.5" customHeight="1">
      <c r="A29" s="16" t="s">
        <v>29</v>
      </c>
      <c r="B29" s="28">
        <v>44319</v>
      </c>
      <c r="C29" s="36">
        <v>6.0221999999999998E-2</v>
      </c>
      <c r="D29" s="36">
        <v>6.08E-2</v>
      </c>
      <c r="E29" s="30" cm="1">
        <f t="array" ref="E29">IF(D29="","",D29-C29)</f>
        <v>5.7800000000000212E-4</v>
      </c>
      <c r="F29" s="31" cm="1">
        <f t="array" ref="F29">IF(D29=0,"",(D29-C29)/C29)</f>
        <v>9.5978213941749213E-3</v>
      </c>
      <c r="G29" s="32">
        <v>41004</v>
      </c>
      <c r="H29" s="10">
        <v>1</v>
      </c>
      <c r="I29" s="11" cm="1">
        <f t="array" ref="I29">IF(D29="","",(G29*C29)*0.00075)</f>
        <v>1.8520071660000001</v>
      </c>
      <c r="J29" s="11" cm="1">
        <f t="array" ref="J29">IF(D29="","",(G29*D29)*0.00075)</f>
        <v>1.8697824000000001</v>
      </c>
      <c r="K29" s="33" cm="1">
        <f t="array" ref="K29">IF(D29="","",J29+I29)</f>
        <v>3.721789566</v>
      </c>
      <c r="L29" s="33" cm="1">
        <f t="array" ref="L29">IF(D29=0,0,(D29-C29)*G29)</f>
        <v>23.700312000000086</v>
      </c>
      <c r="M29" s="12">
        <v>2443.7727936000001</v>
      </c>
      <c r="N29" s="34" cm="1">
        <f t="array" ref="N29">IFERROR((K29-J29)/J29,"–")</f>
        <v>0.9904934210526315</v>
      </c>
      <c r="O29" s="33" cm="1">
        <f t="array" ref="O29">IF(D29=0,0,L29-K29)</f>
        <v>19.978522434000084</v>
      </c>
      <c r="P29" s="11"/>
      <c r="Q29" s="35"/>
    </row>
    <row r="30" spans="1:17" ht="22.5" customHeight="1">
      <c r="A30" s="16" t="s">
        <v>30</v>
      </c>
      <c r="B30" s="17">
        <v>44319</v>
      </c>
      <c r="C30" s="37">
        <v>58623</v>
      </c>
      <c r="D30" s="37">
        <v>57645</v>
      </c>
      <c r="E30" s="19" cm="1">
        <f t="array" ref="E30">IF(D30="","",D30-C30)</f>
        <v>-978</v>
      </c>
      <c r="F30" s="20" cm="1">
        <f t="array" ref="F30">IF(D30=0,"",(D30-C30)/C30)</f>
        <v>-1.6682871910342355E-2</v>
      </c>
      <c r="G30" s="21">
        <v>4.2644000000000001E-2</v>
      </c>
      <c r="H30" s="22">
        <v>1</v>
      </c>
      <c r="I30" s="23" cm="1">
        <f t="array" ref="I30">IF(D30="","",(G30*C30)*0.00075)</f>
        <v>1.8749394090000002</v>
      </c>
      <c r="J30" s="23" cm="1">
        <f t="array" ref="J30">IF(D30="","",(G30*D30)*0.00075)</f>
        <v>1.8436600350000001</v>
      </c>
      <c r="K30" s="24" cm="1">
        <f t="array" ref="K30">IF(D30="","",J30+I30)</f>
        <v>3.7185994440000005</v>
      </c>
      <c r="L30" s="24" cm="1">
        <f t="array" ref="L30">IF(D30=0,0,(D30-C30)*G30)</f>
        <v>-41.705832000000001</v>
      </c>
      <c r="M30" s="25">
        <v>2539.7813839649998</v>
      </c>
      <c r="N30" s="26" cm="1">
        <f t="array" ref="N30">IFERROR((K30-J30)/J30,"–")</f>
        <v>1.0169659120478796</v>
      </c>
      <c r="O30" s="24" cm="1">
        <f t="array" ref="O30">IF(D30=0,0,L30-K30)</f>
        <v>-45.424431444</v>
      </c>
      <c r="P30" s="23"/>
      <c r="Q30" s="27"/>
    </row>
    <row r="31" spans="1:17" ht="22.5" customHeight="1">
      <c r="A31" s="16" t="s">
        <v>31</v>
      </c>
      <c r="B31" s="28">
        <v>44319</v>
      </c>
      <c r="C31" s="36">
        <v>41.713000000000001</v>
      </c>
      <c r="D31" s="36">
        <v>41.97</v>
      </c>
      <c r="E31" s="30" cm="1">
        <f t="array" ref="E31">IF(D31="","",D31-C31)</f>
        <v>0.2569999999999979</v>
      </c>
      <c r="F31" s="31" cm="1">
        <f t="array" ref="F31">IF(D31=0,"",(D31-C31)/C31)</f>
        <v>6.1611488025315343E-3</v>
      </c>
      <c r="G31" s="32">
        <v>32.356999999999999</v>
      </c>
      <c r="H31" s="10">
        <v>1</v>
      </c>
      <c r="I31" s="11" cm="1">
        <f t="array" ref="I31">IF(D31="","",(G31*C31)*0.00075)</f>
        <v>1.0122806557499999</v>
      </c>
      <c r="J31" s="11" cm="1">
        <f t="array" ref="J31">IF(D31="","",(G31*D31)*0.00075)</f>
        <v>1.0185174674999999</v>
      </c>
      <c r="K31" s="33" cm="1">
        <f t="array" ref="K31">IF(D31="","",J31+I31)</f>
        <v>2.0307981232499999</v>
      </c>
      <c r="L31" s="33" cm="1">
        <f t="array" ref="L31">IF(D31=0,0,(D31-C31)*G31)</f>
        <v>8.315748999999931</v>
      </c>
      <c r="M31" s="12">
        <v>1340.3732745325001</v>
      </c>
      <c r="N31" s="34" cm="1">
        <f t="array" ref="N31">IFERROR((K31-J31)/J31,"–")</f>
        <v>0.99387657850845845</v>
      </c>
      <c r="O31" s="33" cm="1">
        <f t="array" ref="O31">IF(D31=0,0,L31-K31)</f>
        <v>6.2849508767499316</v>
      </c>
      <c r="P31" s="11"/>
      <c r="Q31" s="35"/>
    </row>
    <row r="32" spans="1:17" ht="22.5" customHeight="1">
      <c r="A32" s="16" t="s">
        <v>31</v>
      </c>
      <c r="B32" s="17">
        <v>44319</v>
      </c>
      <c r="C32" s="37">
        <v>41.713000000000001</v>
      </c>
      <c r="D32" s="37">
        <v>42.040999999999997</v>
      </c>
      <c r="E32" s="19" cm="1">
        <f t="array" ref="E32">IF(D32="","",D32-C32)</f>
        <v>0.32799999999999585</v>
      </c>
      <c r="F32" s="20" cm="1">
        <f t="array" ref="F32">IF(D32=0,"",(D32-C32)/C32)</f>
        <v>7.8632560592620006E-3</v>
      </c>
      <c r="G32" s="21">
        <v>97.073999999999998</v>
      </c>
      <c r="H32" s="22">
        <v>1</v>
      </c>
      <c r="I32" s="23" cm="1">
        <f t="array" ref="I32">IF(D32="","",(G32*C32)*0.00075)</f>
        <v>3.0369358215000002</v>
      </c>
      <c r="J32" s="23" cm="1">
        <f t="array" ref="J32">IF(D32="","",(G32*D32)*0.00075)</f>
        <v>3.0608160254999994</v>
      </c>
      <c r="K32" s="24" cm="1">
        <f t="array" ref="K32">IF(D32="","",J32+I32)</f>
        <v>6.0977518469999996</v>
      </c>
      <c r="L32" s="24" cm="1">
        <f t="array" ref="L32">IF(D32=0,0,(D32-C32)*G32)</f>
        <v>31.840271999999597</v>
      </c>
      <c r="M32" s="25">
        <v>4014.3466739744999</v>
      </c>
      <c r="N32" s="26" cm="1">
        <f t="array" ref="N32">IFERROR((K32-J32)/J32,"–")</f>
        <v>0.99219809233843181</v>
      </c>
      <c r="O32" s="24" cm="1">
        <f t="array" ref="O32">IF(D32=0,0,L32-K32)</f>
        <v>25.742520152999596</v>
      </c>
      <c r="P32" s="23"/>
      <c r="Q32" s="27"/>
    </row>
    <row r="33" spans="1:17" ht="22.5" customHeight="1">
      <c r="A33" s="16" t="s">
        <v>32</v>
      </c>
      <c r="B33" s="28">
        <v>44319</v>
      </c>
      <c r="C33" s="36">
        <v>0.19288</v>
      </c>
      <c r="D33" s="36">
        <v>0.19225</v>
      </c>
      <c r="E33" s="30" cm="1">
        <f t="array" ref="E33">IF(D33="","",D33-C33)</f>
        <v>-6.2999999999999168E-4</v>
      </c>
      <c r="F33" s="31" cm="1">
        <f t="array" ref="F33">IF(D33=0,"",(D33-C33)/C33)</f>
        <v>-3.2662795520530469E-3</v>
      </c>
      <c r="G33" s="32">
        <v>28199.200000000001</v>
      </c>
      <c r="H33" s="10">
        <v>1</v>
      </c>
      <c r="I33" s="11" cm="1">
        <f t="array" ref="I33">IF(D33="","",(G33*C33)*0.00075)</f>
        <v>4.0792962719999997</v>
      </c>
      <c r="J33" s="11" cm="1">
        <f t="array" ref="J33">IF(D33="","",(G33*D33)*0.00075)</f>
        <v>4.0659721500000003</v>
      </c>
      <c r="K33" s="33" cm="1">
        <f t="array" ref="K33">IF(D33="","",J33+I33)</f>
        <v>8.1452684220000009</v>
      </c>
      <c r="L33" s="33" cm="1">
        <f t="array" ref="L33">IF(D33=0,0,(D33-C33)*G33)</f>
        <v>-17.765495999999764</v>
      </c>
      <c r="M33" s="12">
        <v>5452.7612198500001</v>
      </c>
      <c r="N33" s="34" cm="1">
        <f t="array" ref="N33">IFERROR((K33-J33)/J33,"–")</f>
        <v>1.0032769830949286</v>
      </c>
      <c r="O33" s="33" cm="1">
        <f t="array" ref="O33">IF(D33=0,0,L33-K33)</f>
        <v>-25.910764421999765</v>
      </c>
      <c r="P33" s="11"/>
      <c r="Q33" s="35"/>
    </row>
    <row r="34" spans="1:17" ht="22.5" customHeight="1">
      <c r="A34" s="16" t="s">
        <v>33</v>
      </c>
      <c r="B34" s="17">
        <v>44321</v>
      </c>
      <c r="C34" s="37">
        <v>1.2515E-3</v>
      </c>
      <c r="D34" s="37">
        <v>1.2570000000000001E-3</v>
      </c>
      <c r="E34" s="19" cm="1">
        <f t="array" ref="E34">IF(D34="","",D34-C34)</f>
        <v>5.5000000000000795E-6</v>
      </c>
      <c r="F34" s="20" cm="1">
        <f t="array" ref="F34">IF(D34=0,"",(D34-C34)/C34)</f>
        <v>4.3947263284059767E-3</v>
      </c>
      <c r="G34" s="21">
        <v>1598175</v>
      </c>
      <c r="H34" s="22">
        <v>1</v>
      </c>
      <c r="I34" s="23" cm="1">
        <f t="array" ref="I34">IF(D34="","",(G34*C34)*0.00075)</f>
        <v>1.5000870093750001</v>
      </c>
      <c r="J34" s="23" cm="1">
        <f t="array" ref="J34">IF(D34="","",(G34*D34)*0.00075)</f>
        <v>1.5066794812500002</v>
      </c>
      <c r="K34" s="24" cm="1">
        <f t="array" ref="K34">IF(D34="","",J34+I34)</f>
        <v>3.006766490625</v>
      </c>
      <c r="L34" s="24" cm="1">
        <f t="array" ref="L34">IF(D34=0,0,(D34-C34)*G34)</f>
        <v>8.7899625000001276</v>
      </c>
      <c r="M34" s="25">
        <v>1989.81937051875</v>
      </c>
      <c r="N34" s="26" cm="1">
        <f t="array" ref="N34">IFERROR((K34-J34)/J34,"–")</f>
        <v>0.99562450278440706</v>
      </c>
      <c r="O34" s="24" cm="1">
        <f t="array" ref="O34">IF(D34=0,0,L34-K34)</f>
        <v>5.7831960093751276</v>
      </c>
      <c r="P34" s="23"/>
      <c r="Q34" s="27"/>
    </row>
    <row r="35" spans="1:17" ht="22.5" customHeight="1">
      <c r="A35" s="16" t="s">
        <v>34</v>
      </c>
      <c r="B35" s="28">
        <v>44322</v>
      </c>
      <c r="C35" s="36">
        <v>0.51685000000000003</v>
      </c>
      <c r="D35" s="36">
        <v>0.53083999999999998</v>
      </c>
      <c r="E35" s="30" cm="1">
        <f t="array" ref="E35">IF(D35="","",D35-C35)</f>
        <v>1.3989999999999947E-2</v>
      </c>
      <c r="F35" s="31" cm="1">
        <f t="array" ref="F35">IF(D35=0,"",(D35-C35)/C35)</f>
        <v>2.7067814646415684E-2</v>
      </c>
      <c r="G35" s="32">
        <v>10448</v>
      </c>
      <c r="H35" s="10">
        <v>1</v>
      </c>
      <c r="I35" s="11" cm="1">
        <f t="array" ref="I35">IF(D35="","",(G35*C35)*0.00075)</f>
        <v>4.0500366000000003</v>
      </c>
      <c r="J35" s="11" cm="1">
        <f t="array" ref="J35">IF(D35="","",(G35*D35)*0.00075)</f>
        <v>4.1596622399999994</v>
      </c>
      <c r="K35" s="33" cm="1">
        <f t="array" ref="K35">IF(D35="","",J35+I35)</f>
        <v>8.2096988399999997</v>
      </c>
      <c r="L35" s="33" cm="1">
        <f t="array" ref="L35">IF(D35=0,0,(D35-C35)*G35)</f>
        <v>146.16751999999946</v>
      </c>
      <c r="M35" s="12">
        <v>5249.7216177600003</v>
      </c>
      <c r="N35" s="34" cm="1">
        <f t="array" ref="N35">IFERROR((K35-J35)/J35,"–")</f>
        <v>0.973645542913119</v>
      </c>
      <c r="O35" s="33" cm="1">
        <f t="array" ref="O35">IF(D35=0,0,L35-K35)</f>
        <v>137.95782115999947</v>
      </c>
      <c r="P35" s="11"/>
      <c r="Q35" s="35"/>
    </row>
    <row r="36" spans="1:17" ht="22.5" customHeight="1">
      <c r="A36" s="16" t="s">
        <v>35</v>
      </c>
      <c r="B36" s="17">
        <v>44322</v>
      </c>
      <c r="C36" s="37">
        <v>3.242</v>
      </c>
      <c r="D36" s="37">
        <v>3.274</v>
      </c>
      <c r="E36" s="19" cm="1">
        <f t="array" ref="E36">IF(D36="","",D36-C36)</f>
        <v>3.2000000000000028E-2</v>
      </c>
      <c r="F36" s="20" cm="1">
        <f t="array" ref="F36">IF(D36=0,"",(D36-C36)/C36)</f>
        <v>9.8704503392967394E-3</v>
      </c>
      <c r="G36" s="21">
        <v>858.673</v>
      </c>
      <c r="H36" s="22">
        <v>1</v>
      </c>
      <c r="I36" s="23" cm="1">
        <f t="array" ref="I36">IF(D36="","",(G36*C36)*0.00075)</f>
        <v>2.0878633994999998</v>
      </c>
      <c r="J36" s="23" cm="1">
        <f t="array" ref="J36">IF(D36="","",(G36*D36)*0.00075)</f>
        <v>2.1084715515000001</v>
      </c>
      <c r="K36" s="24" cm="1">
        <f t="array" ref="K36">IF(D36="","",J36+I36)</f>
        <v>4.1963349509999999</v>
      </c>
      <c r="L36" s="24" cm="1">
        <f t="array" ref="L36">IF(D36=0,0,(D36-C36)*G36)</f>
        <v>27.477536000000025</v>
      </c>
      <c r="M36" s="25">
        <v>2754.2318584485001</v>
      </c>
      <c r="N36" s="26" cm="1">
        <f t="array" ref="N36">IFERROR((K36-J36)/J36,"–")</f>
        <v>0.99022602321319475</v>
      </c>
      <c r="O36" s="24" cm="1">
        <f t="array" ref="O36">IF(D36=0,0,L36-K36)</f>
        <v>23.281201049000025</v>
      </c>
      <c r="P36" s="23"/>
      <c r="Q36" s="27"/>
    </row>
    <row r="37" spans="1:17" ht="22.5" customHeight="1">
      <c r="A37" s="16" t="s">
        <v>35</v>
      </c>
      <c r="B37" s="28">
        <v>44322</v>
      </c>
      <c r="C37" s="36">
        <v>3.242</v>
      </c>
      <c r="D37" s="36">
        <v>3.2629999999999999</v>
      </c>
      <c r="E37" s="30" cm="1">
        <f t="array" ref="E37">IF(D37="","",D37-C37)</f>
        <v>2.0999999999999908E-2</v>
      </c>
      <c r="F37" s="31" cm="1">
        <f t="array" ref="F37">IF(D37=0,"",(D37-C37)/C37)</f>
        <v>6.4774830351634512E-3</v>
      </c>
      <c r="G37" s="32">
        <v>858.673</v>
      </c>
      <c r="H37" s="10">
        <v>1</v>
      </c>
      <c r="I37" s="11" cm="1">
        <f t="array" ref="I37">IF(D37="","",(G37*C37)*0.00075)</f>
        <v>2.0878633994999998</v>
      </c>
      <c r="J37" s="11" cm="1">
        <f t="array" ref="J37">IF(D37="","",(G37*D37)*0.00075)</f>
        <v>2.1013874992499999</v>
      </c>
      <c r="K37" s="33" cm="1">
        <f t="array" ref="K37">IF(D37="","",J37+I37)</f>
        <v>4.1892508987500001</v>
      </c>
      <c r="L37" s="33" cm="1">
        <f t="array" ref="L37">IF(D37=0,0,(D37-C37)*G37)</f>
        <v>18.03213299999992</v>
      </c>
      <c r="M37" s="12">
        <v>2763.6843455007502</v>
      </c>
      <c r="N37" s="34" cm="1">
        <f t="array" ref="N37">IFERROR((K37-J37)/J37,"–")</f>
        <v>0.9935642047195834</v>
      </c>
      <c r="O37" s="33" cm="1">
        <f t="array" ref="O37">IF(D37=0,0,L37-K37)</f>
        <v>13.84288210124992</v>
      </c>
      <c r="P37" s="11"/>
      <c r="Q37" s="35"/>
    </row>
    <row r="38" spans="1:17" ht="22.5" customHeight="1">
      <c r="A38" s="16" t="s">
        <v>36</v>
      </c>
      <c r="B38" s="17">
        <v>44322</v>
      </c>
      <c r="C38" s="37">
        <v>2.1219999999999999</v>
      </c>
      <c r="D38" s="37">
        <v>2.1924000000000001</v>
      </c>
      <c r="E38" s="19" cm="1">
        <f t="array" ref="E38">IF(D38="","",D38-C38)</f>
        <v>7.040000000000024E-2</v>
      </c>
      <c r="F38" s="20" cm="1">
        <f t="array" ref="F38">IF(D38=0,"",(D38-C38)/C38)</f>
        <v>3.3176248821866282E-2</v>
      </c>
      <c r="G38" s="21">
        <v>2639.01</v>
      </c>
      <c r="H38" s="22">
        <v>1</v>
      </c>
      <c r="I38" s="23" cm="1">
        <f t="array" ref="I38">IF(D38="","",(G38*C38)*0.00075)</f>
        <v>4.1999844150000003</v>
      </c>
      <c r="J38" s="23" cm="1">
        <f t="array" ref="J38">IF(D38="","",(G38*D38)*0.00075)</f>
        <v>4.3393241430000007</v>
      </c>
      <c r="K38" s="24" cm="1">
        <f t="array" ref="K38">IF(D38="","",J38+I38)</f>
        <v>8.5393085580000019</v>
      </c>
      <c r="L38" s="24" cm="1">
        <f t="array" ref="L38">IF(D38=0,0,(D38-C38)*G38)</f>
        <v>185.78630400000065</v>
      </c>
      <c r="M38" s="25">
        <v>5409.8535918569996</v>
      </c>
      <c r="N38" s="26" cm="1">
        <f t="array" ref="N38">IFERROR((K38-J38)/J38,"–")</f>
        <v>0.96788907133734736</v>
      </c>
      <c r="O38" s="24" cm="1">
        <f t="array" ref="O38">IF(D38=0,0,L38-K38)</f>
        <v>177.24699544200064</v>
      </c>
      <c r="P38" s="23"/>
      <c r="Q38" s="27"/>
    </row>
    <row r="39" spans="1:17" ht="22.5" customHeight="1">
      <c r="A39" s="16" t="s">
        <v>17</v>
      </c>
      <c r="B39" s="28">
        <v>44322</v>
      </c>
      <c r="C39" s="36">
        <v>2.0609999999999999</v>
      </c>
      <c r="D39" s="36">
        <v>2.0649999999999999</v>
      </c>
      <c r="E39" s="30" cm="1">
        <f t="array" ref="E39">IF(D39="","",D39-C39)</f>
        <v>4.0000000000000036E-3</v>
      </c>
      <c r="F39" s="31" cm="1">
        <f t="array" ref="F39">IF(D39=0,"",(D39-C39)/C39)</f>
        <v>1.9408054342552176E-3</v>
      </c>
      <c r="G39" s="32">
        <v>2717.13</v>
      </c>
      <c r="H39" s="10">
        <v>1</v>
      </c>
      <c r="I39" s="11" cm="1">
        <f t="array" ref="I39">IF(D39="","",(G39*C39)*0.00075)</f>
        <v>4.2000036974999997</v>
      </c>
      <c r="J39" s="11" cm="1">
        <f t="array" ref="J39">IF(D39="","",(G39*D39)*0.00075)</f>
        <v>4.2081550874999998</v>
      </c>
      <c r="K39" s="33" cm="1">
        <f t="array" ref="K39">IF(D39="","",J39+I39)</f>
        <v>8.4081587849999995</v>
      </c>
      <c r="L39" s="33" cm="1">
        <f t="array" ref="L39">IF(D39=0,0,(D39-C39)*G39)</f>
        <v>10.868520000000011</v>
      </c>
      <c r="M39" s="12">
        <v>5584.9282549125001</v>
      </c>
      <c r="N39" s="34" cm="1">
        <f t="array" ref="N39">IFERROR((K39-J39)/J39,"–")</f>
        <v>0.99806295399515732</v>
      </c>
      <c r="O39" s="33" cm="1">
        <f t="array" ref="O39">IF(D39=0,0,L39-K39)</f>
        <v>2.4603612150000114</v>
      </c>
      <c r="P39" s="11"/>
      <c r="Q39" s="35"/>
    </row>
    <row r="40" spans="1:17" ht="22.5" customHeight="1">
      <c r="A40" s="16" t="s">
        <v>36</v>
      </c>
      <c r="B40" s="17">
        <v>44322</v>
      </c>
      <c r="C40" s="37">
        <v>2.2911999999999999</v>
      </c>
      <c r="D40" s="37">
        <v>2.2930000000000001</v>
      </c>
      <c r="E40" s="19" cm="1">
        <f t="array" ref="E40">IF(D40="","",D40-C40)</f>
        <v>1.8000000000002458E-3</v>
      </c>
      <c r="F40" s="20" cm="1">
        <f t="array" ref="F40">IF(D40=0,"",(D40-C40)/C40)</f>
        <v>7.8561452513977218E-4</v>
      </c>
      <c r="G40" s="21">
        <v>1259.2</v>
      </c>
      <c r="H40" s="22">
        <v>1</v>
      </c>
      <c r="I40" s="23" cm="1">
        <f t="array" ref="I40">IF(D40="","",(G40*C40)*0.00075)</f>
        <v>2.1638092800000002</v>
      </c>
      <c r="J40" s="23" cm="1">
        <f t="array" ref="J40">IF(D40="","",(G40*D40)*0.00075)</f>
        <v>2.1655092000000002</v>
      </c>
      <c r="K40" s="24" cm="1">
        <f t="array" ref="K40">IF(D40="","",J40+I40)</f>
        <v>4.3293184800000004</v>
      </c>
      <c r="L40" s="24" cm="1">
        <f t="array" ref="L40">IF(D40=0,0,(D40-C40)*G40)</f>
        <v>2.2665600000003097</v>
      </c>
      <c r="M40" s="25">
        <v>2880.6469708</v>
      </c>
      <c r="N40" s="26" cm="1">
        <f t="array" ref="N40">IFERROR((K40-J40)/J40,"–")</f>
        <v>0.99921500218054948</v>
      </c>
      <c r="O40" s="24" cm="1">
        <f t="array" ref="O40">IF(D40=0,0,L40-K40)</f>
        <v>-2.0627584799996908</v>
      </c>
      <c r="P40" s="23"/>
      <c r="Q40" s="27"/>
    </row>
    <row r="41" spans="1:17" ht="22.5" customHeight="1">
      <c r="A41" s="16" t="s">
        <v>37</v>
      </c>
      <c r="B41" s="28">
        <v>44323</v>
      </c>
      <c r="C41" s="36">
        <v>121.32899999999999</v>
      </c>
      <c r="D41" s="36">
        <v>123.21899999999999</v>
      </c>
      <c r="E41" s="30" cm="1">
        <f t="array" ref="E41">IF(D41="","",D41-C41)</f>
        <v>1.8900000000000006</v>
      </c>
      <c r="F41" s="31" cm="1">
        <f t="array" ref="F41">IF(D41=0,"",(D41-C41)/C41)</f>
        <v>1.5577479415473635E-2</v>
      </c>
      <c r="G41" s="32">
        <v>46.978999999999999</v>
      </c>
      <c r="H41" s="10">
        <v>1</v>
      </c>
      <c r="I41" s="11" cm="1">
        <f t="array" ref="I41">IF(D41="","",(G41*C41)*0.00075)</f>
        <v>4.27493631825</v>
      </c>
      <c r="J41" s="11" cm="1">
        <f t="array" ref="J41">IF(D41="","",(G41*D41)*0.00075)</f>
        <v>4.3415290507499993</v>
      </c>
      <c r="K41" s="33" cm="1">
        <f t="array" ref="K41">IF(D41="","",J41+I41)</f>
        <v>8.6164653690000002</v>
      </c>
      <c r="L41" s="33" cm="1">
        <f t="array" ref="L41">IF(D41=0,0,(D41-C41)*G41)</f>
        <v>88.790310000000019</v>
      </c>
      <c r="M41" s="12">
        <v>5606.7832519492504</v>
      </c>
      <c r="N41" s="34" cm="1">
        <f t="array" ref="N41">IFERROR((K41-J41)/J41,"–")</f>
        <v>0.9846614564312326</v>
      </c>
      <c r="O41" s="33" cm="1">
        <f t="array" ref="O41">IF(D41=0,0,L41-K41)</f>
        <v>80.173844631000023</v>
      </c>
      <c r="P41" s="11"/>
      <c r="Q41" s="35"/>
    </row>
    <row r="42" spans="1:17" ht="22.5" customHeight="1">
      <c r="A42" s="16" t="s">
        <v>38</v>
      </c>
      <c r="B42" s="17">
        <v>44324</v>
      </c>
      <c r="C42" s="37">
        <v>17.216999999999999</v>
      </c>
      <c r="D42" s="37">
        <v>17.041</v>
      </c>
      <c r="E42" s="19" cm="1">
        <f t="array" ref="E42">IF(D42="","",D42-C42)</f>
        <v>-0.17599999999999838</v>
      </c>
      <c r="F42" s="20" cm="1">
        <f t="array" ref="F42">IF(D42=0,"",(D42-C42)/C42)</f>
        <v>-1.0222454550734646E-2</v>
      </c>
      <c r="G42" s="21">
        <v>283.28500000000003</v>
      </c>
      <c r="H42" s="22">
        <v>1</v>
      </c>
      <c r="I42" s="23" cm="1">
        <f t="array" ref="I42">IF(D42="","",(G42*C42)*0.00075)</f>
        <v>3.6579883837500002</v>
      </c>
      <c r="J42" s="23" cm="1">
        <f t="array" ref="J42">IF(D42="","",(G42*D42)*0.00075)</f>
        <v>3.6205947637500007</v>
      </c>
      <c r="K42" s="24" cm="1">
        <f t="array" ref="K42">IF(D42="","",J42+I42)</f>
        <v>7.2785831475000009</v>
      </c>
      <c r="L42" s="24" cm="1">
        <f t="array" ref="L42">IF(D42=0,0,(D42-C42)*G42)</f>
        <v>-49.858159999999543</v>
      </c>
      <c r="M42" s="25">
        <v>4923.5554102362503</v>
      </c>
      <c r="N42" s="26" cm="1">
        <f t="array" ref="N42">IFERROR((K42-J42)/J42,"–")</f>
        <v>1.010328032392465</v>
      </c>
      <c r="O42" s="24" cm="1">
        <f t="array" ref="O42">IF(D42=0,0,L42-K42)</f>
        <v>-57.136743147499544</v>
      </c>
      <c r="P42" s="23"/>
      <c r="Q42" s="27"/>
    </row>
    <row r="43" spans="1:17" ht="22.5" customHeight="1">
      <c r="A43" s="16" t="s">
        <v>38</v>
      </c>
      <c r="B43" s="28">
        <v>44324</v>
      </c>
      <c r="C43" s="36">
        <v>17.216999999999999</v>
      </c>
      <c r="D43" s="36">
        <v>17.120999999999999</v>
      </c>
      <c r="E43" s="30" cm="1">
        <f t="array" ref="E43">IF(D43="","",D43-C43)</f>
        <v>-9.6000000000000085E-2</v>
      </c>
      <c r="F43" s="31" cm="1">
        <f t="array" ref="F43">IF(D43=0,"",(D43-C43)/C43)</f>
        <v>-5.5758843004007717E-3</v>
      </c>
      <c r="G43" s="32">
        <v>47.792000000000002</v>
      </c>
      <c r="H43" s="10">
        <v>1</v>
      </c>
      <c r="I43" s="11" cm="1">
        <f t="array" ref="I43">IF(D43="","",(G43*C43)*0.00075)</f>
        <v>0.61712614799999999</v>
      </c>
      <c r="J43" s="11" cm="1">
        <f t="array" ref="J43">IF(D43="","",(G43*D43)*0.00075)</f>
        <v>0.61368512399999997</v>
      </c>
      <c r="K43" s="33" cm="1">
        <f t="array" ref="K43">IF(D43="","",J43+I43)</f>
        <v>1.230811272</v>
      </c>
      <c r="L43" s="33" cm="1">
        <f t="array" ref="L43">IF(D43=0,0,(D43-C43)*G43)</f>
        <v>-4.5880320000000046</v>
      </c>
      <c r="M43" s="12">
        <v>826.80921087599995</v>
      </c>
      <c r="N43" s="34" cm="1">
        <f t="array" ref="N43">IFERROR((K43-J43)/J43,"–")</f>
        <v>1.0056071491151217</v>
      </c>
      <c r="O43" s="33" cm="1">
        <f t="array" ref="O43">IF(D43=0,0,L43-K43)</f>
        <v>-5.8188432720000041</v>
      </c>
      <c r="P43" s="11"/>
      <c r="Q43" s="35"/>
    </row>
    <row r="44" spans="1:17" ht="22.5" customHeight="1">
      <c r="A44" s="16" t="s">
        <v>39</v>
      </c>
      <c r="B44" s="17">
        <v>44324</v>
      </c>
      <c r="C44" s="37">
        <v>6.9685999999999998E-2</v>
      </c>
      <c r="D44" s="37">
        <v>7.0883000000000002E-2</v>
      </c>
      <c r="E44" s="19" cm="1">
        <f t="array" ref="E44">IF(D44="","",D44-C44)</f>
        <v>1.1970000000000036E-3</v>
      </c>
      <c r="F44" s="20" cm="1">
        <f t="array" ref="F44">IF(D44=0,"",(D44-C44)/C44)</f>
        <v>1.7177051344602987E-2</v>
      </c>
      <c r="G44" s="21">
        <v>28700</v>
      </c>
      <c r="H44" s="22">
        <v>1</v>
      </c>
      <c r="I44" s="23" cm="1">
        <f t="array" ref="I44">IF(D44="","",(G44*C44)*0.00075)</f>
        <v>1.4999911500000001</v>
      </c>
      <c r="J44" s="23" cm="1">
        <f t="array" ref="J44">IF(D44="","",(G44*D44)*0.00075)</f>
        <v>1.5257565750000002</v>
      </c>
      <c r="K44" s="24" cm="1">
        <f t="array" ref="K44">IF(D44="","",J44+I44)</f>
        <v>3.0257477250000004</v>
      </c>
      <c r="L44" s="24" cm="1">
        <f t="array" ref="L44">IF(D44=0,0,(D44-C44)*G44)</f>
        <v>34.353900000000102</v>
      </c>
      <c r="M44" s="25">
        <v>1964.1085434250001</v>
      </c>
      <c r="N44" s="26" cm="1">
        <f t="array" ref="N44">IFERROR((K44-J44)/J44,"–")</f>
        <v>0.98311301722556899</v>
      </c>
      <c r="O44" s="24" cm="1">
        <f t="array" ref="O44">IF(D44=0,0,L44-K44)</f>
        <v>31.3281522750001</v>
      </c>
      <c r="P44" s="25"/>
      <c r="Q44" s="39"/>
    </row>
    <row r="45" spans="1:17" ht="22.5" customHeight="1">
      <c r="A45" s="16" t="s">
        <v>40</v>
      </c>
      <c r="B45" s="28">
        <v>44324</v>
      </c>
      <c r="C45" s="36">
        <v>18.8</v>
      </c>
      <c r="D45" s="36">
        <v>18.86</v>
      </c>
      <c r="E45" s="30" cm="1">
        <f t="array" ref="E45">IF(D45="","",D45-C45)</f>
        <v>5.9999999999998721E-2</v>
      </c>
      <c r="F45" s="31" cm="1">
        <f t="array" ref="F45">IF(D45=0,"",(D45-C45)/C45)</f>
        <v>3.1914893617020594E-3</v>
      </c>
      <c r="G45" s="32">
        <v>553.19200000000001</v>
      </c>
      <c r="H45" s="10">
        <v>1</v>
      </c>
      <c r="I45" s="11" cm="1">
        <f t="array" ref="I45">IF(D45="","",(G45*C45)*0.00075)</f>
        <v>7.8000072000000014</v>
      </c>
      <c r="J45" s="11" cm="1">
        <f t="array" ref="J45">IF(D45="","",(G45*D45)*0.00075)</f>
        <v>7.8249008399999997</v>
      </c>
      <c r="K45" s="33" cm="1">
        <f t="array" ref="K45">IF(D45="","",J45+I45)</f>
        <v>15.624908040000001</v>
      </c>
      <c r="L45" s="33" cm="1">
        <f t="array" ref="L45">IF(D45=0,0,(D45-C45)*G45)</f>
        <v>33.191519999999294</v>
      </c>
      <c r="M45" s="12">
        <v>10358.993179159999</v>
      </c>
      <c r="N45" s="34" cm="1">
        <f t="array" ref="N45">IFERROR((K45-J45)/J45,"–")</f>
        <v>0.99681866383881246</v>
      </c>
      <c r="O45" s="33" cm="1">
        <f t="array" ref="O45">IF(D45=0,0,L45-K45)</f>
        <v>17.566611959999292</v>
      </c>
      <c r="P45" s="11"/>
      <c r="Q45" s="35"/>
    </row>
    <row r="46" spans="1:17" ht="22.5" customHeight="1">
      <c r="A46" s="16" t="s">
        <v>438</v>
      </c>
      <c r="B46" s="17">
        <v>44325</v>
      </c>
      <c r="C46" s="37">
        <v>30</v>
      </c>
      <c r="D46" s="37">
        <v>9</v>
      </c>
      <c r="E46" s="19" cm="1">
        <f t="array" ref="E46">IF(D46="","",D46-C46)</f>
        <v>-21</v>
      </c>
      <c r="F46" s="20" cm="1">
        <f t="array" ref="F46">IF(D46=0,"",(D46-C46)/C46)</f>
        <v>-0.7</v>
      </c>
      <c r="G46" s="21">
        <v>1</v>
      </c>
      <c r="H46" s="22">
        <v>1</v>
      </c>
      <c r="I46" s="23" cm="1">
        <f t="array" ref="I46">IF(D46="","",(G46*C46)*0.00075)</f>
        <v>2.2499999999999999E-2</v>
      </c>
      <c r="J46" s="23" cm="1">
        <f t="array" ref="J46">IF(D46="","",(G46*D46)*0.00075)</f>
        <v>6.7499999999999999E-3</v>
      </c>
      <c r="K46" s="24" cm="1">
        <f t="array" ref="K46">IF(D46="","",J46+I46)</f>
        <v>2.9249999999999998E-2</v>
      </c>
      <c r="L46" s="24" cm="1">
        <f t="array" ref="L46">IF(D46=0,0,(D46-C46)*G46)</f>
        <v>-21</v>
      </c>
      <c r="M46" s="25">
        <v>50.993250000000003</v>
      </c>
      <c r="N46" s="26" cm="1">
        <f t="array" ref="N46">IFERROR((K46-J46)/J46,"–")</f>
        <v>3.333333333333333</v>
      </c>
      <c r="O46" s="24" cm="1">
        <f t="array" ref="O46">IF(D46=0,0,L46-K46)</f>
        <v>-21.029250000000001</v>
      </c>
      <c r="P46" s="40"/>
      <c r="Q46" s="41"/>
    </row>
    <row r="47" spans="1:17" ht="22.5" customHeight="1">
      <c r="A47" s="16" t="s">
        <v>41</v>
      </c>
      <c r="B47" s="42">
        <v>44326</v>
      </c>
      <c r="C47" s="36">
        <v>3910</v>
      </c>
      <c r="D47" s="36">
        <v>4090.2</v>
      </c>
      <c r="E47" s="30" cm="1">
        <f t="array" ref="E47">IF(D47="","",D47-C47)</f>
        <v>180.19999999999982</v>
      </c>
      <c r="F47" s="31" cm="1">
        <f t="array" ref="F47">IF(D47=0,"",(D47-C47)/C47)</f>
        <v>4.6086956521739081E-2</v>
      </c>
      <c r="G47" s="32">
        <v>2</v>
      </c>
      <c r="H47" s="10">
        <v>1</v>
      </c>
      <c r="I47" s="11" cm="1">
        <f t="array" ref="I47">IF(D47="","",(G47*C47)*0.00075)</f>
        <v>5.8650000000000002</v>
      </c>
      <c r="J47" s="11" cm="1">
        <f t="array" ref="J47">IF(D47="","",(G47*D47)*0.00075)</f>
        <v>6.1353</v>
      </c>
      <c r="K47" s="33" cm="1">
        <f t="array" ref="K47">IF(D47="","",J47+I47)</f>
        <v>12.000299999999999</v>
      </c>
      <c r="L47" s="33" cm="1">
        <f t="array" ref="L47">IF(D47=0,0,(D47-C47)*G47)</f>
        <v>360.39999999999964</v>
      </c>
      <c r="M47" s="12">
        <v>7453.4647000000004</v>
      </c>
      <c r="N47" s="34" cm="1">
        <f t="array" ref="N47">IFERROR((K47-J47)/J47,"–")</f>
        <v>0.95594347464671647</v>
      </c>
      <c r="O47" s="33" cm="1">
        <f t="array" ref="O47">IF(D47=0,0,L47-K47)</f>
        <v>348.39969999999965</v>
      </c>
      <c r="P47" s="11"/>
      <c r="Q47" s="35"/>
    </row>
    <row r="48" spans="1:17" ht="22.5" customHeight="1">
      <c r="A48" s="16" t="s">
        <v>42</v>
      </c>
      <c r="B48" s="43">
        <v>44327</v>
      </c>
      <c r="C48" s="37">
        <v>425</v>
      </c>
      <c r="D48" s="37">
        <v>424.1</v>
      </c>
      <c r="E48" s="19" cm="1">
        <f t="array" ref="E48">IF(D48="","",D48-C48)</f>
        <v>-0.89999999999997726</v>
      </c>
      <c r="F48" s="20" cm="1">
        <f t="array" ref="F48">IF(D48=0,"",(D48-C48)/C48)</f>
        <v>-2.1176470588234759E-3</v>
      </c>
      <c r="G48" s="21">
        <v>14.117649999999999</v>
      </c>
      <c r="H48" s="22">
        <v>1</v>
      </c>
      <c r="I48" s="23" cm="1">
        <f t="array" ref="I48">IF(D48="","",(G48*C48)*0.00075)</f>
        <v>4.5000009374999994</v>
      </c>
      <c r="J48" s="23" cm="1">
        <f t="array" ref="J48">IF(D48="","",(G48*D48)*0.00075)</f>
        <v>4.4904715237500001</v>
      </c>
      <c r="K48" s="24" cm="1">
        <f t="array" ref="K48">IF(D48="","",J48+I48)</f>
        <v>8.9904724612500004</v>
      </c>
      <c r="L48" s="24" cm="1">
        <f t="array" ref="L48">IF(D48=0,0,(D48-C48)*G48)</f>
        <v>-12.705884999999679</v>
      </c>
      <c r="M48" s="25">
        <v>6008.2166634762498</v>
      </c>
      <c r="N48" s="26" cm="1">
        <f t="array" ref="N48">IFERROR((K48-J48)/J48,"–")</f>
        <v>1.00212214100448</v>
      </c>
      <c r="O48" s="24" cm="1">
        <f t="array" ref="O48">IF(D48=0,0,L48-K48)</f>
        <v>-21.696357461249679</v>
      </c>
      <c r="P48" s="23"/>
      <c r="Q48" s="27"/>
    </row>
    <row r="49" spans="1:17" ht="22.5" customHeight="1">
      <c r="A49" s="16" t="s">
        <v>43</v>
      </c>
      <c r="B49" s="42">
        <v>44327</v>
      </c>
      <c r="C49" s="36">
        <v>1.4576</v>
      </c>
      <c r="D49" s="36">
        <v>1.448</v>
      </c>
      <c r="E49" s="30" cm="1">
        <f t="array" ref="E49">IF(D49="","",D49-C49)</f>
        <v>-9.6000000000000529E-3</v>
      </c>
      <c r="F49" s="31" cm="1">
        <f t="array" ref="F49">IF(D49=0,"",(D49-C49)/C49)</f>
        <v>-6.5861690450055247E-3</v>
      </c>
      <c r="G49" s="32">
        <v>4802.72</v>
      </c>
      <c r="H49" s="10">
        <v>1</v>
      </c>
      <c r="I49" s="11" cm="1">
        <f t="array" ref="I49">IF(D49="","",(G49*C49)*0.00075)</f>
        <v>5.2503335040000003</v>
      </c>
      <c r="J49" s="11" cm="1">
        <f t="array" ref="J49">IF(D49="","",(G49*D49)*0.00075)</f>
        <v>5.21575392</v>
      </c>
      <c r="K49" s="33" cm="1">
        <f t="array" ref="K49">IF(D49="","",J49+I49)</f>
        <v>10.466087424000001</v>
      </c>
      <c r="L49" s="33" cm="1">
        <f t="array" ref="L49">IF(D49=0,0,(D49-C49)*G49)</f>
        <v>-46.106112000000259</v>
      </c>
      <c r="M49" s="12">
        <v>7041.3350300800003</v>
      </c>
      <c r="N49" s="34" cm="1">
        <f t="array" ref="N49">IFERROR((K49-J49)/J49,"–")</f>
        <v>1.0066298342541438</v>
      </c>
      <c r="O49" s="33" cm="1">
        <f t="array" ref="O49">IF(D49=0,0,L49-K49)</f>
        <v>-56.57219942400026</v>
      </c>
      <c r="P49" s="11"/>
      <c r="Q49" s="35"/>
    </row>
    <row r="50" spans="1:17" ht="22.5" customHeight="1">
      <c r="A50" s="16" t="s">
        <v>438</v>
      </c>
      <c r="B50" s="43">
        <v>44327</v>
      </c>
      <c r="C50" s="37">
        <v>200</v>
      </c>
      <c r="D50" s="37">
        <v>317</v>
      </c>
      <c r="E50" s="19" cm="1">
        <f t="array" ref="E50">IF(D50="","",D50-C50)</f>
        <v>117</v>
      </c>
      <c r="F50" s="20" cm="1">
        <f t="array" ref="F50">IF(D50=0,"",(D50-C50)/C50)</f>
        <v>0.58499999999999996</v>
      </c>
      <c r="G50" s="21">
        <v>1</v>
      </c>
      <c r="H50" s="22">
        <v>1</v>
      </c>
      <c r="I50" s="23" cm="1">
        <f t="array" ref="I50">IF(D50="","",(G50*C50)*0.00075)</f>
        <v>0.15</v>
      </c>
      <c r="J50" s="23" cm="1">
        <f t="array" ref="J50">IF(D50="","",(G50*D50)*0.00075)</f>
        <v>0.23775000000000002</v>
      </c>
      <c r="K50" s="24" cm="1">
        <f t="array" ref="K50">IF(D50="","",J50+I50)</f>
        <v>0.38775000000000004</v>
      </c>
      <c r="L50" s="24" cm="1">
        <f t="array" ref="L50">IF(D50=0,0,(D50-C50)*G50)</f>
        <v>117</v>
      </c>
      <c r="M50" s="25">
        <v>82.762249999999995</v>
      </c>
      <c r="N50" s="26" cm="1">
        <f t="array" ref="N50">IFERROR((K50-J50)/J50,"–")</f>
        <v>0.63091482649842279</v>
      </c>
      <c r="O50" s="24" cm="1">
        <f t="array" ref="O50">IF(D50=0,0,L50-K50)</f>
        <v>116.61225</v>
      </c>
      <c r="P50" s="23"/>
      <c r="Q50" s="27"/>
    </row>
    <row r="51" spans="1:17" ht="22.5" customHeight="1">
      <c r="A51" s="16" t="s">
        <v>438</v>
      </c>
      <c r="B51" s="42">
        <v>44328</v>
      </c>
      <c r="C51" s="36">
        <v>260</v>
      </c>
      <c r="D51" s="36">
        <v>334</v>
      </c>
      <c r="E51" s="30" cm="1">
        <f t="array" ref="E51">IF(D51="","",D51-C51)</f>
        <v>74</v>
      </c>
      <c r="F51" s="31" cm="1">
        <f t="array" ref="F51">IF(D51=0,"",(D51-C51)/C51)</f>
        <v>0.2846153846153846</v>
      </c>
      <c r="G51" s="32">
        <v>1</v>
      </c>
      <c r="H51" s="10">
        <v>1</v>
      </c>
      <c r="I51" s="11" cm="1">
        <f t="array" ref="I51">IF(D51="","",(G51*C51)*0.00075)</f>
        <v>0.19500000000000001</v>
      </c>
      <c r="J51" s="11" cm="1">
        <f t="array" ref="J51">IF(D51="","",(G51*D51)*0.00075)</f>
        <v>0.2505</v>
      </c>
      <c r="K51" s="33" cm="1">
        <f t="array" ref="K51">IF(D51="","",J51+I51)</f>
        <v>0.44550000000000001</v>
      </c>
      <c r="L51" s="33" cm="1">
        <f t="array" ref="L51">IF(D51=0,0,(D51-C51)*G51)</f>
        <v>74</v>
      </c>
      <c r="M51" s="12">
        <v>185.74950000000001</v>
      </c>
      <c r="N51" s="34" cm="1">
        <f t="array" ref="N51">IFERROR((K51-J51)/J51,"–")</f>
        <v>0.77844311377245512</v>
      </c>
      <c r="O51" s="33" cm="1">
        <f t="array" ref="O51">IF(D51=0,0,L51-K51)</f>
        <v>73.554500000000004</v>
      </c>
      <c r="P51" s="11"/>
      <c r="Q51" s="35"/>
    </row>
    <row r="52" spans="1:17" ht="22.5" customHeight="1">
      <c r="A52" s="16" t="s">
        <v>438</v>
      </c>
      <c r="B52" s="43">
        <v>44329</v>
      </c>
      <c r="C52" s="37">
        <v>300</v>
      </c>
      <c r="D52" s="37">
        <v>324</v>
      </c>
      <c r="E52" s="19" cm="1">
        <f t="array" ref="E52">IF(D52="","",D52-C52)</f>
        <v>24</v>
      </c>
      <c r="F52" s="20" cm="1">
        <f t="array" ref="F52">IF(D52=0,"",(D52-C52)/C52)</f>
        <v>0.08</v>
      </c>
      <c r="G52" s="21">
        <v>1</v>
      </c>
      <c r="H52" s="22">
        <v>1</v>
      </c>
      <c r="I52" s="23" cm="1">
        <f t="array" ref="I52">IF(D52="","",(G52*C52)*0.00075)</f>
        <v>0.22500000000000001</v>
      </c>
      <c r="J52" s="23" cm="1">
        <f t="array" ref="J52">IF(D52="","",(G52*D52)*0.00075)</f>
        <v>0.24299999999999999</v>
      </c>
      <c r="K52" s="24" cm="1">
        <f t="array" ref="K52">IF(D52="","",J52+I52)</f>
        <v>0.46799999999999997</v>
      </c>
      <c r="L52" s="24" cm="1">
        <f t="array" ref="L52">IF(D52=0,0,(D52-C52)*G52)</f>
        <v>24</v>
      </c>
      <c r="M52" s="25">
        <v>275.75700000000001</v>
      </c>
      <c r="N52" s="26" cm="1">
        <f t="array" ref="N52">IFERROR((K52-J52)/J52,"–")</f>
        <v>0.92592592592592582</v>
      </c>
      <c r="O52" s="24" cm="1">
        <f t="array" ref="O52">IF(D52=0,0,L52-K52)</f>
        <v>23.532</v>
      </c>
      <c r="P52" s="23"/>
      <c r="Q52" s="27"/>
    </row>
    <row r="53" spans="1:17" ht="22.5" customHeight="1">
      <c r="A53" s="16" t="s">
        <v>20</v>
      </c>
      <c r="B53" s="42">
        <v>44329</v>
      </c>
      <c r="C53" s="36">
        <v>4.0325E-2</v>
      </c>
      <c r="D53" s="36">
        <v>4.1889999999999997E-2</v>
      </c>
      <c r="E53" s="30" cm="1">
        <f t="array" ref="E53">IF(D53="","",D53-C53)</f>
        <v>1.5649999999999969E-3</v>
      </c>
      <c r="F53" s="31" cm="1">
        <f t="array" ref="F53">IF(D53=0,"",(D53-C53)/C53)</f>
        <v>3.8809671419714739E-2</v>
      </c>
      <c r="G53" s="32">
        <v>49597</v>
      </c>
      <c r="H53" s="10">
        <v>1</v>
      </c>
      <c r="I53" s="11" cm="1">
        <f t="array" ref="I53">IF(D53="","",(G53*C53)*0.00075)</f>
        <v>1.4999992687500001</v>
      </c>
      <c r="J53" s="11" cm="1">
        <f t="array" ref="J53">IF(D53="","",(G53*D53)*0.00075)</f>
        <v>1.5582137475</v>
      </c>
      <c r="K53" s="33" cm="1">
        <f t="array" ref="K53">IF(D53="","",J53+I53)</f>
        <v>3.0582130162499999</v>
      </c>
      <c r="L53" s="33" cm="1">
        <f t="array" ref="L53">IF(D53=0,0,(D53-C53)*G53)</f>
        <v>77.619304999999855</v>
      </c>
      <c r="M53" s="12">
        <v>1920.8215062525001</v>
      </c>
      <c r="N53" s="34" cm="1">
        <f t="array" ref="N53">IFERROR((K53-J53)/J53,"–")</f>
        <v>0.96264024826927663</v>
      </c>
      <c r="O53" s="33" cm="1">
        <f t="array" ref="O53">IF(D53=0,0,L53-K53)</f>
        <v>74.561091983749861</v>
      </c>
      <c r="P53" s="11"/>
      <c r="Q53" s="35"/>
    </row>
    <row r="54" spans="1:17" ht="22.5" customHeight="1">
      <c r="A54" s="16" t="s">
        <v>20</v>
      </c>
      <c r="B54" s="43">
        <v>44329</v>
      </c>
      <c r="C54" s="37">
        <v>4.1049000000000002E-2</v>
      </c>
      <c r="D54" s="37">
        <v>4.1889999999999997E-2</v>
      </c>
      <c r="E54" s="19" cm="1">
        <f t="array" ref="E54">IF(D54="","",D54-C54)</f>
        <v>8.4099999999999453E-4</v>
      </c>
      <c r="F54" s="20" cm="1">
        <f t="array" ref="F54">IF(D54=0,"",(D54-C54)/C54)</f>
        <v>2.0487709810226667E-2</v>
      </c>
      <c r="G54" s="21">
        <v>12175</v>
      </c>
      <c r="H54" s="22">
        <v>1</v>
      </c>
      <c r="I54" s="23" cm="1">
        <f t="array" ref="I54">IF(D54="","",(G54*C54)*0.00075)</f>
        <v>0.37482868125000002</v>
      </c>
      <c r="J54" s="23" cm="1">
        <f t="array" ref="J54">IF(D54="","",(G54*D54)*0.00075)</f>
        <v>0.38250806249999997</v>
      </c>
      <c r="K54" s="24" cm="1">
        <f t="array" ref="K54">IF(D54="","",J54+I54)</f>
        <v>0.75733674375000004</v>
      </c>
      <c r="L54" s="24" cm="1">
        <f t="array" ref="L54">IF(D54=0,0,(D54-C54)*G54)</f>
        <v>10.239174999999934</v>
      </c>
      <c r="M54" s="25">
        <v>489.1498919375</v>
      </c>
      <c r="N54" s="26" cm="1">
        <f t="array" ref="N54">IFERROR((K54-J54)/J54,"–")</f>
        <v>0.97992360945333046</v>
      </c>
      <c r="O54" s="24" cm="1">
        <f t="array" ref="O54">IF(D54=0,0,L54-K54)</f>
        <v>9.481838256249933</v>
      </c>
      <c r="P54" s="23"/>
      <c r="Q54" s="27"/>
    </row>
    <row r="55" spans="1:17" ht="22.5" customHeight="1">
      <c r="A55" s="16" t="s">
        <v>39</v>
      </c>
      <c r="B55" s="42">
        <v>44329</v>
      </c>
      <c r="C55" s="36">
        <v>5.9549999999999999E-2</v>
      </c>
      <c r="D55" s="36">
        <v>6.1940000000000002E-2</v>
      </c>
      <c r="E55" s="30" cm="1">
        <f t="array" ref="E55">IF(D55="","",D55-C55)</f>
        <v>2.3900000000000032E-3</v>
      </c>
      <c r="F55" s="31" cm="1">
        <f t="array" ref="F55">IF(D55=0,"",(D55-C55)/C55)</f>
        <v>4.0134340890008453E-2</v>
      </c>
      <c r="G55" s="32">
        <v>33592</v>
      </c>
      <c r="H55" s="10">
        <v>1</v>
      </c>
      <c r="I55" s="11" cm="1">
        <f t="array" ref="I55">IF(D55="","",(G55*C55)*0.00075)</f>
        <v>1.5003027</v>
      </c>
      <c r="J55" s="11" cm="1">
        <f t="array" ref="J55">IF(D55="","",(G55*D55)*0.00075)</f>
        <v>1.5605163600000003</v>
      </c>
      <c r="K55" s="33" cm="1">
        <f t="array" ref="K55">IF(D55="","",J55+I55)</f>
        <v>3.06081906</v>
      </c>
      <c r="L55" s="33" cm="1">
        <f t="array" ref="L55">IF(D55=0,0,(D55-C55)*G55)</f>
        <v>80.284880000000115</v>
      </c>
      <c r="M55" s="12">
        <v>1918.5582036400001</v>
      </c>
      <c r="N55" s="34" cm="1">
        <f t="array" ref="N55">IFERROR((K55-J55)/J55,"–")</f>
        <v>0.9614142718760087</v>
      </c>
      <c r="O55" s="33" cm="1">
        <f t="array" ref="O55">IF(D55=0,0,L55-K55)</f>
        <v>77.224060940000115</v>
      </c>
      <c r="P55" s="8"/>
      <c r="Q55" s="15"/>
    </row>
    <row r="56" spans="1:17" ht="22.5" customHeight="1">
      <c r="A56" s="16" t="s">
        <v>44</v>
      </c>
      <c r="B56" s="43">
        <v>44335</v>
      </c>
      <c r="C56" s="37">
        <v>14.65</v>
      </c>
      <c r="D56" s="37">
        <v>15</v>
      </c>
      <c r="E56" s="19" cm="1">
        <f t="array" ref="E56">IF(D56="","",D56-C56)</f>
        <v>0.34999999999999964</v>
      </c>
      <c r="F56" s="20" cm="1">
        <f t="array" ref="F56">IF(D56=0,"",(D56-C56)/C56)</f>
        <v>2.3890784982935127E-2</v>
      </c>
      <c r="G56" s="21">
        <v>46.07</v>
      </c>
      <c r="H56" s="22">
        <v>1</v>
      </c>
      <c r="I56" s="23" cm="1">
        <f t="array" ref="I56">IF(D56="","",(G56*C56)*0.00075)</f>
        <v>0.50619412500000005</v>
      </c>
      <c r="J56" s="23" cm="1">
        <f t="array" ref="J56">IF(D56="","",(G56*D56)*0.00075)</f>
        <v>0.51828750000000001</v>
      </c>
      <c r="K56" s="24" cm="1">
        <f t="array" ref="K56">IF(D56="","",J56+I56)</f>
        <v>1.024481625</v>
      </c>
      <c r="L56" s="24" cm="1">
        <f t="array" ref="L56">IF(D56=0,0,(D56-C56)*G56)</f>
        <v>16.124499999999983</v>
      </c>
      <c r="M56" s="25">
        <v>658.2827125</v>
      </c>
      <c r="N56" s="26" cm="1">
        <f t="array" ref="N56">IFERROR((K56-J56)/J56,"–")</f>
        <v>0.97666666666666657</v>
      </c>
      <c r="O56" s="24" cm="1">
        <f t="array" ref="O56">IF(D56=0,0,L56-K56)</f>
        <v>15.100018374999983</v>
      </c>
      <c r="P56" s="23"/>
      <c r="Q56" s="27"/>
    </row>
    <row r="57" spans="1:17" ht="22.5" customHeight="1">
      <c r="A57" s="16" t="s">
        <v>45</v>
      </c>
      <c r="B57" s="42">
        <v>44335</v>
      </c>
      <c r="C57" s="36">
        <v>2.1499999999999999E-4</v>
      </c>
      <c r="D57" s="36">
        <v>1.8000000000000001E-4</v>
      </c>
      <c r="E57" s="30" cm="1">
        <f t="array" ref="E57">IF(D57="","",D57-C57)</f>
        <v>-3.4999999999999983E-5</v>
      </c>
      <c r="F57" s="31" cm="1">
        <f t="array" ref="F57">IF(D57=0,"",(D57-C57)/C57)</f>
        <v>-0.16279069767441853</v>
      </c>
      <c r="G57" s="32">
        <v>2330973</v>
      </c>
      <c r="H57" s="10">
        <v>1</v>
      </c>
      <c r="I57" s="11" cm="1">
        <f t="array" ref="I57">IF(D57="","",(G57*C57)*0.00075)</f>
        <v>0.37586939625000004</v>
      </c>
      <c r="J57" s="11" cm="1">
        <f t="array" ref="J57">IF(D57="","",(G57*D57)*0.00075)</f>
        <v>0.31468135500000005</v>
      </c>
      <c r="K57" s="33" cm="1">
        <f t="array" ref="K57">IF(D57="","",J57+I57)</f>
        <v>0.69055075125000009</v>
      </c>
      <c r="L57" s="33" cm="1">
        <f t="array" ref="L57">IF(D57=0,0,(D57-C57)*G57)</f>
        <v>-81.584054999999964</v>
      </c>
      <c r="M57" s="12">
        <v>582.42856864500004</v>
      </c>
      <c r="N57" s="34" cm="1">
        <f t="array" ref="N57">IFERROR((K57-J57)/J57,"–")</f>
        <v>1.1944444444444444</v>
      </c>
      <c r="O57" s="33" cm="1">
        <f t="array" ref="O57">IF(D57=0,0,L57-K57)</f>
        <v>-82.274605751249965</v>
      </c>
      <c r="P57" s="8"/>
      <c r="Q57" s="15"/>
    </row>
    <row r="58" spans="1:17" ht="22.5" customHeight="1">
      <c r="A58" s="16" t="s">
        <v>46</v>
      </c>
      <c r="B58" s="43">
        <v>44338</v>
      </c>
      <c r="C58" s="37">
        <v>4.7809999999999997</v>
      </c>
      <c r="D58" s="37">
        <v>4.8250000000000002</v>
      </c>
      <c r="E58" s="19" cm="1">
        <f t="array" ref="E58">IF(D58="","",D58-C58)</f>
        <v>4.4000000000000483E-2</v>
      </c>
      <c r="F58" s="20" cm="1">
        <f t="array" ref="F58">IF(D58=0,"",(D58-C58)/C58)</f>
        <v>9.2030955866974455E-3</v>
      </c>
      <c r="G58" s="21">
        <v>690.23900000000003</v>
      </c>
      <c r="H58" s="22">
        <v>1</v>
      </c>
      <c r="I58" s="23" cm="1">
        <f t="array" ref="I58">IF(D58="","",(G58*C58)*0.00075)</f>
        <v>2.4750244942499999</v>
      </c>
      <c r="J58" s="23" cm="1">
        <f t="array" ref="J58">IF(D58="","",(G58*D58)*0.00075)</f>
        <v>2.4978023812500005</v>
      </c>
      <c r="K58" s="24" cm="1">
        <f t="array" ref="K58">IF(D58="","",J58+I58)</f>
        <v>4.9728268755000009</v>
      </c>
      <c r="L58" s="24" cm="1">
        <f t="array" ref="L58">IF(D58=0,0,(D58-C58)*G58)</f>
        <v>30.370516000000336</v>
      </c>
      <c r="M58" s="25">
        <v>3267.16434061875</v>
      </c>
      <c r="N58" s="26" cm="1">
        <f t="array" ref="N58">IFERROR((K58-J58)/J58,"–")</f>
        <v>0.99088082901554397</v>
      </c>
      <c r="O58" s="24" cm="1">
        <f t="array" ref="O58">IF(D58=0,0,L58-K58)</f>
        <v>25.397689124500335</v>
      </c>
      <c r="P58" s="23"/>
      <c r="Q58" s="27"/>
    </row>
    <row r="59" spans="1:17" ht="22.5" customHeight="1">
      <c r="A59" s="16" t="s">
        <v>47</v>
      </c>
      <c r="B59" s="42">
        <v>44338</v>
      </c>
      <c r="C59" s="36">
        <v>41.448</v>
      </c>
      <c r="D59" s="36">
        <v>46.024999999999999</v>
      </c>
      <c r="E59" s="30" cm="1">
        <f t="array" ref="E59">IF(D59="","",D59-C59)</f>
        <v>4.5769999999999982</v>
      </c>
      <c r="F59" s="31" cm="1">
        <f t="array" ref="F59">IF(D59=0,"",(D59-C59)/C59)</f>
        <v>0.11042752364408411</v>
      </c>
      <c r="G59" s="32">
        <v>86.855999999999995</v>
      </c>
      <c r="H59" s="10">
        <v>1</v>
      </c>
      <c r="I59" s="11" cm="1">
        <f t="array" ref="I59">IF(D59="","",(G59*C59)*0.00075)</f>
        <v>2.7000056159999999</v>
      </c>
      <c r="J59" s="11" cm="1">
        <f t="array" ref="J59">IF(D59="","",(G59*D59)*0.00075)</f>
        <v>2.9981605499999997</v>
      </c>
      <c r="K59" s="33" cm="1">
        <f t="array" ref="K59">IF(D59="","",J59+I59)</f>
        <v>5.698166166</v>
      </c>
      <c r="L59" s="33" cm="1">
        <f t="array" ref="L59">IF(D59=0,0,(D59-C59)*G59)</f>
        <v>397.53991199999984</v>
      </c>
      <c r="M59" s="12">
        <v>3199.4694154499998</v>
      </c>
      <c r="N59" s="34" cm="1">
        <f t="array" ref="N59">IFERROR((K59-J59)/J59,"–")</f>
        <v>0.90055404671374273</v>
      </c>
      <c r="O59" s="33" cm="1">
        <f t="array" ref="O59">IF(D59=0,0,L59-K59)</f>
        <v>391.84174583399982</v>
      </c>
      <c r="P59" s="11"/>
      <c r="Q59" s="35"/>
    </row>
    <row r="60" spans="1:17" ht="22.5" customHeight="1">
      <c r="A60" s="16" t="s">
        <v>438</v>
      </c>
      <c r="B60" s="43">
        <v>44339</v>
      </c>
      <c r="C60" s="37">
        <v>200</v>
      </c>
      <c r="D60" s="37">
        <v>167.8</v>
      </c>
      <c r="E60" s="19" cm="1">
        <f t="array" ref="E60">IF(D60="","",D60-C60)</f>
        <v>-32.199999999999989</v>
      </c>
      <c r="F60" s="20" cm="1">
        <f t="array" ref="F60">IF(D60=0,"",(D60-C60)/C60)</f>
        <v>-0.16099999999999995</v>
      </c>
      <c r="G60" s="21">
        <v>1</v>
      </c>
      <c r="H60" s="22">
        <v>1</v>
      </c>
      <c r="I60" s="23" cm="1">
        <f t="array" ref="I60">IF(D60="","",(G60*C60)*0.00075)</f>
        <v>0.15</v>
      </c>
      <c r="J60" s="23" cm="1">
        <f t="array" ref="J60">IF(D60="","",(G60*D60)*0.00075)</f>
        <v>0.12585000000000002</v>
      </c>
      <c r="K60" s="24" cm="1">
        <f t="array" ref="K60">IF(D60="","",J60+I60)</f>
        <v>0.27585000000000004</v>
      </c>
      <c r="L60" s="24" cm="1">
        <f t="array" ref="L60">IF(D60=0,0,(D60-C60)*G60)</f>
        <v>-32.199999999999989</v>
      </c>
      <c r="M60" s="25">
        <v>232.07415</v>
      </c>
      <c r="N60" s="26" cm="1">
        <f t="array" ref="N60">IFERROR((K60-J60)/J60,"–")</f>
        <v>1.1918951132300357</v>
      </c>
      <c r="O60" s="24" cm="1">
        <f t="array" ref="O60">IF(D60=0,0,L60-K60)</f>
        <v>-32.475849999999987</v>
      </c>
      <c r="P60" s="23"/>
      <c r="Q60" s="27"/>
    </row>
    <row r="61" spans="1:17" ht="22.5" customHeight="1">
      <c r="A61" s="16" t="s">
        <v>48</v>
      </c>
      <c r="B61" s="42">
        <v>44339</v>
      </c>
      <c r="C61" s="36">
        <v>10.244</v>
      </c>
      <c r="D61" s="36">
        <v>10.401</v>
      </c>
      <c r="E61" s="30" cm="1">
        <f t="array" ref="E61">IF(D61="","",D61-C61)</f>
        <v>0.15700000000000003</v>
      </c>
      <c r="F61" s="31" cm="1">
        <f t="array" ref="F61">IF(D61=0,"",(D61-C61)/C61)</f>
        <v>1.5326044513861777E-2</v>
      </c>
      <c r="G61" s="32">
        <v>488.09</v>
      </c>
      <c r="H61" s="10">
        <v>1</v>
      </c>
      <c r="I61" s="11" cm="1">
        <f t="array" ref="I61">IF(D61="","",(G61*C61)*0.00075)</f>
        <v>3.74999547</v>
      </c>
      <c r="J61" s="11" cm="1">
        <f t="array" ref="J61">IF(D61="","",(G61*D61)*0.00075)</f>
        <v>3.8074680674999994</v>
      </c>
      <c r="K61" s="33" cm="1">
        <f t="array" ref="K61">IF(D61="","",J61+I61)</f>
        <v>7.5574635374999994</v>
      </c>
      <c r="L61" s="33" cm="1">
        <f t="array" ref="L61">IF(D61=0,0,(D61-C61)*G61)</f>
        <v>76.630130000000008</v>
      </c>
      <c r="M61" s="12">
        <v>4919.5563619325003</v>
      </c>
      <c r="N61" s="34" cm="1">
        <f t="array" ref="N61">IFERROR((K61-J61)/J61,"–")</f>
        <v>0.98490529756754175</v>
      </c>
      <c r="O61" s="33" cm="1">
        <f t="array" ref="O61">IF(D61=0,0,L61-K61)</f>
        <v>69.07266646250001</v>
      </c>
      <c r="P61" s="11"/>
      <c r="Q61" s="35"/>
    </row>
    <row r="62" spans="1:17" ht="22.5" customHeight="1">
      <c r="A62" s="16" t="s">
        <v>49</v>
      </c>
      <c r="B62" s="43">
        <v>44339</v>
      </c>
      <c r="C62" s="37">
        <v>15.199</v>
      </c>
      <c r="D62" s="37">
        <v>14.952999999999999</v>
      </c>
      <c r="E62" s="19" cm="1">
        <f t="array" ref="E62">IF(D62="","",D62-C62)</f>
        <v>-0.24600000000000044</v>
      </c>
      <c r="F62" s="20" cm="1">
        <f t="array" ref="F62">IF(D62=0,"",(D62-C62)/C62)</f>
        <v>-1.6185275347062336E-2</v>
      </c>
      <c r="G62" s="21">
        <v>328.97800000000001</v>
      </c>
      <c r="H62" s="22">
        <v>1</v>
      </c>
      <c r="I62" s="23" cm="1">
        <f t="array" ref="I62">IF(D62="","",(G62*C62)*0.00075)</f>
        <v>3.7501024665</v>
      </c>
      <c r="J62" s="23" cm="1">
        <f t="array" ref="J62">IF(D62="","",(G62*D62)*0.00075)</f>
        <v>3.6894060255000003</v>
      </c>
      <c r="K62" s="24" cm="1">
        <f t="array" ref="K62">IF(D62="","",J62+I62)</f>
        <v>7.4395084919999999</v>
      </c>
      <c r="L62" s="24" cm="1">
        <f t="array" ref="L62">IF(D62=0,0,(D62-C62)*G62)</f>
        <v>-80.928588000000147</v>
      </c>
      <c r="M62" s="25">
        <v>5077.3758039744998</v>
      </c>
      <c r="N62" s="26" cm="1">
        <f t="array" ref="N62">IFERROR((K62-J62)/J62,"–")</f>
        <v>1.0164515481843106</v>
      </c>
      <c r="O62" s="24" cm="1">
        <f t="array" ref="O62">IF(D62=0,0,L62-K62)</f>
        <v>-88.368096492000149</v>
      </c>
      <c r="P62" s="23"/>
      <c r="Q62" s="27"/>
    </row>
    <row r="63" spans="1:17" ht="22.5" customHeight="1">
      <c r="A63" s="16" t="s">
        <v>49</v>
      </c>
      <c r="B63" s="42">
        <v>44339</v>
      </c>
      <c r="C63" s="36">
        <v>14.428000000000001</v>
      </c>
      <c r="D63" s="36">
        <v>14.379</v>
      </c>
      <c r="E63" s="30" cm="1">
        <f t="array" ref="E63">IF(D63="","",D63-C63)</f>
        <v>-4.9000000000001265E-2</v>
      </c>
      <c r="F63" s="31" cm="1">
        <f t="array" ref="F63">IF(D63=0,"",(D63-C63)/C63)</f>
        <v>-3.396174105905272E-3</v>
      </c>
      <c r="G63" s="32">
        <v>259.90699999999998</v>
      </c>
      <c r="H63" s="10">
        <v>1</v>
      </c>
      <c r="I63" s="11" cm="1">
        <f t="array" ref="I63">IF(D63="","",(G63*C63)*0.00075)</f>
        <v>2.8124536469999999</v>
      </c>
      <c r="J63" s="11" cm="1">
        <f t="array" ref="J63">IF(D63="","",(G63*D63)*0.00075)</f>
        <v>2.8029020647499996</v>
      </c>
      <c r="K63" s="33" cm="1">
        <f t="array" ref="K63">IF(D63="","",J63+I63)</f>
        <v>5.6153557117499995</v>
      </c>
      <c r="L63" s="33" cm="1">
        <f t="array" ref="L63">IF(D63=0,0,(D63-C63)*G63)</f>
        <v>-12.735443000000329</v>
      </c>
      <c r="M63" s="12">
        <v>3759.8707369352501</v>
      </c>
      <c r="N63" s="34" cm="1">
        <f t="array" ref="N63">IFERROR((K63-J63)/J63,"–")</f>
        <v>1.0034077474094165</v>
      </c>
      <c r="O63" s="33" cm="1">
        <f t="array" ref="O63">IF(D63=0,0,L63-K63)</f>
        <v>-18.350798711750329</v>
      </c>
      <c r="P63" s="11"/>
      <c r="Q63" s="35"/>
    </row>
    <row r="64" spans="1:17" ht="22.5" customHeight="1">
      <c r="A64" s="16" t="s">
        <v>49</v>
      </c>
      <c r="B64" s="43">
        <v>44339</v>
      </c>
      <c r="C64" s="37">
        <v>14.428000000000001</v>
      </c>
      <c r="D64" s="37">
        <v>14.365</v>
      </c>
      <c r="E64" s="19" cm="1">
        <f t="array" ref="E64">IF(D64="","",D64-C64)</f>
        <v>-6.3000000000000611E-2</v>
      </c>
      <c r="F64" s="20" cm="1">
        <f t="array" ref="F64">IF(D64=0,"",(D64-C64)/C64)</f>
        <v>-4.3665095647352796E-3</v>
      </c>
      <c r="G64" s="21">
        <v>65.224000000000004</v>
      </c>
      <c r="H64" s="22">
        <v>1</v>
      </c>
      <c r="I64" s="23" cm="1">
        <f t="array" ref="I64">IF(D64="","",(G64*C64)*0.00075)</f>
        <v>0.70578890400000005</v>
      </c>
      <c r="J64" s="23" cm="1">
        <f t="array" ref="J64">IF(D64="","",(G64*D64)*0.00075)</f>
        <v>0.70270706999999999</v>
      </c>
      <c r="K64" s="24" cm="1">
        <f t="array" ref="K64">IF(D64="","",J64+I64)</f>
        <v>1.408495974</v>
      </c>
      <c r="L64" s="24" cm="1">
        <f t="array" ref="L64">IF(D64=0,0,(D64-C64)*G64)</f>
        <v>-4.1091120000000405</v>
      </c>
      <c r="M64" s="25">
        <v>944.45827693000001</v>
      </c>
      <c r="N64" s="26" cm="1">
        <f t="array" ref="N64">IFERROR((K64-J64)/J64,"–")</f>
        <v>1.0043856595892795</v>
      </c>
      <c r="O64" s="24" cm="1">
        <f t="array" ref="O64">IF(D64=0,0,L64-K64)</f>
        <v>-5.5176079740000405</v>
      </c>
      <c r="P64" s="23"/>
      <c r="Q64" s="27"/>
    </row>
    <row r="65" spans="1:17" ht="22.5" customHeight="1">
      <c r="A65" s="16" t="s">
        <v>49</v>
      </c>
      <c r="B65" s="42">
        <v>44339</v>
      </c>
      <c r="C65" s="36">
        <v>14.428000000000001</v>
      </c>
      <c r="D65" s="36">
        <v>14.414</v>
      </c>
      <c r="E65" s="30" cm="1">
        <f t="array" ref="E65">IF(D65="","",D65-C65)</f>
        <v>-1.4000000000001123E-2</v>
      </c>
      <c r="F65" s="31" cm="1">
        <f t="array" ref="F65">IF(D65=0,"",(D65-C65)/C65)</f>
        <v>-9.7033545883013048E-4</v>
      </c>
      <c r="G65" s="32">
        <v>21.364999999999998</v>
      </c>
      <c r="H65" s="10">
        <v>1</v>
      </c>
      <c r="I65" s="11" cm="1">
        <f t="array" ref="I65">IF(D65="","",(G65*C65)*0.00075)</f>
        <v>0.23119066499999999</v>
      </c>
      <c r="J65" s="11" cm="1">
        <f t="array" ref="J65">IF(D65="","",(G65*D65)*0.00075)</f>
        <v>0.23096633250000001</v>
      </c>
      <c r="K65" s="33" cm="1">
        <f t="array" ref="K65">IF(D65="","",J65+I65)</f>
        <v>0.4621569975</v>
      </c>
      <c r="L65" s="33" cm="1">
        <f t="array" ref="L65">IF(D65=0,0,(D65-C65)*G65)</f>
        <v>-0.29911000000002397</v>
      </c>
      <c r="M65" s="12">
        <v>308.32236366749999</v>
      </c>
      <c r="N65" s="34" cm="1">
        <f t="array" ref="N65">IFERROR((K65-J65)/J65,"–")</f>
        <v>1.0009712779242403</v>
      </c>
      <c r="O65" s="33" cm="1">
        <f t="array" ref="O65">IF(D65=0,0,L65-K65)</f>
        <v>-0.76126699750002391</v>
      </c>
      <c r="P65" s="11"/>
      <c r="Q65" s="35"/>
    </row>
    <row r="66" spans="1:17" ht="22.5" customHeight="1">
      <c r="A66" s="16" t="s">
        <v>50</v>
      </c>
      <c r="B66" s="43">
        <v>44339</v>
      </c>
      <c r="C66" s="37">
        <v>5.0755999999999997</v>
      </c>
      <c r="D66" s="37">
        <v>5</v>
      </c>
      <c r="E66" s="19" cm="1">
        <f t="array" ref="E66">IF(D66="","",D66-C66)</f>
        <v>-7.5599999999999667E-2</v>
      </c>
      <c r="F66" s="20" cm="1">
        <f t="array" ref="F66">IF(D66=0,"",(D66-C66)/C66)</f>
        <v>-1.4894790763653494E-2</v>
      </c>
      <c r="G66" s="21">
        <v>556.17999999999995</v>
      </c>
      <c r="H66" s="22">
        <v>1</v>
      </c>
      <c r="I66" s="23" cm="1">
        <f t="array" ref="I66">IF(D66="","",(G66*C66)*0.00075)</f>
        <v>2.1172104059999999</v>
      </c>
      <c r="J66" s="23" cm="1">
        <f t="array" ref="J66">IF(D66="","",(G66*D66)*0.00075)</f>
        <v>2.0856749999999997</v>
      </c>
      <c r="K66" s="24" cm="1">
        <f t="array" ref="K66">IF(D66="","",J66+I66)</f>
        <v>4.202885406</v>
      </c>
      <c r="L66" s="24" cm="1">
        <f t="array" ref="L66">IF(D66=0,0,(D66-C66)*G66)</f>
        <v>-42.047207999999813</v>
      </c>
      <c r="M66" s="25">
        <v>2862.9087410000002</v>
      </c>
      <c r="N66" s="26" cm="1">
        <f t="array" ref="N66">IFERROR((K66-J66)/J66,"–")</f>
        <v>1.0151200000000002</v>
      </c>
      <c r="O66" s="24" cm="1">
        <f t="array" ref="O66">IF(D66=0,0,L66-K66)</f>
        <v>-46.250093405999813</v>
      </c>
      <c r="P66" s="23"/>
      <c r="Q66" s="27"/>
    </row>
    <row r="67" spans="1:17" ht="22.5" customHeight="1">
      <c r="A67" s="16" t="s">
        <v>50</v>
      </c>
      <c r="B67" s="42">
        <v>44339</v>
      </c>
      <c r="C67" s="36">
        <v>5.0755999999999997</v>
      </c>
      <c r="D67" s="36">
        <v>4.9813999999999998</v>
      </c>
      <c r="E67" s="30" cm="1">
        <f t="array" ref="E67">IF(D67="","",D67-C67)</f>
        <v>-9.4199999999999839E-2</v>
      </c>
      <c r="F67" s="31" cm="1">
        <f t="array" ref="F67">IF(D67=0,"",(D67-C67)/C67)</f>
        <v>-1.8559382142012738E-2</v>
      </c>
      <c r="G67" s="32">
        <v>171.61</v>
      </c>
      <c r="H67" s="10">
        <v>1</v>
      </c>
      <c r="I67" s="11" cm="1">
        <f t="array" ref="I67">IF(D67="","",(G67*C67)*0.00075)</f>
        <v>0.65326778699999999</v>
      </c>
      <c r="J67" s="11" cm="1">
        <f t="array" ref="J67">IF(D67="","",(G67*D67)*0.00075)</f>
        <v>0.6411435405</v>
      </c>
      <c r="K67" s="33" cm="1">
        <f t="array" ref="K67">IF(D67="","",J67+I67)</f>
        <v>1.2944113275</v>
      </c>
      <c r="L67" s="33" cm="1">
        <f t="array" ref="L67">IF(D67=0,0,(D67-C67)*G67)</f>
        <v>-16.165661999999973</v>
      </c>
      <c r="M67" s="12">
        <v>886.54823445950001</v>
      </c>
      <c r="N67" s="34" cm="1">
        <f t="array" ref="N67">IFERROR((K67-J67)/J67,"–")</f>
        <v>1.0189103464889389</v>
      </c>
      <c r="O67" s="33" cm="1">
        <f t="array" ref="O67">IF(D67=0,0,L67-K67)</f>
        <v>-17.460073327499973</v>
      </c>
      <c r="P67" s="11"/>
      <c r="Q67" s="35"/>
    </row>
    <row r="68" spans="1:17" ht="22.5" customHeight="1">
      <c r="A68" s="16" t="s">
        <v>438</v>
      </c>
      <c r="B68" s="43">
        <v>44341</v>
      </c>
      <c r="C68" s="37">
        <v>340</v>
      </c>
      <c r="D68" s="37">
        <v>356</v>
      </c>
      <c r="E68" s="19" cm="1">
        <f t="array" ref="E68">IF(D68="","",D68-C68)</f>
        <v>16</v>
      </c>
      <c r="F68" s="20" cm="1">
        <f t="array" ref="F68">IF(D68=0,"",(D68-C68)/C68)</f>
        <v>4.7058823529411764E-2</v>
      </c>
      <c r="G68" s="21">
        <v>1</v>
      </c>
      <c r="H68" s="22">
        <v>1</v>
      </c>
      <c r="I68" s="23" cm="1">
        <f t="array" ref="I68">IF(D68="","",(G68*C68)*0.00075)</f>
        <v>0.255</v>
      </c>
      <c r="J68" s="23" cm="1">
        <f t="array" ref="J68">IF(D68="","",(G68*D68)*0.00075)</f>
        <v>0.26700000000000002</v>
      </c>
      <c r="K68" s="24" cm="1">
        <f t="array" ref="K68">IF(D68="","",J68+I68)</f>
        <v>0.52200000000000002</v>
      </c>
      <c r="L68" s="24" cm="1">
        <f t="array" ref="L68">IF(D68=0,0,(D68-C68)*G68)</f>
        <v>16</v>
      </c>
      <c r="M68" s="25">
        <v>323.733</v>
      </c>
      <c r="N68" s="26" cm="1">
        <f t="array" ref="N68">IFERROR((K68-J68)/J68,"–")</f>
        <v>0.9550561797752809</v>
      </c>
      <c r="O68" s="24" cm="1">
        <f t="array" ref="O68">IF(D68=0,0,L68-K68)</f>
        <v>15.478</v>
      </c>
      <c r="P68" s="23"/>
      <c r="Q68" s="27"/>
    </row>
    <row r="69" spans="1:17" ht="22.5" customHeight="1">
      <c r="A69" s="16" t="s">
        <v>51</v>
      </c>
      <c r="B69" s="42">
        <v>44341</v>
      </c>
      <c r="C69" s="36">
        <v>7000</v>
      </c>
      <c r="D69" s="36">
        <v>7018</v>
      </c>
      <c r="E69" s="30" cm="1">
        <f t="array" ref="E69">IF(D69="","",D69-C69)</f>
        <v>18</v>
      </c>
      <c r="F69" s="31" cm="1">
        <f t="array" ref="F69">IF(D69=0,"",(D69-C69)/C69)</f>
        <v>2.5714285714285713E-3</v>
      </c>
      <c r="G69" s="32">
        <v>1</v>
      </c>
      <c r="H69" s="10">
        <v>1</v>
      </c>
      <c r="I69" s="11" cm="1">
        <f t="array" ref="I69">IF(D69="","",(G69*C69)*0.00075)</f>
        <v>5.25</v>
      </c>
      <c r="J69" s="11" cm="1">
        <f t="array" ref="J69">IF(D69="","",(G69*D69)*0.00075)</f>
        <v>5.2635000000000005</v>
      </c>
      <c r="K69" s="33" cm="1">
        <f t="array" ref="K69">IF(D69="","",J69+I69)</f>
        <v>10.513500000000001</v>
      </c>
      <c r="L69" s="33" cm="1">
        <f t="array" ref="L69">IF(D69=0,0,(D69-C69)*G69)</f>
        <v>18</v>
      </c>
      <c r="M69" s="12">
        <v>6976.7365</v>
      </c>
      <c r="N69" s="34" cm="1">
        <f t="array" ref="N69">IFERROR((K69-J69)/J69,"–")</f>
        <v>0.99743516671416343</v>
      </c>
      <c r="O69" s="33" cm="1">
        <f t="array" ref="O69">IF(D69=0,0,L69-K69)</f>
        <v>7.4864999999999995</v>
      </c>
      <c r="P69" s="11"/>
      <c r="Q69" s="35"/>
    </row>
    <row r="70" spans="1:17" ht="22.5" customHeight="1">
      <c r="A70" s="16" t="s">
        <v>52</v>
      </c>
      <c r="B70" s="43">
        <v>44342</v>
      </c>
      <c r="C70" s="37">
        <v>271.89999999999998</v>
      </c>
      <c r="D70" s="37">
        <v>274.29000000000002</v>
      </c>
      <c r="E70" s="19" cm="1">
        <f t="array" ref="E70">IF(D70="","",D70-C70)</f>
        <v>2.3900000000000432</v>
      </c>
      <c r="F70" s="20" cm="1">
        <f t="array" ref="F70">IF(D70=0,"",(D70-C70)/C70)</f>
        <v>8.7899963221774301E-3</v>
      </c>
      <c r="G70" s="21">
        <v>25.744800000000001</v>
      </c>
      <c r="H70" s="22">
        <v>1</v>
      </c>
      <c r="I70" s="23" cm="1">
        <f t="array" ref="I70">IF(D70="","",(G70*C70)*0.00075)</f>
        <v>5.2500083399999999</v>
      </c>
      <c r="J70" s="23" cm="1">
        <f t="array" ref="J70">IF(D70="","",(G70*D70)*0.00075)</f>
        <v>5.2961558940000009</v>
      </c>
      <c r="K70" s="24" cm="1">
        <f t="array" ref="K70">IF(D70="","",J70+I70)</f>
        <v>10.546164234000001</v>
      </c>
      <c r="L70" s="24" cm="1">
        <f t="array" ref="L70">IF(D70=0,0,(D70-C70)*G70)</f>
        <v>61.530072000001113</v>
      </c>
      <c r="M70" s="25">
        <v>6933.184892106</v>
      </c>
      <c r="N70" s="26" cm="1">
        <f t="array" ref="N70">IFERROR((K70-J70)/J70,"–")</f>
        <v>0.99128659448029444</v>
      </c>
      <c r="O70" s="24" cm="1">
        <f t="array" ref="O70">IF(D70=0,0,L70-K70)</f>
        <v>50.98390776600111</v>
      </c>
      <c r="P70" s="23"/>
      <c r="Q70" s="27"/>
    </row>
    <row r="71" spans="1:17" ht="22.5" customHeight="1">
      <c r="A71" s="16" t="s">
        <v>45</v>
      </c>
      <c r="B71" s="42">
        <v>44342</v>
      </c>
      <c r="C71" s="36">
        <v>6.4999999999999994E-5</v>
      </c>
      <c r="D71" s="36">
        <v>7.2999999999999999E-5</v>
      </c>
      <c r="E71" s="30" cm="1">
        <f t="array" ref="E71">IF(D71="","",D71-C71)</f>
        <v>8.0000000000000047E-6</v>
      </c>
      <c r="F71" s="31" cm="1">
        <f t="array" ref="F71">IF(D71=0,"",(D71-C71)/C71)</f>
        <v>0.12307692307692317</v>
      </c>
      <c r="G71" s="32">
        <v>15384615</v>
      </c>
      <c r="H71" s="10">
        <v>1</v>
      </c>
      <c r="I71" s="11" cm="1">
        <f t="array" ref="I71">IF(D71="","",(G71*C71)*0.00075)</f>
        <v>0.74999998125</v>
      </c>
      <c r="J71" s="11" cm="1">
        <f t="array" ref="J71">IF(D71="","",(G71*D71)*0.00075)</f>
        <v>0.84230767124999995</v>
      </c>
      <c r="K71" s="33" cm="1">
        <f t="array" ref="K71">IF(D71="","",J71+I71)</f>
        <v>1.5923076524999999</v>
      </c>
      <c r="L71" s="33" cm="1">
        <f t="array" ref="L71">IF(D71=0,0,(D71-C71)*G71)</f>
        <v>123.07692000000007</v>
      </c>
      <c r="M71" s="12">
        <v>876.08074732875002</v>
      </c>
      <c r="N71" s="34" cm="1">
        <f t="array" ref="N71">IFERROR((K71-J71)/J71,"–")</f>
        <v>0.8904109589041096</v>
      </c>
      <c r="O71" s="33" cm="1">
        <f t="array" ref="O71">IF(D71=0,0,L71-K71)</f>
        <v>121.48461234750008</v>
      </c>
      <c r="P71" s="11"/>
      <c r="Q71" s="35"/>
    </row>
    <row r="72" spans="1:17" ht="22.5" customHeight="1">
      <c r="A72" s="16" t="s">
        <v>24</v>
      </c>
      <c r="B72" s="43">
        <v>44343</v>
      </c>
      <c r="C72" s="37">
        <v>4.9000000000000002E-2</v>
      </c>
      <c r="D72" s="37">
        <v>4.9200000000000001E-2</v>
      </c>
      <c r="E72" s="19" cm="1">
        <f t="array" ref="E72">IF(D72="","",D72-C72)</f>
        <v>1.9999999999999879E-4</v>
      </c>
      <c r="F72" s="20" cm="1">
        <f t="array" ref="F72">IF(D72=0,"",(D72-C72)/C72)</f>
        <v>4.0816326530611997E-3</v>
      </c>
      <c r="G72" s="21">
        <v>38468.68</v>
      </c>
      <c r="H72" s="22">
        <v>1</v>
      </c>
      <c r="I72" s="23" cm="1">
        <f t="array" ref="I72">IF(D72="","",(G72*C72)*0.00075)</f>
        <v>1.41372399</v>
      </c>
      <c r="J72" s="23" cm="1">
        <f t="array" ref="J72">IF(D72="","",(G72*D72)*0.00075)</f>
        <v>1.419494292</v>
      </c>
      <c r="K72" s="24" cm="1">
        <f t="array" ref="K72">IF(D72="","",J72+I72)</f>
        <v>2.8332182819999998</v>
      </c>
      <c r="L72" s="24" cm="1">
        <f t="array" ref="L72">IF(D72=0,0,(D72-C72)*G72)</f>
        <v>7.6937359999999533</v>
      </c>
      <c r="M72" s="25">
        <v>1875.852089708</v>
      </c>
      <c r="N72" s="26" cm="1">
        <f t="array" ref="N72">IFERROR((K72-J72)/J72,"–")</f>
        <v>0.99593495934959342</v>
      </c>
      <c r="O72" s="24" cm="1">
        <f t="array" ref="O72">IF(D72=0,0,L72-K72)</f>
        <v>4.8605177179999535</v>
      </c>
      <c r="P72" s="23"/>
      <c r="Q72" s="27"/>
    </row>
    <row r="73" spans="1:17" ht="22.5" customHeight="1">
      <c r="A73" s="16" t="s">
        <v>53</v>
      </c>
      <c r="B73" s="42">
        <v>44343</v>
      </c>
      <c r="C73" s="36">
        <v>0.91159999999999997</v>
      </c>
      <c r="D73" s="36">
        <v>0.92320000000000002</v>
      </c>
      <c r="E73" s="30" cm="1">
        <f t="array" ref="E73">IF(D73="","",D73-C73)</f>
        <v>1.1600000000000055E-2</v>
      </c>
      <c r="F73" s="31" cm="1">
        <f t="array" ref="F73">IF(D73=0,"",(D73-C73)/C73)</f>
        <v>1.2724879333040867E-2</v>
      </c>
      <c r="G73" s="32">
        <v>5485.4</v>
      </c>
      <c r="H73" s="10">
        <v>1</v>
      </c>
      <c r="I73" s="11" cm="1">
        <f t="array" ref="I73">IF(D73="","",(G73*C73)*0.00075)</f>
        <v>3.7503679799999996</v>
      </c>
      <c r="J73" s="11" cm="1">
        <f t="array" ref="J73">IF(D73="","",(G73*D73)*0.00075)</f>
        <v>3.7980909599999997</v>
      </c>
      <c r="K73" s="33" cm="1">
        <f t="array" ref="K73">IF(D73="","",J73+I73)</f>
        <v>7.5484589399999997</v>
      </c>
      <c r="L73" s="33" cm="1">
        <f t="array" ref="L73">IF(D73=0,0,(D73-C73)*G73)</f>
        <v>63.630640000000298</v>
      </c>
      <c r="M73" s="12">
        <v>4933.0619090399996</v>
      </c>
      <c r="N73" s="34" cm="1">
        <f t="array" ref="N73">IFERROR((K73-J73)/J73,"–")</f>
        <v>0.98743500866551137</v>
      </c>
      <c r="O73" s="33" cm="1">
        <f t="array" ref="O73">IF(D73=0,0,L73-K73)</f>
        <v>56.082181060000295</v>
      </c>
      <c r="P73" s="11"/>
      <c r="Q73" s="35"/>
    </row>
    <row r="74" spans="1:17" ht="22.5" customHeight="1">
      <c r="A74" s="16" t="s">
        <v>54</v>
      </c>
      <c r="B74" s="43">
        <v>44345</v>
      </c>
      <c r="C74" s="37">
        <v>0.32871</v>
      </c>
      <c r="D74" s="37">
        <v>0.32900000000000001</v>
      </c>
      <c r="E74" s="19" cm="1">
        <f t="array" ref="E74">IF(D74="","",D74-C74)</f>
        <v>2.9000000000001247E-4</v>
      </c>
      <c r="F74" s="20" cm="1">
        <f t="array" ref="F74">IF(D74=0,"",(D74-C74)/C74)</f>
        <v>8.8223662194643446E-4</v>
      </c>
      <c r="G74" s="21">
        <v>10465.700000000001</v>
      </c>
      <c r="H74" s="22">
        <v>1</v>
      </c>
      <c r="I74" s="23" cm="1">
        <f t="array" ref="I74">IF(D74="","",(G74*C74)*0.00075)</f>
        <v>2.5801351852500001</v>
      </c>
      <c r="J74" s="23" cm="1">
        <f t="array" ref="J74">IF(D74="","",(G74*D74)*0.00075)</f>
        <v>2.5824114750000002</v>
      </c>
      <c r="K74" s="24" cm="1">
        <f t="array" ref="K74">IF(D74="","",J74+I74)</f>
        <v>5.1625466602500003</v>
      </c>
      <c r="L74" s="24" cm="1">
        <f t="array" ref="L74">IF(D74=0,0,(D74-C74)*G74)</f>
        <v>3.0350530000001306</v>
      </c>
      <c r="M74" s="25">
        <v>3434.5627825249999</v>
      </c>
      <c r="N74" s="26" cm="1">
        <f t="array" ref="N74">IFERROR((K74-J74)/J74,"–")</f>
        <v>0.99911854103343456</v>
      </c>
      <c r="O74" s="24" cm="1">
        <f t="array" ref="O74">IF(D74=0,0,L74-K74)</f>
        <v>-2.1274936602498697</v>
      </c>
      <c r="P74" s="23"/>
      <c r="Q74" s="27"/>
    </row>
    <row r="75" spans="1:17" ht="22.5" customHeight="1">
      <c r="A75" s="16" t="s">
        <v>54</v>
      </c>
      <c r="B75" s="42">
        <v>44345</v>
      </c>
      <c r="C75" s="36">
        <v>0.32</v>
      </c>
      <c r="D75" s="36">
        <v>0.32200000000000001</v>
      </c>
      <c r="E75" s="30" cm="1">
        <f t="array" ref="E75">IF(D75="","",D75-C75)</f>
        <v>2.0000000000000018E-3</v>
      </c>
      <c r="F75" s="31" cm="1">
        <f t="array" ref="F75">IF(D75=0,"",(D75-C75)/C75)</f>
        <v>6.2500000000000056E-3</v>
      </c>
      <c r="G75" s="32">
        <v>5884.3</v>
      </c>
      <c r="H75" s="10">
        <v>1</v>
      </c>
      <c r="I75" s="11" cm="1">
        <f t="array" ref="I75">IF(D75="","",(G75*C75)*0.00075)</f>
        <v>1.4122320000000002</v>
      </c>
      <c r="J75" s="11" cm="1">
        <f t="array" ref="J75">IF(D75="","",(G75*D75)*0.00075)</f>
        <v>1.4210584500000001</v>
      </c>
      <c r="K75" s="33" cm="1">
        <f t="array" ref="K75">IF(D75="","",J75+I75)</f>
        <v>2.8332904500000002</v>
      </c>
      <c r="L75" s="33" cm="1">
        <f t="array" ref="L75">IF(D75=0,0,(D75-C75)*G75)</f>
        <v>11.76860000000001</v>
      </c>
      <c r="M75" s="12">
        <v>1869.7863415500001</v>
      </c>
      <c r="N75" s="34" cm="1">
        <f t="array" ref="N75">IFERROR((K75-J75)/J75,"–")</f>
        <v>0.9937888198757765</v>
      </c>
      <c r="O75" s="33" cm="1">
        <f t="array" ref="O75">IF(D75=0,0,L75-K75)</f>
        <v>8.9353095500000101</v>
      </c>
      <c r="P75" s="8"/>
      <c r="Q75" s="15"/>
    </row>
    <row r="76" spans="1:17" ht="22.5" customHeight="1">
      <c r="A76" s="16" t="s">
        <v>32</v>
      </c>
      <c r="B76" s="43">
        <v>44346</v>
      </c>
      <c r="C76" s="37">
        <v>8.1970000000000001E-2</v>
      </c>
      <c r="D76" s="37">
        <v>8.3610000000000004E-2</v>
      </c>
      <c r="E76" s="19" cm="1">
        <f t="array" ref="E76">IF(D76="","",D76-C76)</f>
        <v>1.6400000000000026E-3</v>
      </c>
      <c r="F76" s="20" cm="1">
        <f t="array" ref="F76">IF(D76=0,"",(D76-C76)/C76)</f>
        <v>2.0007319751128492E-2</v>
      </c>
      <c r="G76" s="21">
        <v>82961.2</v>
      </c>
      <c r="H76" s="22">
        <v>1</v>
      </c>
      <c r="I76" s="23" cm="1">
        <f t="array" ref="I76">IF(D76="","",(G76*C76)*0.00075)</f>
        <v>5.1002471729999996</v>
      </c>
      <c r="J76" s="23" cm="1">
        <f t="array" ref="J76">IF(D76="","",(G76*D76)*0.00075)</f>
        <v>5.2022894490000002</v>
      </c>
      <c r="K76" s="24" cm="1">
        <f t="array" ref="K76">IF(D76="","",J76+I76)</f>
        <v>10.302536622</v>
      </c>
      <c r="L76" s="24" cm="1">
        <f t="array" ref="L76">IF(D76=0,0,(D76-C76)*G76)</f>
        <v>136.05636800000022</v>
      </c>
      <c r="M76" s="25">
        <v>6659.070906551</v>
      </c>
      <c r="N76" s="26" cm="1">
        <f t="array" ref="N76">IFERROR((K76-J76)/J76,"–")</f>
        <v>0.98038512139696199</v>
      </c>
      <c r="O76" s="24" cm="1">
        <f t="array" ref="O76">IF(D76=0,0,L76-K76)</f>
        <v>125.75383137800021</v>
      </c>
      <c r="P76" s="23"/>
      <c r="Q76" s="27"/>
    </row>
    <row r="77" spans="1:17" ht="22.5" customHeight="1">
      <c r="A77" s="16" t="s">
        <v>55</v>
      </c>
      <c r="B77" s="42">
        <v>44347</v>
      </c>
      <c r="C77" s="36">
        <v>7.9729999999999995E-2</v>
      </c>
      <c r="D77" s="36">
        <v>7.9039999999999999E-2</v>
      </c>
      <c r="E77" s="30" cm="1">
        <f t="array" ref="E77">IF(D77="","",D77-C77)</f>
        <v>-6.8999999999999617E-4</v>
      </c>
      <c r="F77" s="31" cm="1">
        <f t="array" ref="F77">IF(D77=0,"",(D77-C77)/C77)</f>
        <v>-8.6542079518374046E-3</v>
      </c>
      <c r="G77" s="32">
        <v>21971.9</v>
      </c>
      <c r="H77" s="10">
        <v>1</v>
      </c>
      <c r="I77" s="11" cm="1">
        <f t="array" ref="I77">IF(D77="","",(G77*C77)*0.00075)</f>
        <v>1.31386469025</v>
      </c>
      <c r="J77" s="11" cm="1">
        <f t="array" ref="J77">IF(D77="","",(G77*D77)*0.00075)</f>
        <v>1.3024942320000001</v>
      </c>
      <c r="K77" s="33" cm="1">
        <f t="array" ref="K77">IF(D77="","",J77+I77)</f>
        <v>2.6163589222499999</v>
      </c>
      <c r="L77" s="33" cm="1">
        <f t="array" ref="L77">IF(D77=0,0,(D77-C77)*G77)</f>
        <v>-15.160610999999918</v>
      </c>
      <c r="M77" s="12">
        <v>1765.6777037679999</v>
      </c>
      <c r="N77" s="34" cm="1">
        <f t="array" ref="N77">IFERROR((K77-J77)/J77,"–")</f>
        <v>1.00872975708502</v>
      </c>
      <c r="O77" s="33" cm="1">
        <f t="array" ref="O77">IF(D77=0,0,L77-K77)</f>
        <v>-17.776969922249918</v>
      </c>
      <c r="P77" s="8"/>
      <c r="Q77" s="15"/>
    </row>
    <row r="78" spans="1:17" ht="22.5" customHeight="1">
      <c r="A78" s="16" t="s">
        <v>56</v>
      </c>
      <c r="B78" s="43">
        <v>44347</v>
      </c>
      <c r="C78" s="37">
        <v>3.696E-2</v>
      </c>
      <c r="D78" s="37">
        <v>3.7409999999999999E-2</v>
      </c>
      <c r="E78" s="19" cm="1">
        <f t="array" ref="E78">IF(D78="","",D78-C78)</f>
        <v>4.4999999999999901E-4</v>
      </c>
      <c r="F78" s="20" cm="1">
        <f t="array" ref="F78">IF(D78=0,"",(D78-C78)/C78)</f>
        <v>1.2175324675324648E-2</v>
      </c>
      <c r="G78" s="21">
        <v>183995.9</v>
      </c>
      <c r="H78" s="22">
        <v>1</v>
      </c>
      <c r="I78" s="23" cm="1">
        <f t="array" ref="I78">IF(D78="","",(G78*C78)*0.00075)</f>
        <v>5.1003663480000005</v>
      </c>
      <c r="J78" s="23" cm="1">
        <f t="array" ref="J78">IF(D78="","",(G78*D78)*0.00075)</f>
        <v>5.1624649642499998</v>
      </c>
      <c r="K78" s="24" cm="1">
        <f t="array" ref="K78">IF(D78="","",J78+I78)</f>
        <v>10.26283131225</v>
      </c>
      <c r="L78" s="24" cm="1">
        <f t="array" ref="L78">IF(D78=0,0,(D78-C78)*G78)</f>
        <v>82.798154999999809</v>
      </c>
      <c r="M78" s="25">
        <v>6712.5278440357497</v>
      </c>
      <c r="N78" s="26" cm="1">
        <f t="array" ref="N78">IFERROR((K78-J78)/J78,"–")</f>
        <v>0.98797113071371301</v>
      </c>
      <c r="O78" s="24" cm="1">
        <f t="array" ref="O78">IF(D78=0,0,L78-K78)</f>
        <v>72.535323687749809</v>
      </c>
      <c r="P78" s="44" t="s">
        <v>425</v>
      </c>
      <c r="Q78" s="41"/>
    </row>
    <row r="79" spans="1:17" ht="22.5" customHeight="1">
      <c r="A79" s="7"/>
      <c r="B79" s="8"/>
      <c r="C79" s="36"/>
      <c r="D79" s="36"/>
      <c r="E79" s="8" t="str" cm="1">
        <f t="array" ref="E79">IF(D79="","",D79-C79)</f>
        <v/>
      </c>
      <c r="F79" s="8" t="str" cm="1">
        <f t="array" ref="F79">IF(D79=0,"",(D79-C79)/C79)</f>
        <v/>
      </c>
      <c r="G79" s="32"/>
      <c r="H79" s="10">
        <v>1</v>
      </c>
      <c r="I79" s="8" t="str" cm="1">
        <f t="array" ref="I79">IF(D79="","",(G79*C79)*0.00075)</f>
        <v/>
      </c>
      <c r="J79" s="8" t="str" cm="1">
        <f t="array" ref="J79">IF(D79="","",(G79*D79)*0.00075)</f>
        <v/>
      </c>
      <c r="K79" s="8" t="str" cm="1">
        <f t="array" ref="K79">IF(D79="","",J79+I79)</f>
        <v/>
      </c>
      <c r="L79" s="33" cm="1">
        <f t="array" ref="L79">IF(D79=0,0,(D79-C79)*G79)</f>
        <v>0</v>
      </c>
      <c r="M79" s="45" t="s">
        <v>13</v>
      </c>
      <c r="N79" s="13" t="str" cm="1">
        <f t="array" ref="N79">IFERROR((K79-J79)/J79,"–")</f>
        <v>–</v>
      </c>
      <c r="O79" s="33" cm="1">
        <f t="array" ref="O79">IF(D79=0,0,L79-K79)</f>
        <v>0</v>
      </c>
      <c r="P79" s="11">
        <v>2096.0500000000002</v>
      </c>
      <c r="Q79" s="35"/>
    </row>
    <row r="80" spans="1:17" ht="22.5" customHeight="1">
      <c r="A80" s="16" t="s">
        <v>39</v>
      </c>
      <c r="B80" s="17">
        <v>44348</v>
      </c>
      <c r="C80" s="37">
        <v>2.9811000000000001E-2</v>
      </c>
      <c r="D80" s="37">
        <v>2.7817999999999999E-2</v>
      </c>
      <c r="E80" s="19" cm="1">
        <f t="array" ref="E80">IF(D80="","",D80-C80)</f>
        <v>-1.9930000000000017E-3</v>
      </c>
      <c r="F80" s="20" cm="1">
        <f t="array" ref="F80">IF(D80=0,"",(D80-C80)/C80)</f>
        <v>-6.6854516789104743E-2</v>
      </c>
      <c r="G80" s="21">
        <v>38216</v>
      </c>
      <c r="H80" s="22">
        <v>1</v>
      </c>
      <c r="I80" s="23" cm="1">
        <f t="array" ref="I80">IF(D80="","",(G80*C80)*0.00075)</f>
        <v>0.85444288200000007</v>
      </c>
      <c r="J80" s="23" cm="1">
        <f t="array" ref="J80">IF(D80="","",(G80*D80)*0.00075)</f>
        <v>0.79731951599999995</v>
      </c>
      <c r="K80" s="24" cm="1">
        <f t="array" ref="K80">IF(D80="","",J80+I80)</f>
        <v>1.651762398</v>
      </c>
      <c r="L80" s="24" cm="1">
        <f t="array" ref="L80">IF(D80=0,0,(D80-C80)*G80)</f>
        <v>-76.164488000000063</v>
      </c>
      <c r="M80" s="25">
        <v>1214.6243444839999</v>
      </c>
      <c r="N80" s="26" cm="1">
        <f t="array" ref="N80">IFERROR((K80-J80)/J80,"–")</f>
        <v>1.0716442591128048</v>
      </c>
      <c r="O80" s="24" cm="1">
        <f t="array" ref="O80">IF(D80=0,0,L80-K80)</f>
        <v>-77.816250398000065</v>
      </c>
      <c r="P80" s="23"/>
      <c r="Q80" s="27"/>
    </row>
    <row r="81" spans="1:17" ht="22.5" customHeight="1">
      <c r="A81" s="16" t="s">
        <v>57</v>
      </c>
      <c r="B81" s="28">
        <v>44348</v>
      </c>
      <c r="C81" s="36">
        <v>1.9278999999999999</v>
      </c>
      <c r="D81" s="36">
        <v>1.9602999999999999</v>
      </c>
      <c r="E81" s="30" cm="1">
        <f t="array" ref="E81">IF(D81="","",D81-C81)</f>
        <v>3.2399999999999984E-2</v>
      </c>
      <c r="F81" s="31" cm="1">
        <f t="array" ref="F81">IF(D81=0,"",(D81-C81)/C81)</f>
        <v>1.6805850925877889E-2</v>
      </c>
      <c r="G81" s="32">
        <v>6535.69</v>
      </c>
      <c r="H81" s="10">
        <v>1</v>
      </c>
      <c r="I81" s="11" cm="1">
        <f t="array" ref="I81">IF(D81="","",(G81*C81)*0.00075)</f>
        <v>9.4501175632499983</v>
      </c>
      <c r="J81" s="11" cm="1">
        <f t="array" ref="J81">IF(D81="","",(G81*D81)*0.00075)</f>
        <v>9.6089348302499999</v>
      </c>
      <c r="K81" s="33" cm="1">
        <f t="array" ref="K81">IF(D81="","",J81+I81)</f>
        <v>19.059052393499996</v>
      </c>
      <c r="L81" s="33" cm="1">
        <f t="array" ref="L81">IF(D81=0,0,(D81-C81)*G81)</f>
        <v>211.7563559999999</v>
      </c>
      <c r="M81" s="12">
        <v>12378.791460169799</v>
      </c>
      <c r="N81" s="34" cm="1">
        <f t="array" ref="N81">IFERROR((K81-J81)/J81,"–")</f>
        <v>0.98347191756363783</v>
      </c>
      <c r="O81" s="33" cm="1">
        <f t="array" ref="O81">IF(D81=0,0,L81-K81)</f>
        <v>192.6973036064999</v>
      </c>
      <c r="P81" s="11"/>
      <c r="Q81" s="35"/>
    </row>
    <row r="82" spans="1:17" ht="22.5" customHeight="1">
      <c r="A82" s="16" t="s">
        <v>58</v>
      </c>
      <c r="B82" s="17">
        <v>44348</v>
      </c>
      <c r="C82" s="37">
        <v>1.0024</v>
      </c>
      <c r="D82" s="37">
        <v>1.0053000000000001</v>
      </c>
      <c r="E82" s="19" cm="1">
        <f t="array" ref="E82">IF(D82="","",D82-C82)</f>
        <v>2.9000000000001247E-3</v>
      </c>
      <c r="F82" s="20" cm="1">
        <f t="array" ref="F82">IF(D82=0,"",(D82-C82)/C82)</f>
        <v>2.8930566640065093E-3</v>
      </c>
      <c r="G82" s="21">
        <v>3780.15</v>
      </c>
      <c r="H82" s="22">
        <v>1</v>
      </c>
      <c r="I82" s="23" cm="1">
        <f t="array" ref="I82">IF(D82="","",(G82*C82)*0.00075)</f>
        <v>2.8419167700000001</v>
      </c>
      <c r="J82" s="23" cm="1">
        <f t="array" ref="J82">IF(D82="","",(G82*D82)*0.00075)</f>
        <v>2.8501385962500003</v>
      </c>
      <c r="K82" s="24" cm="1">
        <f t="array" ref="K82">IF(D82="","",J82+I82)</f>
        <v>5.6920553662500009</v>
      </c>
      <c r="L82" s="24" cm="1">
        <f t="array" ref="L82">IF(D82=0,0,(D82-C82)*G82)</f>
        <v>10.962435000000472</v>
      </c>
      <c r="M82" s="25">
        <v>3775.4097864037499</v>
      </c>
      <c r="N82" s="26" cm="1">
        <f t="array" ref="N82">IFERROR((K82-J82)/J82,"–")</f>
        <v>0.99711528896846724</v>
      </c>
      <c r="O82" s="24" cm="1">
        <f t="array" ref="O82">IF(D82=0,0,L82-K82)</f>
        <v>5.2703796337504709</v>
      </c>
      <c r="P82" s="23"/>
      <c r="Q82" s="27"/>
    </row>
    <row r="83" spans="1:17" ht="22.5" customHeight="1">
      <c r="A83" s="16" t="s">
        <v>19</v>
      </c>
      <c r="B83" s="28">
        <v>44348</v>
      </c>
      <c r="C83" s="36">
        <v>1.9457</v>
      </c>
      <c r="D83" s="36">
        <v>1.968</v>
      </c>
      <c r="E83" s="30" cm="1">
        <f t="array" ref="E83">IF(D83="","",D83-C83)</f>
        <v>2.2299999999999986E-2</v>
      </c>
      <c r="F83" s="31" cm="1">
        <f t="array" ref="F83">IF(D83=0,"",(D83-C83)/C83)</f>
        <v>1.1461170786863333E-2</v>
      </c>
      <c r="G83" s="32">
        <v>1071</v>
      </c>
      <c r="H83" s="10">
        <v>1</v>
      </c>
      <c r="I83" s="11" cm="1">
        <f t="array" ref="I83">IF(D83="","",(G83*C83)*0.00075)</f>
        <v>1.5628835250000002</v>
      </c>
      <c r="J83" s="11" cm="1">
        <f t="array" ref="J83">IF(D83="","",(G83*D83)*0.00075)</f>
        <v>1.5807960000000001</v>
      </c>
      <c r="K83" s="33" cm="1">
        <f t="array" ref="K83">IF(D83="","",J83+I83)</f>
        <v>3.1436795250000005</v>
      </c>
      <c r="L83" s="33" cm="1">
        <f t="array" ref="L83">IF(D83=0,0,(D83-C83)*G83)</f>
        <v>23.883299999999984</v>
      </c>
      <c r="M83" s="12">
        <v>2082.2639039999999</v>
      </c>
      <c r="N83" s="34" cm="1">
        <f t="array" ref="N83">IFERROR((K83-J83)/J83,"–")</f>
        <v>0.98866869918699207</v>
      </c>
      <c r="O83" s="33" cm="1">
        <f t="array" ref="O83">IF(D83=0,0,L83-K83)</f>
        <v>20.739620474999985</v>
      </c>
      <c r="P83" s="11"/>
      <c r="Q83" s="35"/>
    </row>
    <row r="84" spans="1:17" ht="22.5" customHeight="1">
      <c r="A84" s="16" t="s">
        <v>59</v>
      </c>
      <c r="B84" s="17">
        <v>44350</v>
      </c>
      <c r="C84" s="37">
        <v>18.484999999999999</v>
      </c>
      <c r="D84" s="37">
        <v>18.5</v>
      </c>
      <c r="E84" s="19" cm="1">
        <f t="array" ref="E84">IF(D84="","",D84-C84)</f>
        <v>1.5000000000000568E-2</v>
      </c>
      <c r="F84" s="20" cm="1">
        <f t="array" ref="F84">IF(D84=0,"",(D84-C84)/C84)</f>
        <v>8.1146875845283036E-4</v>
      </c>
      <c r="G84" s="21">
        <v>373.27699999999999</v>
      </c>
      <c r="H84" s="22">
        <v>1</v>
      </c>
      <c r="I84" s="23" cm="1">
        <f t="array" ref="I84">IF(D84="","",(G84*C84)*0.00075)</f>
        <v>5.1750190087499996</v>
      </c>
      <c r="J84" s="23" cm="1">
        <f t="array" ref="J84">IF(D84="","",(G84*D84)*0.00075)</f>
        <v>5.1792183749999996</v>
      </c>
      <c r="K84" s="24" cm="1">
        <f t="array" ref="K84">IF(D84="","",J84+I84)</f>
        <v>10.35423738375</v>
      </c>
      <c r="L84" s="24" cm="1">
        <f t="array" ref="L84">IF(D84=0,0,(D84-C84)*G84)</f>
        <v>5.5991550000002119</v>
      </c>
      <c r="M84" s="25">
        <v>6889.2469716249998</v>
      </c>
      <c r="N84" s="26" cm="1">
        <f t="array" ref="N84">IFERROR((K84-J84)/J84,"–")</f>
        <v>0.99918918918918942</v>
      </c>
      <c r="O84" s="24" cm="1">
        <f t="array" ref="O84">IF(D84=0,0,L84-K84)</f>
        <v>-4.7550823837497882</v>
      </c>
      <c r="P84" s="23"/>
      <c r="Q84" s="27"/>
    </row>
    <row r="85" spans="1:17" ht="22.5" customHeight="1">
      <c r="A85" s="16" t="s">
        <v>59</v>
      </c>
      <c r="B85" s="28">
        <v>44350</v>
      </c>
      <c r="C85" s="36">
        <v>17.87</v>
      </c>
      <c r="D85" s="36">
        <v>17.7</v>
      </c>
      <c r="E85" s="30" cm="1">
        <f t="array" ref="E85">IF(D85="","",D85-C85)</f>
        <v>-0.17000000000000171</v>
      </c>
      <c r="F85" s="31" cm="1">
        <f t="array" ref="F85">IF(D85=0,"",(D85-C85)/C85)</f>
        <v>-9.5131505316173297E-3</v>
      </c>
      <c r="G85" s="32">
        <v>98.021000000000001</v>
      </c>
      <c r="H85" s="10">
        <v>1</v>
      </c>
      <c r="I85" s="11" cm="1">
        <f t="array" ref="I85">IF(D85="","",(G85*C85)*0.00075)</f>
        <v>1.3137264525000001</v>
      </c>
      <c r="J85" s="11" cm="1">
        <f t="array" ref="J85">IF(D85="","",(G85*D85)*0.00075)</f>
        <v>1.301228775</v>
      </c>
      <c r="K85" s="33" cm="1">
        <f t="array" ref="K85">IF(D85="","",J85+I85)</f>
        <v>2.6149552275000003</v>
      </c>
      <c r="L85" s="33" cm="1">
        <f t="array" ref="L85">IF(D85=0,0,(D85-C85)*G85)</f>
        <v>-16.663570000000167</v>
      </c>
      <c r="M85" s="12">
        <v>1766.9976112249999</v>
      </c>
      <c r="N85" s="34" cm="1">
        <f t="array" ref="N85">IFERROR((K85-J85)/J85,"–")</f>
        <v>1.0096045197740116</v>
      </c>
      <c r="O85" s="33" cm="1">
        <f t="array" ref="O85">IF(D85=0,0,L85-K85)</f>
        <v>-19.278525227500168</v>
      </c>
      <c r="P85" s="11"/>
      <c r="Q85" s="35"/>
    </row>
    <row r="86" spans="1:17" ht="22.5" customHeight="1">
      <c r="A86" s="7"/>
      <c r="B86" s="40"/>
      <c r="C86" s="37">
        <v>18.87</v>
      </c>
      <c r="D86" s="37">
        <v>17.7</v>
      </c>
      <c r="E86" s="19" cm="1">
        <f t="array" ref="E86">IF(D86="","",D86-C86)</f>
        <v>-1.1700000000000017</v>
      </c>
      <c r="F86" s="20" cm="1">
        <f t="array" ref="F86">IF(D86=0,"",(D86-C86)/C86)</f>
        <v>-6.2003179650238563E-2</v>
      </c>
      <c r="G86" s="21">
        <v>139.245</v>
      </c>
      <c r="H86" s="22">
        <v>1</v>
      </c>
      <c r="I86" s="23" cm="1">
        <f t="array" ref="I86">IF(D86="","",(G86*C86)*0.00075)</f>
        <v>1.9706648625000003</v>
      </c>
      <c r="J86" s="23" cm="1">
        <f t="array" ref="J86">IF(D86="","",(G86*D86)*0.00075)</f>
        <v>1.8484773750000001</v>
      </c>
      <c r="K86" s="24" cm="1">
        <f t="array" ref="K86">IF(D86="","",J86+I86)</f>
        <v>3.8191422375000004</v>
      </c>
      <c r="L86" s="24" cm="1">
        <f t="array" ref="L86">IF(D86=0,0,(D86-C86)*G86)</f>
        <v>-162.91665000000023</v>
      </c>
      <c r="M86" s="25">
        <v>2788.6213226250002</v>
      </c>
      <c r="N86" s="26" cm="1">
        <f t="array" ref="N86">IFERROR((K86-J86)/J86,"–")</f>
        <v>1.0661016949152544</v>
      </c>
      <c r="O86" s="24" cm="1">
        <f t="array" ref="O86">IF(D86=0,0,L86-K86)</f>
        <v>-166.73579223750022</v>
      </c>
      <c r="P86" s="40"/>
      <c r="Q86" s="41"/>
    </row>
    <row r="87" spans="1:17" ht="22.5" customHeight="1">
      <c r="A87" s="16" t="s">
        <v>60</v>
      </c>
      <c r="B87" s="28">
        <v>44354</v>
      </c>
      <c r="C87" s="36">
        <v>1.2169000000000001</v>
      </c>
      <c r="D87" s="36">
        <v>1.2450000000000001</v>
      </c>
      <c r="E87" s="30" cm="1">
        <f t="array" ref="E87">IF(D87="","",D87-C87)</f>
        <v>2.8100000000000014E-2</v>
      </c>
      <c r="F87" s="31" cm="1">
        <f t="array" ref="F87">IF(D87=0,"",(D87-C87)/C87)</f>
        <v>2.3091461911414261E-2</v>
      </c>
      <c r="G87" s="32">
        <v>4437.84</v>
      </c>
      <c r="H87" s="10">
        <v>1</v>
      </c>
      <c r="I87" s="11" cm="1">
        <f t="array" ref="I87">IF(D87="","",(G87*C87)*0.00075)</f>
        <v>4.0503056220000007</v>
      </c>
      <c r="J87" s="11" cm="1">
        <f t="array" ref="J87">IF(D87="","",(G87*D87)*0.00075)</f>
        <v>4.1438331000000002</v>
      </c>
      <c r="K87" s="33" cm="1">
        <f t="array" ref="K87">IF(D87="","",J87+I87)</f>
        <v>8.1941387220000017</v>
      </c>
      <c r="L87" s="33" cm="1">
        <f t="array" ref="L87">IF(D87=0,0,(D87-C87)*G87)</f>
        <v>124.70330400000006</v>
      </c>
      <c r="M87" s="12">
        <v>5271.5603589000002</v>
      </c>
      <c r="N87" s="34" cm="1">
        <f t="array" ref="N87">IFERROR((K87-J87)/J87,"–")</f>
        <v>0.97742971887550234</v>
      </c>
      <c r="O87" s="33" cm="1">
        <f t="array" ref="O87">IF(D87=0,0,L87-K87)</f>
        <v>116.50916527800005</v>
      </c>
      <c r="P87" s="11"/>
      <c r="Q87" s="35"/>
    </row>
    <row r="88" spans="1:17" ht="22.5" customHeight="1">
      <c r="A88" s="16" t="s">
        <v>60</v>
      </c>
      <c r="B88" s="17">
        <v>44354</v>
      </c>
      <c r="C88" s="37">
        <v>1.2169000000000001</v>
      </c>
      <c r="D88" s="37">
        <v>1.2573000000000001</v>
      </c>
      <c r="E88" s="19" cm="1">
        <f t="array" ref="E88">IF(D88="","",D88-C88)</f>
        <v>4.0399999999999991E-2</v>
      </c>
      <c r="F88" s="20" cm="1">
        <f t="array" ref="F88">IF(D88=0,"",(D88-C88)/C88)</f>
        <v>3.319911249897279E-2</v>
      </c>
      <c r="G88" s="21">
        <v>4437.8500000000004</v>
      </c>
      <c r="H88" s="22">
        <v>1</v>
      </c>
      <c r="I88" s="23" cm="1">
        <f t="array" ref="I88">IF(D88="","",(G88*C88)*0.00075)</f>
        <v>4.0503147487500009</v>
      </c>
      <c r="J88" s="23" cm="1">
        <f t="array" ref="J88">IF(D88="","",(G88*D88)*0.00075)</f>
        <v>4.1847816037500012</v>
      </c>
      <c r="K88" s="24" cm="1">
        <f t="array" ref="K88">IF(D88="","",J88+I88)</f>
        <v>8.2350963525000012</v>
      </c>
      <c r="L88" s="24" cm="1">
        <f t="array" ref="L88">IF(D88=0,0,(D88-C88)*G88)</f>
        <v>179.28913999999997</v>
      </c>
      <c r="M88" s="25">
        <v>5216.9457433962498</v>
      </c>
      <c r="N88" s="26" cm="1">
        <f t="array" ref="N88">IFERROR((K88-J88)/J88,"–")</f>
        <v>0.9678676529070227</v>
      </c>
      <c r="O88" s="24" cm="1">
        <f t="array" ref="O88">IF(D88=0,0,L88-K88)</f>
        <v>171.05404364749998</v>
      </c>
      <c r="P88" s="23"/>
      <c r="Q88" s="27"/>
    </row>
    <row r="89" spans="1:17" ht="22.5" customHeight="1">
      <c r="A89" s="16" t="s">
        <v>58</v>
      </c>
      <c r="B89" s="28">
        <v>44354</v>
      </c>
      <c r="C89" s="36">
        <v>0.9425</v>
      </c>
      <c r="D89" s="36">
        <v>0.94510000000000005</v>
      </c>
      <c r="E89" s="30" cm="1">
        <f t="array" ref="E89">IF(D89="","",D89-C89)</f>
        <v>2.6000000000000467E-3</v>
      </c>
      <c r="F89" s="31" cm="1">
        <f t="array" ref="F89">IF(D89=0,"",(D89-C89)/C89)</f>
        <v>2.7586206896552221E-3</v>
      </c>
      <c r="G89" s="32">
        <v>3780</v>
      </c>
      <c r="H89" s="10">
        <v>1</v>
      </c>
      <c r="I89" s="11" cm="1">
        <f t="array" ref="I89">IF(D89="","",(G89*C89)*0.00075)</f>
        <v>2.6719875000000002</v>
      </c>
      <c r="J89" s="11" cm="1">
        <f t="array" ref="J89">IF(D89="","",(G89*D89)*0.00075)</f>
        <v>2.6793585000000002</v>
      </c>
      <c r="K89" s="33" cm="1">
        <f t="array" ref="K89">IF(D89="","",J89+I89)</f>
        <v>5.3513460000000004</v>
      </c>
      <c r="L89" s="33" cm="1">
        <f t="array" ref="L89">IF(D89=0,0,(D89-C89)*G89)</f>
        <v>9.828000000000177</v>
      </c>
      <c r="M89" s="12">
        <v>3550.1426415000001</v>
      </c>
      <c r="N89" s="34" cm="1">
        <f t="array" ref="N89">IFERROR((K89-J89)/J89,"–")</f>
        <v>0.99724896836313615</v>
      </c>
      <c r="O89" s="33" cm="1">
        <f t="array" ref="O89">IF(D89=0,0,L89-K89)</f>
        <v>4.4766540000001767</v>
      </c>
      <c r="P89" s="11"/>
      <c r="Q89" s="35"/>
    </row>
    <row r="90" spans="1:17" ht="22.5" customHeight="1">
      <c r="A90" s="16" t="s">
        <v>34</v>
      </c>
      <c r="B90" s="17">
        <v>44354</v>
      </c>
      <c r="C90" s="37">
        <v>0.27300000000000002</v>
      </c>
      <c r="D90" s="37">
        <v>0.26802999999999999</v>
      </c>
      <c r="E90" s="19" cm="1">
        <f t="array" ref="E90">IF(D90="","",D90-C90)</f>
        <v>-4.9700000000000299E-3</v>
      </c>
      <c r="F90" s="20" cm="1">
        <f t="array" ref="F90">IF(D90=0,"",(D90-C90)/C90)</f>
        <v>-1.8205128205128315E-2</v>
      </c>
      <c r="G90" s="21">
        <v>2022</v>
      </c>
      <c r="H90" s="22">
        <v>1</v>
      </c>
      <c r="I90" s="23" cm="1">
        <f t="array" ref="I90">IF(D90="","",(G90*C90)*0.00075)</f>
        <v>0.41400450000000005</v>
      </c>
      <c r="J90" s="23" cm="1">
        <f t="array" ref="J90">IF(D90="","",(G90*D90)*0.00075)</f>
        <v>0.40646749499999996</v>
      </c>
      <c r="K90" s="24" cm="1">
        <f t="array" ref="K90">IF(D90="","",J90+I90)</f>
        <v>0.82047199500000001</v>
      </c>
      <c r="L90" s="24" cm="1">
        <f t="array" ref="L90">IF(D90=0,0,(D90-C90)*G90)</f>
        <v>-10.049340000000061</v>
      </c>
      <c r="M90" s="25">
        <v>561.64887250499999</v>
      </c>
      <c r="N90" s="26" cm="1">
        <f t="array" ref="N90">IFERROR((K90-J90)/J90,"–")</f>
        <v>1.0185427004439804</v>
      </c>
      <c r="O90" s="24" cm="1">
        <f t="array" ref="O90">IF(D90=0,0,L90-K90)</f>
        <v>-10.869811995000061</v>
      </c>
      <c r="P90" s="23"/>
      <c r="Q90" s="27"/>
    </row>
    <row r="91" spans="1:17" ht="22.5" customHeight="1">
      <c r="A91" s="16" t="s">
        <v>61</v>
      </c>
      <c r="B91" s="28">
        <v>44356</v>
      </c>
      <c r="C91" s="36">
        <v>368.97</v>
      </c>
      <c r="D91" s="36">
        <v>366.3</v>
      </c>
      <c r="E91" s="30" cm="1">
        <f t="array" ref="E91">IF(D91="","",D91-C91)</f>
        <v>-2.6700000000000159</v>
      </c>
      <c r="F91" s="31" cm="1">
        <f t="array" ref="F91">IF(D91=0,"",(D91-C91)/C91)</f>
        <v>-7.2363606797301019E-3</v>
      </c>
      <c r="G91" s="32">
        <v>14.22932</v>
      </c>
      <c r="H91" s="10">
        <v>1</v>
      </c>
      <c r="I91" s="11" cm="1">
        <f t="array" ref="I91">IF(D91="","",(G91*C91)*0.00075)</f>
        <v>3.9376441503000001</v>
      </c>
      <c r="J91" s="11" cm="1">
        <f t="array" ref="J91">IF(D91="","",(G91*D91)*0.00075)</f>
        <v>3.9091499369999996</v>
      </c>
      <c r="K91" s="33" cm="1">
        <f t="array" ref="K91">IF(D91="","",J91+I91)</f>
        <v>7.8467940872999993</v>
      </c>
      <c r="L91" s="33" cm="1">
        <f t="array" ref="L91">IF(D91=0,0,(D91-C91)*G91)</f>
        <v>-37.992284400000223</v>
      </c>
      <c r="M91" s="12">
        <v>5284.2753348630004</v>
      </c>
      <c r="N91" s="34" cm="1">
        <f t="array" ref="N91">IFERROR((K91-J91)/J91,"–")</f>
        <v>1.0072891072891073</v>
      </c>
      <c r="O91" s="33" cm="1">
        <f t="array" ref="O91">IF(D91=0,0,L91-K91)</f>
        <v>-45.83907848730022</v>
      </c>
      <c r="P91" s="11"/>
      <c r="Q91" s="35"/>
    </row>
    <row r="92" spans="1:17" ht="22.5" customHeight="1">
      <c r="A92" s="16" t="s">
        <v>62</v>
      </c>
      <c r="B92" s="17">
        <v>44356</v>
      </c>
      <c r="C92" s="37">
        <v>0.21990000000000001</v>
      </c>
      <c r="D92" s="37">
        <v>0.22309999999999999</v>
      </c>
      <c r="E92" s="19" cm="1">
        <f t="array" ref="E92">IF(D92="","",D92-C92)</f>
        <v>3.1999999999999806E-3</v>
      </c>
      <c r="F92" s="20" cm="1">
        <f t="array" ref="F92">IF(D92=0,"",(D92-C92)/C92)</f>
        <v>1.4552069122328242E-2</v>
      </c>
      <c r="G92" s="21">
        <v>30705.360000000001</v>
      </c>
      <c r="H92" s="22">
        <v>1</v>
      </c>
      <c r="I92" s="23" cm="1">
        <f t="array" ref="I92">IF(D92="","",(G92*C92)*0.00075)</f>
        <v>5.0640814980000002</v>
      </c>
      <c r="J92" s="23" cm="1">
        <f t="array" ref="J92">IF(D92="","",(G92*D92)*0.00075)</f>
        <v>5.137774362</v>
      </c>
      <c r="K92" s="24" cm="1">
        <f t="array" ref="K92">IF(D92="","",J92+I92)</f>
        <v>10.20185586</v>
      </c>
      <c r="L92" s="24" cm="1">
        <f t="array" ref="L92">IF(D92=0,0,(D92-C92)*G92)</f>
        <v>98.257151999999408</v>
      </c>
      <c r="M92" s="25">
        <v>6648.7137376379997</v>
      </c>
      <c r="N92" s="26" cm="1">
        <f t="array" ref="N92">IFERROR((K92-J92)/J92,"–")</f>
        <v>0.98565665620797849</v>
      </c>
      <c r="O92" s="24" cm="1">
        <f t="array" ref="O92">IF(D92=0,0,L92-K92)</f>
        <v>88.055296139999413</v>
      </c>
      <c r="P92" s="23"/>
      <c r="Q92" s="27"/>
    </row>
    <row r="93" spans="1:17" ht="22.5" customHeight="1">
      <c r="A93" s="16" t="s">
        <v>63</v>
      </c>
      <c r="B93" s="28">
        <v>44356</v>
      </c>
      <c r="C93" s="36">
        <v>0.19386999999999999</v>
      </c>
      <c r="D93" s="36">
        <v>0.19894999999999999</v>
      </c>
      <c r="E93" s="30" cm="1">
        <f t="array" ref="E93">IF(D93="","",D93-C93)</f>
        <v>5.0800000000000012E-3</v>
      </c>
      <c r="F93" s="31" cm="1">
        <f t="array" ref="F93">IF(D93=0,"",(D93-C93)/C93)</f>
        <v>2.6203125805952451E-2</v>
      </c>
      <c r="G93" s="32">
        <v>14673.9</v>
      </c>
      <c r="H93" s="10">
        <v>1</v>
      </c>
      <c r="I93" s="11" cm="1">
        <f t="array" ref="I93">IF(D93="","",(G93*C93)*0.00075)</f>
        <v>2.1336217447499997</v>
      </c>
      <c r="J93" s="11" cm="1">
        <f t="array" ref="J93">IF(D93="","",(G93*D93)*0.00075)</f>
        <v>2.1895293037499997</v>
      </c>
      <c r="K93" s="33" cm="1">
        <f t="array" ref="K93">IF(D93="","",J93+I93)</f>
        <v>4.3231510484999998</v>
      </c>
      <c r="L93" s="33" cm="1">
        <f t="array" ref="L93">IF(D93=0,0,(D93-C93)*G93)</f>
        <v>74.543412000000018</v>
      </c>
      <c r="M93" s="12">
        <v>2768.09605169625</v>
      </c>
      <c r="N93" s="34" cm="1">
        <f t="array" ref="N93">IFERROR((K93-J93)/J93,"–")</f>
        <v>0.97446594621764282</v>
      </c>
      <c r="O93" s="33" cm="1">
        <f t="array" ref="O93">IF(D93=0,0,L93-K93)</f>
        <v>70.220260951500023</v>
      </c>
      <c r="P93" s="11"/>
      <c r="Q93" s="35"/>
    </row>
    <row r="94" spans="1:17" ht="22.5" customHeight="1">
      <c r="A94" s="16" t="s">
        <v>63</v>
      </c>
      <c r="B94" s="17">
        <v>44356</v>
      </c>
      <c r="C94" s="37">
        <v>0.19386999999999999</v>
      </c>
      <c r="D94" s="37">
        <v>0.19999</v>
      </c>
      <c r="E94" s="19" cm="1">
        <f t="array" ref="E94">IF(D94="","",D94-C94)</f>
        <v>6.1200000000000143E-3</v>
      </c>
      <c r="F94" s="20" cm="1">
        <f t="array" ref="F94">IF(D94=0,"",(D94-C94)/C94)</f>
        <v>3.1567545262289241E-2</v>
      </c>
      <c r="G94" s="21">
        <v>11189.6</v>
      </c>
      <c r="H94" s="22">
        <v>1</v>
      </c>
      <c r="I94" s="23" cm="1">
        <f t="array" ref="I94">IF(D94="","",(G94*C94)*0.00075)</f>
        <v>1.626995814</v>
      </c>
      <c r="J94" s="23" cm="1">
        <f t="array" ref="J94">IF(D94="","",(G94*D94)*0.00075)</f>
        <v>1.6783560780000002</v>
      </c>
      <c r="K94" s="24" cm="1">
        <f t="array" ref="K94">IF(D94="","",J94+I94)</f>
        <v>3.305351892</v>
      </c>
      <c r="L94" s="24" cm="1">
        <f t="array" ref="L94">IF(D94=0,0,(D94-C94)*G94)</f>
        <v>68.480352000000167</v>
      </c>
      <c r="M94" s="25">
        <v>2099.1690439220001</v>
      </c>
      <c r="N94" s="26" cm="1">
        <f t="array" ref="N94">IFERROR((K94-J94)/J94,"–")</f>
        <v>0.96939846992349599</v>
      </c>
      <c r="O94" s="24" cm="1">
        <f t="array" ref="O94">IF(D94=0,0,L94-K94)</f>
        <v>65.175000108000162</v>
      </c>
      <c r="P94" s="23"/>
      <c r="Q94" s="27"/>
    </row>
    <row r="95" spans="1:17" ht="22.5" customHeight="1">
      <c r="A95" s="16" t="s">
        <v>63</v>
      </c>
      <c r="B95" s="28">
        <v>44356</v>
      </c>
      <c r="C95" s="36">
        <v>0.19386999999999999</v>
      </c>
      <c r="D95" s="36">
        <v>0.20194999999999999</v>
      </c>
      <c r="E95" s="30" cm="1">
        <f t="array" ref="E95">IF(D95="","",D95-C95)</f>
        <v>8.0800000000000038E-3</v>
      </c>
      <c r="F95" s="31" cm="1">
        <f t="array" ref="F95">IF(D95=0,"",(D95-C95)/C95)</f>
        <v>4.1677412699231468E-2</v>
      </c>
      <c r="G95" s="32">
        <v>1839.1</v>
      </c>
      <c r="H95" s="10">
        <v>1</v>
      </c>
      <c r="I95" s="11" cm="1">
        <f t="array" ref="I95">IF(D95="","",(G95*C95)*0.00075)</f>
        <v>0.26740973774999993</v>
      </c>
      <c r="J95" s="11" cm="1">
        <f t="array" ref="J95">IF(D95="","",(G95*D95)*0.00075)</f>
        <v>0.27855468374999998</v>
      </c>
      <c r="K95" s="33" cm="1">
        <f t="array" ref="K95">IF(D95="","",J95+I95)</f>
        <v>0.54596442149999991</v>
      </c>
      <c r="L95" s="33" cm="1">
        <f t="array" ref="L95">IF(D95=0,0,(D95-C95)*G95)</f>
        <v>14.859928000000007</v>
      </c>
      <c r="M95" s="12">
        <v>341.40783431624999</v>
      </c>
      <c r="N95" s="34" cm="1">
        <f t="array" ref="N95">IFERROR((K95-J95)/J95,"–")</f>
        <v>0.95999009655855394</v>
      </c>
      <c r="O95" s="33" cm="1">
        <f t="array" ref="O95">IF(D95=0,0,L95-K95)</f>
        <v>14.313963578500008</v>
      </c>
      <c r="P95" s="11"/>
      <c r="Q95" s="35"/>
    </row>
    <row r="96" spans="1:17" ht="22.5" customHeight="1">
      <c r="A96" s="16" t="s">
        <v>63</v>
      </c>
      <c r="B96" s="17">
        <v>44356</v>
      </c>
      <c r="C96" s="37">
        <v>0.19386999999999999</v>
      </c>
      <c r="D96" s="37">
        <v>0.20291999999999999</v>
      </c>
      <c r="E96" s="19" cm="1">
        <f t="array" ref="E96">IF(D96="","",D96-C96)</f>
        <v>9.0500000000000025E-3</v>
      </c>
      <c r="F96" s="20" cm="1">
        <f t="array" ref="F96">IF(D96=0,"",(D96-C96)/C96)</f>
        <v>4.6680765461391667E-2</v>
      </c>
      <c r="G96" s="21">
        <v>53</v>
      </c>
      <c r="H96" s="22">
        <v>1</v>
      </c>
      <c r="I96" s="23" cm="1">
        <f t="array" ref="I96">IF(D96="","",(G96*C96)*0.00075)</f>
        <v>7.7063325000000004E-3</v>
      </c>
      <c r="J96" s="23" cm="1">
        <f t="array" ref="J96">IF(D96="","",(G96*D96)*0.00075)</f>
        <v>8.0660699999999998E-3</v>
      </c>
      <c r="K96" s="24" cm="1">
        <f t="array" ref="K96">IF(D96="","",J96+I96)</f>
        <v>1.5772402500000001E-2</v>
      </c>
      <c r="L96" s="24" cm="1">
        <f t="array" ref="L96">IF(D96=0,0,(D96-C96)*G96)</f>
        <v>0.47965000000000013</v>
      </c>
      <c r="M96" s="25">
        <v>9.7873939300000004</v>
      </c>
      <c r="N96" s="26" cm="1">
        <f t="array" ref="N96">IFERROR((K96-J96)/J96,"–")</f>
        <v>0.95540114330770765</v>
      </c>
      <c r="O96" s="24" cm="1">
        <f t="array" ref="O96">IF(D96=0,0,L96-K96)</f>
        <v>0.46387759750000013</v>
      </c>
      <c r="P96" s="23"/>
      <c r="Q96" s="27"/>
    </row>
    <row r="97" spans="1:17" ht="22.5" customHeight="1">
      <c r="A97" s="16" t="s">
        <v>63</v>
      </c>
      <c r="B97" s="28">
        <v>44356</v>
      </c>
      <c r="C97" s="36">
        <v>0.19386999999999999</v>
      </c>
      <c r="D97" s="36">
        <v>0.19702</v>
      </c>
      <c r="E97" s="30" cm="1">
        <f t="array" ref="E97">IF(D97="","",D97-C97)</f>
        <v>3.1500000000000139E-3</v>
      </c>
      <c r="F97" s="31" cm="1">
        <f t="array" ref="F97">IF(D97=0,"",(D97-C97)/C97)</f>
        <v>1.6248001237943024E-2</v>
      </c>
      <c r="G97" s="32">
        <v>31304.799999999999</v>
      </c>
      <c r="H97" s="10">
        <v>1</v>
      </c>
      <c r="I97" s="11" cm="1">
        <f t="array" ref="I97">IF(D97="","",(G97*C97)*0.00075)</f>
        <v>4.5517961819999995</v>
      </c>
      <c r="J97" s="11" cm="1">
        <f t="array" ref="J97">IF(D97="","",(G97*D97)*0.00075)</f>
        <v>4.6257537719999995</v>
      </c>
      <c r="K97" s="33" cm="1">
        <f t="array" ref="K97">IF(D97="","",J97+I97)</f>
        <v>9.1775499539999998</v>
      </c>
      <c r="L97" s="33" cm="1">
        <f t="array" ref="L97">IF(D97=0,0,(D97-C97)*G97)</f>
        <v>98.610120000000435</v>
      </c>
      <c r="M97" s="12">
        <v>5965.8257022280004</v>
      </c>
      <c r="N97" s="34" cm="1">
        <f t="array" ref="N97">IFERROR((K97-J97)/J97,"–")</f>
        <v>0.98401177545426877</v>
      </c>
      <c r="O97" s="33" cm="1">
        <f t="array" ref="O97">IF(D97=0,0,L97-K97)</f>
        <v>89.432570046000436</v>
      </c>
      <c r="P97" s="11"/>
      <c r="Q97" s="35"/>
    </row>
    <row r="98" spans="1:17" ht="22.5" customHeight="1">
      <c r="A98" s="16" t="s">
        <v>58</v>
      </c>
      <c r="B98" s="17">
        <v>44356</v>
      </c>
      <c r="C98" s="37">
        <v>0.88600000000000001</v>
      </c>
      <c r="D98" s="37">
        <v>0.88900000000000001</v>
      </c>
      <c r="E98" s="19" cm="1">
        <f t="array" ref="E98">IF(D98="","",D98-C98)</f>
        <v>3.0000000000000027E-3</v>
      </c>
      <c r="F98" s="20" cm="1">
        <f t="array" ref="F98">IF(D98=0,"",(D98-C98)/C98)</f>
        <v>3.3860045146726892E-3</v>
      </c>
      <c r="G98" s="21">
        <v>3780</v>
      </c>
      <c r="H98" s="22">
        <v>1</v>
      </c>
      <c r="I98" s="23" cm="1">
        <f t="array" ref="I98">IF(D98="","",(G98*C98)*0.00075)</f>
        <v>2.5118100000000001</v>
      </c>
      <c r="J98" s="23" cm="1">
        <f t="array" ref="J98">IF(D98="","",(G98*D98)*0.00075)</f>
        <v>2.5203150000000001</v>
      </c>
      <c r="K98" s="24" cm="1">
        <f t="array" ref="K98">IF(D98="","",J98+I98)</f>
        <v>5.0321250000000006</v>
      </c>
      <c r="L98" s="24" cm="1">
        <f t="array" ref="L98">IF(D98=0,0,(D98-C98)*G98)</f>
        <v>11.340000000000011</v>
      </c>
      <c r="M98" s="25">
        <v>3335.219685</v>
      </c>
      <c r="N98" s="26" cm="1">
        <f t="array" ref="N98">IFERROR((K98-J98)/J98,"–")</f>
        <v>0.99662542182227243</v>
      </c>
      <c r="O98" s="24" cm="1">
        <f t="array" ref="O98">IF(D98=0,0,L98-K98)</f>
        <v>6.3078750000000099</v>
      </c>
      <c r="P98" s="23"/>
      <c r="Q98" s="27"/>
    </row>
    <row r="99" spans="1:17" ht="22.5" customHeight="1">
      <c r="A99" s="16" t="s">
        <v>34</v>
      </c>
      <c r="B99" s="28">
        <v>44356</v>
      </c>
      <c r="C99" s="36">
        <v>0.24</v>
      </c>
      <c r="D99" s="36">
        <v>0.2427</v>
      </c>
      <c r="E99" s="30" cm="1">
        <f t="array" ref="E99">IF(D99="","",D99-C99)</f>
        <v>2.7000000000000079E-3</v>
      </c>
      <c r="F99" s="31" cm="1">
        <f t="array" ref="F99">IF(D99=0,"",(D99-C99)/C99)</f>
        <v>1.1250000000000034E-2</v>
      </c>
      <c r="G99" s="32">
        <v>2022</v>
      </c>
      <c r="H99" s="10">
        <v>1</v>
      </c>
      <c r="I99" s="11" cm="1">
        <f t="array" ref="I99">IF(D99="","",(G99*C99)*0.00075)</f>
        <v>0.36396000000000001</v>
      </c>
      <c r="J99" s="11" cm="1">
        <f t="array" ref="J99">IF(D99="","",(G99*D99)*0.00075)</f>
        <v>0.36805454999999998</v>
      </c>
      <c r="K99" s="33" cm="1">
        <f t="array" ref="K99">IF(D99="","",J99+I99)</f>
        <v>0.73201454999999993</v>
      </c>
      <c r="L99" s="33" cm="1">
        <f t="array" ref="L99">IF(D99=0,0,(D99-C99)*G99)</f>
        <v>5.4594000000000165</v>
      </c>
      <c r="M99" s="12">
        <v>479.45254545</v>
      </c>
      <c r="N99" s="34" cm="1">
        <f t="array" ref="N99">IFERROR((K99-J99)/J99,"–")</f>
        <v>0.98887515451174279</v>
      </c>
      <c r="O99" s="33" cm="1">
        <f t="array" ref="O99">IF(D99=0,0,L99-K99)</f>
        <v>4.7273854500000168</v>
      </c>
      <c r="P99" s="11"/>
      <c r="Q99" s="35"/>
    </row>
    <row r="100" spans="1:17" ht="22.5" customHeight="1">
      <c r="A100" s="16" t="s">
        <v>30</v>
      </c>
      <c r="B100" s="43">
        <v>44357</v>
      </c>
      <c r="C100" s="37">
        <v>36800</v>
      </c>
      <c r="D100" s="37">
        <v>36993.35</v>
      </c>
      <c r="E100" s="19" cm="1">
        <f t="array" ref="E100">IF(D100="","",D100-C100)</f>
        <v>193.34999999999854</v>
      </c>
      <c r="F100" s="20" cm="1">
        <f t="array" ref="F100">IF(D100=0,"",(D100-C100)/C100)</f>
        <v>5.2540760869564818E-3</v>
      </c>
      <c r="G100" s="21">
        <v>9.4914999999999999E-2</v>
      </c>
      <c r="H100" s="22">
        <v>1</v>
      </c>
      <c r="I100" s="23" cm="1">
        <f t="array" ref="I100">IF(D100="","",(G100*C100)*0.00075)</f>
        <v>2.6196540000000001</v>
      </c>
      <c r="J100" s="23" cm="1">
        <f t="array" ref="J100">IF(D100="","",(G100*D100)*0.00075)</f>
        <v>2.6334178614375001</v>
      </c>
      <c r="K100" s="24" cm="1">
        <f t="array" ref="K100">IF(D100="","",J100+I100)</f>
        <v>5.2530718614375003</v>
      </c>
      <c r="L100" s="24" cm="1">
        <f t="array" ref="L100">IF(D100=0,0,(D100-C100)*G100)</f>
        <v>18.351815249999863</v>
      </c>
      <c r="M100" s="25">
        <v>3471.88676688856</v>
      </c>
      <c r="N100" s="26" cm="1">
        <f t="array" ref="N100">IFERROR((K100-J100)/J100,"–")</f>
        <v>0.99477338494621337</v>
      </c>
      <c r="O100" s="24" cm="1">
        <f t="array" ref="O100">IF(D100=0,0,L100-K100)</f>
        <v>13.098743388562362</v>
      </c>
      <c r="P100" s="23"/>
      <c r="Q100" s="27"/>
    </row>
    <row r="101" spans="1:17" ht="22.5" customHeight="1">
      <c r="A101" s="16" t="s">
        <v>30</v>
      </c>
      <c r="B101" s="42">
        <v>44357</v>
      </c>
      <c r="C101" s="36">
        <v>36830</v>
      </c>
      <c r="D101" s="36">
        <v>36993.35</v>
      </c>
      <c r="E101" s="30" cm="1">
        <f t="array" ref="E101">IF(D101="","",D101-C101)</f>
        <v>163.34999999999854</v>
      </c>
      <c r="F101" s="31" cm="1">
        <f t="array" ref="F101">IF(D101=0,"",(D101-C101)/C101)</f>
        <v>4.4352430084170121E-3</v>
      </c>
      <c r="G101" s="32">
        <v>9.4840999999999995E-2</v>
      </c>
      <c r="H101" s="10">
        <v>1</v>
      </c>
      <c r="I101" s="11" cm="1">
        <f t="array" ref="I101">IF(D101="","",(G101*C101)*0.00075)</f>
        <v>2.6197455225000001</v>
      </c>
      <c r="J101" s="11" cm="1">
        <f t="array" ref="J101">IF(D101="","",(G101*D101)*0.00075)</f>
        <v>2.6313647305124999</v>
      </c>
      <c r="K101" s="33" cm="1">
        <f t="array" ref="K101">IF(D101="","",J101+I101)</f>
        <v>5.2511102530125005</v>
      </c>
      <c r="L101" s="33" cm="1">
        <f t="array" ref="L101">IF(D101=0,0,(D101-C101)*G101)</f>
        <v>15.492277349999862</v>
      </c>
      <c r="M101" s="12">
        <v>3474.87038791949</v>
      </c>
      <c r="N101" s="34" cm="1">
        <f t="array" ref="N101">IFERROR((K101-J101)/J101,"–")</f>
        <v>0.99558434151002839</v>
      </c>
      <c r="O101" s="33" cm="1">
        <f t="array" ref="O101">IF(D101=0,0,L101-K101)</f>
        <v>10.241167096987361</v>
      </c>
      <c r="P101" s="11"/>
      <c r="Q101" s="35"/>
    </row>
    <row r="102" spans="1:17" ht="22.5" customHeight="1">
      <c r="A102" s="16" t="s">
        <v>30</v>
      </c>
      <c r="B102" s="43">
        <v>44357</v>
      </c>
      <c r="C102" s="37">
        <v>36871.29</v>
      </c>
      <c r="D102" s="37">
        <v>36993.35</v>
      </c>
      <c r="E102" s="19" cm="1">
        <f t="array" ref="E102">IF(D102="","",D102-C102)</f>
        <v>122.05999999999767</v>
      </c>
      <c r="F102" s="20" cm="1">
        <f t="array" ref="F102">IF(D102=0,"",(D102-C102)/C102)</f>
        <v>3.3104347583173157E-3</v>
      </c>
      <c r="G102" s="21">
        <v>0.100927</v>
      </c>
      <c r="H102" s="22">
        <v>1</v>
      </c>
      <c r="I102" s="23" cm="1">
        <f t="array" ref="I102">IF(D102="","",(G102*C102)*0.00075)</f>
        <v>2.7909815143725001</v>
      </c>
      <c r="J102" s="23" cm="1">
        <f t="array" ref="J102">IF(D102="","",(G102*D102)*0.00075)</f>
        <v>2.8002208765874999</v>
      </c>
      <c r="K102" s="24" cm="1">
        <f t="array" ref="K102">IF(D102="","",J102+I102)</f>
        <v>5.5912023909599995</v>
      </c>
      <c r="L102" s="24" cm="1">
        <f t="array" ref="L102">IF(D102=0,0,(D102-C102)*G102)</f>
        <v>12.319149619999765</v>
      </c>
      <c r="M102" s="25">
        <v>3706.1893153334099</v>
      </c>
      <c r="N102" s="26" cm="1">
        <f t="array" ref="N102">IFERROR((K102-J102)/J102,"–")</f>
        <v>0.99670048806069189</v>
      </c>
      <c r="O102" s="24" cm="1">
        <f t="array" ref="O102">IF(D102=0,0,L102-K102)</f>
        <v>6.7279472290397653</v>
      </c>
      <c r="P102" s="23"/>
      <c r="Q102" s="27"/>
    </row>
    <row r="103" spans="1:17" ht="22.5" customHeight="1">
      <c r="A103" s="16" t="s">
        <v>58</v>
      </c>
      <c r="B103" s="42">
        <v>44357</v>
      </c>
      <c r="C103" s="36">
        <v>0.85699999999999998</v>
      </c>
      <c r="D103" s="36">
        <v>0.86119999999999997</v>
      </c>
      <c r="E103" s="30" cm="1">
        <f t="array" ref="E103">IF(D103="","",D103-C103)</f>
        <v>4.1999999999999815E-3</v>
      </c>
      <c r="F103" s="31" cm="1">
        <f t="array" ref="F103">IF(D103=0,"",(D103-C103)/C103)</f>
        <v>4.9008168028004456E-3</v>
      </c>
      <c r="G103" s="32">
        <v>3780</v>
      </c>
      <c r="H103" s="10">
        <v>1</v>
      </c>
      <c r="I103" s="11" cm="1">
        <f t="array" ref="I103">IF(D103="","",(G103*C103)*0.00075)</f>
        <v>2.4295949999999999</v>
      </c>
      <c r="J103" s="11" cm="1">
        <f t="array" ref="J103">IF(D103="","",(G103*D103)*0.00075)</f>
        <v>2.4415019999999998</v>
      </c>
      <c r="K103" s="33" cm="1">
        <f t="array" ref="K103">IF(D103="","",J103+I103)</f>
        <v>4.8710969999999998</v>
      </c>
      <c r="L103" s="33" cm="1">
        <f t="array" ref="L103">IF(D103=0,0,(D103-C103)*G103)</f>
        <v>15.87599999999993</v>
      </c>
      <c r="M103" s="12">
        <v>3221.1424980000002</v>
      </c>
      <c r="N103" s="34" cm="1">
        <f t="array" ref="N103">IFERROR((K103-J103)/J103,"–")</f>
        <v>0.99512308406874128</v>
      </c>
      <c r="O103" s="33" cm="1">
        <f t="array" ref="O103">IF(D103=0,0,L103-K103)</f>
        <v>11.004902999999931</v>
      </c>
      <c r="P103" s="11"/>
      <c r="Q103" s="35"/>
    </row>
    <row r="104" spans="1:17" ht="22.5" customHeight="1">
      <c r="A104" s="16" t="s">
        <v>34</v>
      </c>
      <c r="B104" s="43">
        <v>44357</v>
      </c>
      <c r="C104" s="37">
        <v>0.25819999999999999</v>
      </c>
      <c r="D104" s="37">
        <v>0.23100000000000001</v>
      </c>
      <c r="E104" s="19" cm="1">
        <f t="array" ref="E104">IF(D104="","",D104-C104)</f>
        <v>-2.7199999999999974E-2</v>
      </c>
      <c r="F104" s="20" cm="1">
        <f t="array" ref="F104">IF(D104=0,"",(D104-C104)/C104)</f>
        <v>-0.1053446940356312</v>
      </c>
      <c r="G104" s="21">
        <v>2022</v>
      </c>
      <c r="H104" s="22">
        <v>1</v>
      </c>
      <c r="I104" s="23" cm="1">
        <f t="array" ref="I104">IF(D104="","",(G104*C104)*0.00075)</f>
        <v>0.39156029999999997</v>
      </c>
      <c r="J104" s="23" cm="1">
        <f t="array" ref="J104">IF(D104="","",(G104*D104)*0.00075)</f>
        <v>0.3503115</v>
      </c>
      <c r="K104" s="24" cm="1">
        <f t="array" ref="K104">IF(D104="","",J104+I104)</f>
        <v>0.74187179999999997</v>
      </c>
      <c r="L104" s="24" cm="1">
        <f t="array" ref="L104">IF(D104=0,0,(D104-C104)*G104)</f>
        <v>-54.998399999999947</v>
      </c>
      <c r="M104" s="25">
        <v>576.72848850000003</v>
      </c>
      <c r="N104" s="26" cm="1">
        <f t="array" ref="N104">IFERROR((K104-J104)/J104,"–")</f>
        <v>1.1177489177489177</v>
      </c>
      <c r="O104" s="24" cm="1">
        <f t="array" ref="O104">IF(D104=0,0,L104-K104)</f>
        <v>-55.740271799999945</v>
      </c>
      <c r="P104" s="23"/>
      <c r="Q104" s="27"/>
    </row>
    <row r="105" spans="1:17" ht="22.5" customHeight="1">
      <c r="A105" s="16" t="s">
        <v>29</v>
      </c>
      <c r="B105" s="42">
        <v>44357</v>
      </c>
      <c r="C105" s="36">
        <v>10753</v>
      </c>
      <c r="D105" s="36">
        <v>11045</v>
      </c>
      <c r="E105" s="30" cm="1">
        <f t="array" ref="E105">IF(D105="","",D105-C105)</f>
        <v>292</v>
      </c>
      <c r="F105" s="31" cm="1">
        <f t="array" ref="F105">IF(D105=0,"",(D105-C105)/C105)</f>
        <v>2.7155212498837535E-2</v>
      </c>
      <c r="G105" s="32">
        <v>1</v>
      </c>
      <c r="H105" s="10">
        <v>1</v>
      </c>
      <c r="I105" s="11" cm="1">
        <f t="array" ref="I105">IF(D105="","",(G105*C105)*0.00075)</f>
        <v>8.0647500000000001</v>
      </c>
      <c r="J105" s="11" cm="1">
        <f t="array" ref="J105">IF(D105="","",(G105*D105)*0.00075)</f>
        <v>8.2837499999999995</v>
      </c>
      <c r="K105" s="33" cm="1">
        <f t="array" ref="K105">IF(D105="","",J105+I105)</f>
        <v>16.348500000000001</v>
      </c>
      <c r="L105" s="33" cm="1">
        <f t="array" ref="L105">IF(D105=0,0,(D105-C105)*G105)</f>
        <v>292</v>
      </c>
      <c r="M105" s="12">
        <v>10452.716249999999</v>
      </c>
      <c r="N105" s="34" cm="1">
        <f t="array" ref="N105">IFERROR((K105-J105)/J105,"–")</f>
        <v>0.97356269805341811</v>
      </c>
      <c r="O105" s="33" cm="1">
        <f t="array" ref="O105">IF(D105=0,0,L105-K105)</f>
        <v>275.6515</v>
      </c>
      <c r="P105" s="11"/>
      <c r="Q105" s="35"/>
    </row>
    <row r="106" spans="1:17" ht="22.5" customHeight="1">
      <c r="A106" s="16" t="s">
        <v>51</v>
      </c>
      <c r="B106" s="43">
        <v>44358</v>
      </c>
      <c r="C106" s="37">
        <v>1.88</v>
      </c>
      <c r="D106" s="37">
        <v>1.79</v>
      </c>
      <c r="E106" s="19" cm="1">
        <f t="array" ref="E106">IF(D106="","",D106-C106)</f>
        <v>-8.9999999999999858E-2</v>
      </c>
      <c r="F106" s="20" cm="1">
        <f t="array" ref="F106">IF(D106=0,"",(D106-C106)/C106)</f>
        <v>-4.7872340425531845E-2</v>
      </c>
      <c r="G106" s="21">
        <v>757.40200000000004</v>
      </c>
      <c r="H106" s="22">
        <v>1</v>
      </c>
      <c r="I106" s="23" cm="1">
        <f t="array" ref="I106">IF(D106="","",(G106*C106)*0.00075)</f>
        <v>1.0679368200000001</v>
      </c>
      <c r="J106" s="23" cm="1">
        <f t="array" ref="J106">IF(D106="","",(G106*D106)*0.00075)</f>
        <v>1.016812185</v>
      </c>
      <c r="K106" s="24" cm="1">
        <f t="array" ref="K106">IF(D106="","",J106+I106)</f>
        <v>2.0847490049999999</v>
      </c>
      <c r="L106" s="24" cm="1">
        <f t="array" ref="L106">IF(D106=0,0,(D106-C106)*G106)</f>
        <v>-68.166179999999898</v>
      </c>
      <c r="M106" s="25">
        <v>1491.0651278150001</v>
      </c>
      <c r="N106" s="26" cm="1">
        <f t="array" ref="N106">IFERROR((K106-J106)/J106,"–")</f>
        <v>1.0502793296089383</v>
      </c>
      <c r="O106" s="24" cm="1">
        <f t="array" ref="O106">IF(D106=0,0,L106-K106)</f>
        <v>-70.250929004999904</v>
      </c>
      <c r="P106" s="25"/>
      <c r="Q106" s="39"/>
    </row>
    <row r="107" spans="1:17" ht="22.5" customHeight="1">
      <c r="A107" s="16" t="s">
        <v>51</v>
      </c>
      <c r="B107" s="42">
        <v>44358</v>
      </c>
      <c r="C107" s="36">
        <v>1.88</v>
      </c>
      <c r="D107" s="36">
        <v>1.7849999999999999</v>
      </c>
      <c r="E107" s="30" cm="1">
        <f t="array" ref="E107">IF(D107="","",D107-C107)</f>
        <v>-9.4999999999999973E-2</v>
      </c>
      <c r="F107" s="31" cm="1">
        <f t="array" ref="F107">IF(D107=0,"",(D107-C107)/C107)</f>
        <v>-5.0531914893617011E-2</v>
      </c>
      <c r="G107" s="32">
        <v>306.42700000000002</v>
      </c>
      <c r="H107" s="10">
        <v>1</v>
      </c>
      <c r="I107" s="11" cm="1">
        <f t="array" ref="I107">IF(D107="","",(G107*C107)*0.00075)</f>
        <v>0.43206207000000002</v>
      </c>
      <c r="J107" s="11" cm="1">
        <f t="array" ref="J107">IF(D107="","",(G107*D107)*0.00075)</f>
        <v>0.41022914625000007</v>
      </c>
      <c r="K107" s="33" cm="1">
        <f t="array" ref="K107">IF(D107="","",J107+I107)</f>
        <v>0.84229121625000003</v>
      </c>
      <c r="L107" s="33" cm="1">
        <f t="array" ref="L107">IF(D107=0,0,(D107-C107)*G107)</f>
        <v>-29.110564999999994</v>
      </c>
      <c r="M107" s="12">
        <v>604.78309585374996</v>
      </c>
      <c r="N107" s="34" cm="1">
        <f t="array" ref="N107">IFERROR((K107-J107)/J107,"–")</f>
        <v>1.053221288515406</v>
      </c>
      <c r="O107" s="33" cm="1">
        <f t="array" ref="O107">IF(D107=0,0,L107-K107)</f>
        <v>-29.952856216249995</v>
      </c>
      <c r="P107" s="11"/>
      <c r="Q107" s="35"/>
    </row>
    <row r="108" spans="1:17" ht="22.5" customHeight="1">
      <c r="A108" s="16" t="s">
        <v>64</v>
      </c>
      <c r="B108" s="43">
        <v>44358</v>
      </c>
      <c r="C108" s="37">
        <v>0.32031999999999999</v>
      </c>
      <c r="D108" s="37">
        <v>0.30599999999999999</v>
      </c>
      <c r="E108" s="19" cm="1">
        <f t="array" ref="E108">IF(D108="","",D108-C108)</f>
        <v>-1.4319999999999999E-2</v>
      </c>
      <c r="F108" s="20" cm="1">
        <f t="array" ref="F108">IF(D108=0,"",(D108-C108)/C108)</f>
        <v>-4.4705294705294704E-2</v>
      </c>
      <c r="G108" s="21">
        <v>6240.2</v>
      </c>
      <c r="H108" s="22">
        <v>1</v>
      </c>
      <c r="I108" s="23" cm="1">
        <f t="array" ref="I108">IF(D108="","",(G108*C108)*0.00075)</f>
        <v>1.4991456480000001</v>
      </c>
      <c r="J108" s="23" cm="1">
        <f t="array" ref="J108">IF(D108="","",(G108*D108)*0.00075)</f>
        <v>1.4321259</v>
      </c>
      <c r="K108" s="24" cm="1">
        <f t="array" ref="K108">IF(D108="","",J108+I108)</f>
        <v>2.9312715479999998</v>
      </c>
      <c r="L108" s="24" cm="1">
        <f t="array" ref="L108">IF(D108=0,0,(D108-C108)*G108)</f>
        <v>-89.359663999999995</v>
      </c>
      <c r="M108" s="25">
        <v>2086.7884021</v>
      </c>
      <c r="N108" s="26" cm="1">
        <f t="array" ref="N108">IFERROR((K108-J108)/J108,"–")</f>
        <v>1.046797385620915</v>
      </c>
      <c r="O108" s="24" cm="1">
        <f t="array" ref="O108">IF(D108=0,0,L108-K108)</f>
        <v>-92.290935547999993</v>
      </c>
      <c r="P108" s="23"/>
      <c r="Q108" s="27"/>
    </row>
    <row r="109" spans="1:17" ht="22.5" customHeight="1">
      <c r="A109" s="16" t="s">
        <v>24</v>
      </c>
      <c r="B109" s="42">
        <v>44359</v>
      </c>
      <c r="C109" s="36">
        <v>3.09E-2</v>
      </c>
      <c r="D109" s="36">
        <v>3.1300000000000001E-2</v>
      </c>
      <c r="E109" s="30" cm="1">
        <f t="array" ref="E109">IF(D109="","",D109-C109)</f>
        <v>4.0000000000000105E-4</v>
      </c>
      <c r="F109" s="31" cm="1">
        <f t="array" ref="F109">IF(D109=0,"",(D109-C109)/C109)</f>
        <v>1.294498381877026E-2</v>
      </c>
      <c r="G109" s="32">
        <v>111823.63</v>
      </c>
      <c r="H109" s="10">
        <v>1</v>
      </c>
      <c r="I109" s="11" cm="1">
        <f t="array" ref="I109">IF(D109="","",(G109*C109)*0.00075)</f>
        <v>2.59151262525</v>
      </c>
      <c r="J109" s="11" cm="1">
        <f t="array" ref="J109">IF(D109="","",(G109*D109)*0.00075)</f>
        <v>2.6250597142500003</v>
      </c>
      <c r="K109" s="33" cm="1">
        <f t="array" ref="K109">IF(D109="","",J109+I109)</f>
        <v>5.2165723395000008</v>
      </c>
      <c r="L109" s="33" cm="1">
        <f t="array" ref="L109">IF(D109=0,0,(D109-C109)*G109)</f>
        <v>44.729452000000116</v>
      </c>
      <c r="M109" s="12">
        <v>3407.9956552857502</v>
      </c>
      <c r="N109" s="34" cm="1">
        <f t="array" ref="N109">IFERROR((K109-J109)/J109,"–")</f>
        <v>0.9872204472843451</v>
      </c>
      <c r="O109" s="33" cm="1">
        <f t="array" ref="O109">IF(D109=0,0,L109-K109)</f>
        <v>39.512879660500118</v>
      </c>
      <c r="P109" s="11"/>
      <c r="Q109" s="35"/>
    </row>
    <row r="110" spans="1:17" ht="22.5" customHeight="1">
      <c r="A110" s="16" t="s">
        <v>57</v>
      </c>
      <c r="B110" s="43">
        <v>44359</v>
      </c>
      <c r="C110" s="37">
        <v>1.6946000000000001</v>
      </c>
      <c r="D110" s="37">
        <v>1.7636000000000001</v>
      </c>
      <c r="E110" s="19" cm="1">
        <f t="array" ref="E110">IF(D110="","",D110-C110)</f>
        <v>6.899999999999995E-2</v>
      </c>
      <c r="F110" s="20" cm="1">
        <f t="array" ref="F110">IF(D110=0,"",(D110-C110)/C110)</f>
        <v>4.0717573468665141E-2</v>
      </c>
      <c r="G110" s="21">
        <v>3053.8290000000002</v>
      </c>
      <c r="H110" s="22">
        <v>1</v>
      </c>
      <c r="I110" s="23" cm="1">
        <f t="array" ref="I110">IF(D110="","",(G110*C110)*0.00075)</f>
        <v>3.8812639675500002</v>
      </c>
      <c r="J110" s="23" cm="1">
        <f t="array" ref="J110">IF(D110="","",(G110*D110)*0.00075)</f>
        <v>4.0392996183000012</v>
      </c>
      <c r="K110" s="24" cm="1">
        <f t="array" ref="K110">IF(D110="","",J110+I110)</f>
        <v>7.920563585850001</v>
      </c>
      <c r="L110" s="24" cm="1">
        <f t="array" ref="L110">IF(D110=0,0,(D110-C110)*G110)</f>
        <v>210.71420099999986</v>
      </c>
      <c r="M110" s="25">
        <v>4960.2651227816996</v>
      </c>
      <c r="N110" s="26" cm="1">
        <f t="array" ref="N110">IFERROR((K110-J110)/J110,"–")</f>
        <v>0.9608754819687001</v>
      </c>
      <c r="O110" s="24" cm="1">
        <f t="array" ref="O110">IF(D110=0,0,L110-K110)</f>
        <v>202.79363741414986</v>
      </c>
      <c r="P110" s="23"/>
      <c r="Q110" s="27"/>
    </row>
    <row r="111" spans="1:17" ht="22.5" customHeight="1">
      <c r="A111" s="16" t="s">
        <v>57</v>
      </c>
      <c r="B111" s="42">
        <v>44359</v>
      </c>
      <c r="C111" s="36">
        <v>1.6946000000000001</v>
      </c>
      <c r="D111" s="36">
        <v>1.78</v>
      </c>
      <c r="E111" s="30" cm="1">
        <f t="array" ref="E111">IF(D111="","",D111-C111)</f>
        <v>8.539999999999992E-2</v>
      </c>
      <c r="F111" s="31" cm="1">
        <f t="array" ref="F111">IF(D111=0,"",(D111-C111)/C111)</f>
        <v>5.0395373539478296E-2</v>
      </c>
      <c r="G111" s="32">
        <v>3053.8290000000002</v>
      </c>
      <c r="H111" s="10">
        <v>1</v>
      </c>
      <c r="I111" s="11" cm="1">
        <f t="array" ref="I111">IF(D111="","",(G111*C111)*0.00075)</f>
        <v>3.8812639675500002</v>
      </c>
      <c r="J111" s="11" cm="1">
        <f t="array" ref="J111">IF(D111="","",(G111*D111)*0.00075)</f>
        <v>4.0768617150000006</v>
      </c>
      <c r="K111" s="33" cm="1">
        <f t="array" ref="K111">IF(D111="","",J111+I111)</f>
        <v>7.9581256825500013</v>
      </c>
      <c r="L111" s="33" cm="1">
        <f t="array" ref="L111">IF(D111=0,0,(D111-C111)*G111)</f>
        <v>260.79699659999977</v>
      </c>
      <c r="M111" s="12">
        <v>4910.1447650849996</v>
      </c>
      <c r="N111" s="34" cm="1">
        <f t="array" ref="N111">IFERROR((K111-J111)/J111,"–")</f>
        <v>0.95202247191011236</v>
      </c>
      <c r="O111" s="33" cm="1">
        <f t="array" ref="O111">IF(D111=0,0,L111-K111)</f>
        <v>252.83887091744978</v>
      </c>
      <c r="P111" s="11"/>
      <c r="Q111" s="35"/>
    </row>
    <row r="112" spans="1:17" ht="22.5" customHeight="1">
      <c r="A112" s="16" t="s">
        <v>58</v>
      </c>
      <c r="B112" s="43">
        <v>44359</v>
      </c>
      <c r="C112" s="37">
        <v>0.83030000000000004</v>
      </c>
      <c r="D112" s="37">
        <v>0.83250000000000002</v>
      </c>
      <c r="E112" s="19" cm="1">
        <f t="array" ref="E112">IF(D112="","",D112-C112)</f>
        <v>2.1999999999999797E-3</v>
      </c>
      <c r="F112" s="20" cm="1">
        <f t="array" ref="F112">IF(D112=0,"",(D112-C112)/C112)</f>
        <v>2.6496447067324816E-3</v>
      </c>
      <c r="G112" s="21">
        <v>1890</v>
      </c>
      <c r="H112" s="22">
        <v>1</v>
      </c>
      <c r="I112" s="23" cm="1">
        <f t="array" ref="I112">IF(D112="","",(G112*C112)*0.00075)</f>
        <v>1.17695025</v>
      </c>
      <c r="J112" s="23" cm="1">
        <f t="array" ref="J112">IF(D112="","",(G112*D112)*0.00075)</f>
        <v>1.18006875</v>
      </c>
      <c r="K112" s="24" cm="1">
        <f t="array" ref="K112">IF(D112="","",J112+I112)</f>
        <v>2.3570190000000002</v>
      </c>
      <c r="L112" s="24" cm="1">
        <f t="array" ref="L112">IF(D112=0,0,(D112-C112)*G112)</f>
        <v>4.1579999999999622</v>
      </c>
      <c r="M112" s="25">
        <v>1563.92893125</v>
      </c>
      <c r="N112" s="26" cm="1">
        <f t="array" ref="N112">IFERROR((K112-J112)/J112,"–")</f>
        <v>0.99735735735735753</v>
      </c>
      <c r="O112" s="24" cm="1">
        <f t="array" ref="O112">IF(D112=0,0,L112-K112)</f>
        <v>1.800980999999962</v>
      </c>
      <c r="P112" s="23"/>
      <c r="Q112" s="27"/>
    </row>
    <row r="113" spans="1:17" ht="22.5" customHeight="1">
      <c r="A113" s="16" t="s">
        <v>58</v>
      </c>
      <c r="B113" s="42">
        <v>44359</v>
      </c>
      <c r="C113" s="36">
        <v>0.83030000000000004</v>
      </c>
      <c r="D113" s="36">
        <v>0.82750000000000001</v>
      </c>
      <c r="E113" s="30" cm="1">
        <f t="array" ref="E113">IF(D113="","",D113-C113)</f>
        <v>-2.8000000000000247E-3</v>
      </c>
      <c r="F113" s="31" cm="1">
        <f t="array" ref="F113">IF(D113=0,"",(D113-C113)/C113)</f>
        <v>-3.3722750812959466E-3</v>
      </c>
      <c r="G113" s="32">
        <v>1890</v>
      </c>
      <c r="H113" s="10">
        <v>1</v>
      </c>
      <c r="I113" s="11" cm="1">
        <f t="array" ref="I113">IF(D113="","",(G113*C113)*0.00075)</f>
        <v>1.17695025</v>
      </c>
      <c r="J113" s="11" cm="1">
        <f t="array" ref="J113">IF(D113="","",(G113*D113)*0.00075)</f>
        <v>1.1729812500000001</v>
      </c>
      <c r="K113" s="33" cm="1">
        <f t="array" ref="K113">IF(D113="","",J113+I113)</f>
        <v>2.3499315000000003</v>
      </c>
      <c r="L113" s="33" cm="1">
        <f t="array" ref="L113">IF(D113=0,0,(D113-C113)*G113)</f>
        <v>-5.2920000000000469</v>
      </c>
      <c r="M113" s="12">
        <v>1573.3860187499999</v>
      </c>
      <c r="N113" s="34" cm="1">
        <f t="array" ref="N113">IFERROR((K113-J113)/J113,"–")</f>
        <v>1.0033836858006042</v>
      </c>
      <c r="O113" s="33" cm="1">
        <f t="array" ref="O113">IF(D113=0,0,L113-K113)</f>
        <v>-7.6419315000000472</v>
      </c>
      <c r="P113" s="8"/>
      <c r="Q113" s="15"/>
    </row>
    <row r="114" spans="1:17" ht="22.5" customHeight="1">
      <c r="A114" s="16" t="s">
        <v>30</v>
      </c>
      <c r="B114" s="43">
        <v>44360</v>
      </c>
      <c r="C114" s="37">
        <v>36009.82</v>
      </c>
      <c r="D114" s="37">
        <v>36071.019999999997</v>
      </c>
      <c r="E114" s="19" cm="1">
        <f t="array" ref="E114">IF(D114="","",D114-C114)</f>
        <v>61.19999999999709</v>
      </c>
      <c r="F114" s="20" cm="1">
        <f t="array" ref="F114">IF(D114=0,"",(D114-C114)/C114)</f>
        <v>1.6995364042363191E-3</v>
      </c>
      <c r="G114" s="21">
        <v>0.102773</v>
      </c>
      <c r="H114" s="22">
        <v>1</v>
      </c>
      <c r="I114" s="23" cm="1">
        <f t="array" ref="I114">IF(D114="","",(G114*C114)*0.00075)</f>
        <v>2.7756279231450001</v>
      </c>
      <c r="J114" s="23" cm="1">
        <f t="array" ref="J114">IF(D114="","",(G114*D114)*0.00075)</f>
        <v>2.7803452038449996</v>
      </c>
      <c r="K114" s="24" cm="1">
        <f t="array" ref="K114">IF(D114="","",J114+I114)</f>
        <v>5.5559731269899997</v>
      </c>
      <c r="L114" s="24" cm="1">
        <f t="array" ref="L114">IF(D114=0,0,(D114-C114)*G114)</f>
        <v>6.2897075999997014</v>
      </c>
      <c r="M114" s="25">
        <v>3691.76717805616</v>
      </c>
      <c r="N114" s="26" cm="1">
        <f t="array" ref="N114">IFERROR((K114-J114)/J114,"–")</f>
        <v>0.99830334711910018</v>
      </c>
      <c r="O114" s="24" cm="1">
        <f t="array" ref="O114">IF(D114=0,0,L114-K114)</f>
        <v>0.73373447300970174</v>
      </c>
      <c r="P114" s="23"/>
      <c r="Q114" s="27"/>
    </row>
    <row r="115" spans="1:17" ht="22.5" customHeight="1">
      <c r="A115" s="16" t="s">
        <v>30</v>
      </c>
      <c r="B115" s="42">
        <v>44360</v>
      </c>
      <c r="C115" s="36">
        <v>35941.68</v>
      </c>
      <c r="D115" s="36">
        <v>36071.019999999997</v>
      </c>
      <c r="E115" s="30" cm="1">
        <f t="array" ref="E115">IF(D115="","",D115-C115)</f>
        <v>129.33999999999651</v>
      </c>
      <c r="F115" s="31" cm="1">
        <f t="array" ref="F115">IF(D115=0,"",(D115-C115)/C115)</f>
        <v>3.598607521963261E-3</v>
      </c>
      <c r="G115" s="32">
        <v>0.10292</v>
      </c>
      <c r="H115" s="10">
        <v>1</v>
      </c>
      <c r="I115" s="11" cm="1">
        <f t="array" ref="I115">IF(D115="","",(G115*C115)*0.00075)</f>
        <v>2.7743382792000002</v>
      </c>
      <c r="J115" s="11" cm="1">
        <f t="array" ref="J115">IF(D115="","",(G115*D115)*0.00075)</f>
        <v>2.7843220337999997</v>
      </c>
      <c r="K115" s="33" cm="1">
        <f t="array" ref="K115">IF(D115="","",J115+I115)</f>
        <v>5.5586603129999999</v>
      </c>
      <c r="L115" s="33" cm="1">
        <f t="array" ref="L115">IF(D115=0,0,(D115-C115)*G115)</f>
        <v>13.31167279999964</v>
      </c>
      <c r="M115" s="12">
        <v>3683.0217107662002</v>
      </c>
      <c r="N115" s="34" cm="1">
        <f t="array" ref="N115">IFERROR((K115-J115)/J115,"–")</f>
        <v>0.99641429601935316</v>
      </c>
      <c r="O115" s="33" cm="1">
        <f t="array" ref="O115">IF(D115=0,0,L115-K115)</f>
        <v>7.7530124869996397</v>
      </c>
      <c r="P115" s="11"/>
      <c r="Q115" s="35"/>
    </row>
    <row r="116" spans="1:17" ht="22.5" customHeight="1">
      <c r="A116" s="16" t="s">
        <v>58</v>
      </c>
      <c r="B116" s="43">
        <v>44360</v>
      </c>
      <c r="C116" s="37">
        <v>0.83</v>
      </c>
      <c r="D116" s="37">
        <v>0.83</v>
      </c>
      <c r="E116" s="19" cm="1">
        <f t="array" ref="E116">IF(D116="","",D116-C116)</f>
        <v>0</v>
      </c>
      <c r="F116" s="20" cm="1">
        <f t="array" ref="F116">IF(D116=0,"",(D116-C116)/C116)</f>
        <v>0</v>
      </c>
      <c r="G116" s="21">
        <v>3780</v>
      </c>
      <c r="H116" s="22">
        <v>1</v>
      </c>
      <c r="I116" s="23" cm="1">
        <f t="array" ref="I116">IF(D116="","",(G116*C116)*0.00075)</f>
        <v>2.3530499999999996</v>
      </c>
      <c r="J116" s="23" cm="1">
        <f t="array" ref="J116">IF(D116="","",(G116*D116)*0.00075)</f>
        <v>2.3530499999999996</v>
      </c>
      <c r="K116" s="24" cm="1">
        <f t="array" ref="K116">IF(D116="","",J116+I116)</f>
        <v>4.7060999999999993</v>
      </c>
      <c r="L116" s="24" cm="1">
        <f t="array" ref="L116">IF(D116=0,0,(D116-C116)*G116)</f>
        <v>0</v>
      </c>
      <c r="M116" s="25">
        <v>3135.0469499999999</v>
      </c>
      <c r="N116" s="26" cm="1">
        <f t="array" ref="N116">IFERROR((K116-J116)/J116,"–")</f>
        <v>1</v>
      </c>
      <c r="O116" s="24" cm="1">
        <f t="array" ref="O116">IF(D116=0,0,L116-K116)</f>
        <v>-4.7060999999999993</v>
      </c>
      <c r="P116" s="23"/>
      <c r="Q116" s="27"/>
    </row>
    <row r="117" spans="1:17" ht="22.5" customHeight="1">
      <c r="A117" s="16" t="s">
        <v>65</v>
      </c>
      <c r="B117" s="42">
        <v>44360</v>
      </c>
      <c r="C117" s="36">
        <v>10835</v>
      </c>
      <c r="D117" s="36">
        <v>11398</v>
      </c>
      <c r="E117" s="30" cm="1">
        <f t="array" ref="E117">IF(D117="","",D117-C117)</f>
        <v>563</v>
      </c>
      <c r="F117" s="31" cm="1">
        <f t="array" ref="F117">IF(D117=0,"",(D117-C117)/C117)</f>
        <v>5.1961236732810334E-2</v>
      </c>
      <c r="G117" s="32">
        <v>1</v>
      </c>
      <c r="H117" s="10">
        <v>1</v>
      </c>
      <c r="I117" s="11" cm="1">
        <f t="array" ref="I117">IF(D117="","",(G117*C117)*0.00075)</f>
        <v>8.1262500000000006</v>
      </c>
      <c r="J117" s="11" cm="1">
        <f t="array" ref="J117">IF(D117="","",(G117*D117)*0.00075)</f>
        <v>8.5485000000000007</v>
      </c>
      <c r="K117" s="33" cm="1">
        <f t="array" ref="K117">IF(D117="","",J117+I117)</f>
        <v>16.674750000000003</v>
      </c>
      <c r="L117" s="33" cm="1">
        <f t="array" ref="L117">IF(D117=0,0,(D117-C117)*G117)</f>
        <v>563</v>
      </c>
      <c r="M117" s="12">
        <v>10263.451499999999</v>
      </c>
      <c r="N117" s="34" cm="1">
        <f t="array" ref="N117">IFERROR((K117-J117)/J117,"–")</f>
        <v>0.9506053693630464</v>
      </c>
      <c r="O117" s="33" cm="1">
        <f t="array" ref="O117">IF(D117=0,0,L117-K117)</f>
        <v>546.32524999999998</v>
      </c>
      <c r="P117" s="11"/>
      <c r="Q117" s="35"/>
    </row>
    <row r="118" spans="1:17" ht="22.5" customHeight="1">
      <c r="A118" s="16" t="s">
        <v>66</v>
      </c>
      <c r="B118" s="43">
        <v>44360</v>
      </c>
      <c r="C118" s="37">
        <v>0.1832</v>
      </c>
      <c r="D118" s="37">
        <v>0.18844</v>
      </c>
      <c r="E118" s="19" cm="1">
        <f t="array" ref="E118">IF(D118="","",D118-C118)</f>
        <v>5.2399999999999947E-3</v>
      </c>
      <c r="F118" s="20" cm="1">
        <f t="array" ref="F118">IF(D118=0,"",(D118-C118)/C118)</f>
        <v>2.8602620087336217E-2</v>
      </c>
      <c r="G118" s="21">
        <v>42304.4</v>
      </c>
      <c r="H118" s="22">
        <v>1</v>
      </c>
      <c r="I118" s="23" cm="1">
        <f t="array" ref="I118">IF(D118="","",(G118*C118)*0.00075)</f>
        <v>5.8126245599999997</v>
      </c>
      <c r="J118" s="23" cm="1">
        <f t="array" ref="J118">IF(D118="","",(G118*D118)*0.00075)</f>
        <v>5.9788808520000005</v>
      </c>
      <c r="K118" s="24" cm="1">
        <f t="array" ref="K118">IF(D118="","",J118+I118)</f>
        <v>11.791505411999999</v>
      </c>
      <c r="L118" s="24" cm="1">
        <f t="array" ref="L118">IF(D118=0,0,(D118-C118)*G118)</f>
        <v>221.67505599999978</v>
      </c>
      <c r="M118" s="25">
        <v>7522.5121431480002</v>
      </c>
      <c r="N118" s="26" cm="1">
        <f t="array" ref="N118">IFERROR((K118-J118)/J118,"–")</f>
        <v>0.9721927403948204</v>
      </c>
      <c r="O118" s="24" cm="1">
        <f t="array" ref="O118">IF(D118=0,0,L118-K118)</f>
        <v>209.88355058799979</v>
      </c>
      <c r="P118" s="23"/>
      <c r="Q118" s="27"/>
    </row>
    <row r="119" spans="1:17" ht="22.5" customHeight="1">
      <c r="A119" s="16" t="s">
        <v>30</v>
      </c>
      <c r="B119" s="42">
        <v>44360</v>
      </c>
      <c r="C119" s="36">
        <v>38951.410000000003</v>
      </c>
      <c r="D119" s="36">
        <v>39090.230000000003</v>
      </c>
      <c r="E119" s="30" cm="1">
        <f t="array" ref="E119">IF(D119="","",D119-C119)</f>
        <v>138.81999999999971</v>
      </c>
      <c r="F119" s="31" cm="1">
        <f t="array" ref="F119">IF(D119=0,"",(D119-C119)/C119)</f>
        <v>3.5639274675807551E-3</v>
      </c>
      <c r="G119" s="32">
        <v>0.20538400000000001</v>
      </c>
      <c r="H119" s="10">
        <v>1</v>
      </c>
      <c r="I119" s="11" cm="1">
        <f t="array" ref="I119">IF(D119="","",(G119*C119)*0.00075)</f>
        <v>5.9999972935800008</v>
      </c>
      <c r="J119" s="11" cm="1">
        <f t="array" ref="J119">IF(D119="","",(G119*D119)*0.00075)</f>
        <v>6.0213808487400007</v>
      </c>
      <c r="K119" s="33" cm="1">
        <f t="array" ref="K119">IF(D119="","",J119+I119)</f>
        <v>12.021378142320001</v>
      </c>
      <c r="L119" s="33" cm="1">
        <f t="array" ref="L119">IF(D119=0,0,(D119-C119)*G119)</f>
        <v>28.511406879999942</v>
      </c>
      <c r="M119" s="12">
        <v>7965.4636037112596</v>
      </c>
      <c r="N119" s="34" cm="1">
        <f t="array" ref="N119">IFERROR((K119-J119)/J119,"–")</f>
        <v>0.9964487290046643</v>
      </c>
      <c r="O119" s="33" cm="1">
        <f t="array" ref="O119">IF(D119=0,0,L119-K119)</f>
        <v>16.490028737679943</v>
      </c>
      <c r="P119" s="11"/>
      <c r="Q119" s="35"/>
    </row>
    <row r="120" spans="1:17" ht="22.5" customHeight="1">
      <c r="A120" s="16" t="s">
        <v>21</v>
      </c>
      <c r="B120" s="43">
        <v>44361</v>
      </c>
      <c r="C120" s="37">
        <v>5.5140000000000002E-2</v>
      </c>
      <c r="D120" s="37">
        <v>5.79E-2</v>
      </c>
      <c r="E120" s="19" cm="1">
        <f t="array" ref="E120">IF(D120="","",D120-C120)</f>
        <v>2.7599999999999986E-3</v>
      </c>
      <c r="F120" s="20" cm="1">
        <f t="array" ref="F120">IF(D120=0,"",(D120-C120)/C120)</f>
        <v>5.0054406964091379E-2</v>
      </c>
      <c r="G120" s="21">
        <v>102933.7</v>
      </c>
      <c r="H120" s="22">
        <v>1</v>
      </c>
      <c r="I120" s="23" cm="1">
        <f t="array" ref="I120">IF(D120="","",(G120*C120)*0.00075)</f>
        <v>4.2568231635</v>
      </c>
      <c r="J120" s="23" cm="1">
        <f t="array" ref="J120">IF(D120="","",(G120*D120)*0.00075)</f>
        <v>4.4698959225000001</v>
      </c>
      <c r="K120" s="24" cm="1">
        <f t="array" ref="K120">IF(D120="","",J120+I120)</f>
        <v>8.7267190859999992</v>
      </c>
      <c r="L120" s="24" cm="1">
        <f t="array" ref="L120">IF(D120=0,0,(D120-C120)*G120)</f>
        <v>284.09701199999984</v>
      </c>
      <c r="M120" s="25">
        <v>5387.1973100775003</v>
      </c>
      <c r="N120" s="26" cm="1">
        <f t="array" ref="N120">IFERROR((K120-J120)/J120,"–")</f>
        <v>0.95233160621761637</v>
      </c>
      <c r="O120" s="24" cm="1">
        <f t="array" ref="O120">IF(D120=0,0,L120-K120)</f>
        <v>275.37029291399983</v>
      </c>
      <c r="P120" s="23"/>
      <c r="Q120" s="27"/>
    </row>
    <row r="121" spans="1:17" ht="22.5" customHeight="1">
      <c r="A121" s="16" t="s">
        <v>21</v>
      </c>
      <c r="B121" s="42">
        <v>44361</v>
      </c>
      <c r="C121" s="36">
        <v>5.5140000000000002E-2</v>
      </c>
      <c r="D121" s="36">
        <v>5.774E-2</v>
      </c>
      <c r="E121" s="30" cm="1">
        <f t="array" ref="E121">IF(D121="","",D121-C121)</f>
        <v>2.5999999999999981E-3</v>
      </c>
      <c r="F121" s="31" cm="1">
        <f t="array" ref="F121">IF(D121=0,"",(D121-C121)/C121)</f>
        <v>4.7152702212549837E-2</v>
      </c>
      <c r="G121" s="32">
        <v>24015.3</v>
      </c>
      <c r="H121" s="10">
        <v>1</v>
      </c>
      <c r="I121" s="11" cm="1">
        <f t="array" ref="I121">IF(D121="","",(G121*C121)*0.00075)</f>
        <v>0.99315273149999994</v>
      </c>
      <c r="J121" s="11" cm="1">
        <f t="array" ref="J121">IF(D121="","",(G121*D121)*0.00075)</f>
        <v>1.0399825665</v>
      </c>
      <c r="K121" s="33" cm="1">
        <f t="array" ref="K121">IF(D121="","",J121+I121)</f>
        <v>2.0331352979999999</v>
      </c>
      <c r="L121" s="33" cm="1">
        <f t="array" ref="L121">IF(D121=0,0,(D121-C121)*G121)</f>
        <v>62.439779999999956</v>
      </c>
      <c r="M121" s="12">
        <v>1260.7238794335001</v>
      </c>
      <c r="N121" s="34" cm="1">
        <f t="array" ref="N121">IFERROR((K121-J121)/J121,"–")</f>
        <v>0.95497055767232419</v>
      </c>
      <c r="O121" s="33" cm="1">
        <f t="array" ref="O121">IF(D121=0,0,L121-K121)</f>
        <v>60.406644701999959</v>
      </c>
      <c r="P121" s="11"/>
      <c r="Q121" s="35"/>
    </row>
    <row r="122" spans="1:17" ht="22.5" customHeight="1">
      <c r="A122" s="16" t="s">
        <v>21</v>
      </c>
      <c r="B122" s="43">
        <v>44361</v>
      </c>
      <c r="C122" s="37">
        <v>5.5140000000000002E-2</v>
      </c>
      <c r="D122" s="37">
        <v>5.6730000000000003E-2</v>
      </c>
      <c r="E122" s="19" cm="1">
        <f t="array" ref="E122">IF(D122="","",D122-C122)</f>
        <v>1.5900000000000011E-3</v>
      </c>
      <c r="F122" s="20" cm="1">
        <f t="array" ref="F122">IF(D122=0,"",(D122-C122)/C122)</f>
        <v>2.8835690968443982E-2</v>
      </c>
      <c r="G122" s="21">
        <v>78918.399999999994</v>
      </c>
      <c r="H122" s="22">
        <v>1</v>
      </c>
      <c r="I122" s="23" cm="1">
        <f t="array" ref="I122">IF(D122="","",(G122*C122)*0.00075)</f>
        <v>3.2636704320000001</v>
      </c>
      <c r="J122" s="23" cm="1">
        <f t="array" ref="J122">IF(D122="","",(G122*D122)*0.00075)</f>
        <v>3.3577806239999997</v>
      </c>
      <c r="K122" s="24" cm="1">
        <f t="array" ref="K122">IF(D122="","",J122+I122)</f>
        <v>6.6214510559999997</v>
      </c>
      <c r="L122" s="24" cm="1">
        <f t="array" ref="L122">IF(D122=0,0,(D122-C122)*G122)</f>
        <v>125.48025600000008</v>
      </c>
      <c r="M122" s="25">
        <v>4222.722539376</v>
      </c>
      <c r="N122" s="26" cm="1">
        <f t="array" ref="N122">IFERROR((K122-J122)/J122,"–")</f>
        <v>0.97197250132205193</v>
      </c>
      <c r="O122" s="24" cm="1">
        <f t="array" ref="O122">IF(D122=0,0,L122-K122)</f>
        <v>118.85880494400008</v>
      </c>
      <c r="P122" s="23"/>
      <c r="Q122" s="27"/>
    </row>
    <row r="123" spans="1:17" ht="22.5" customHeight="1">
      <c r="A123" s="16" t="s">
        <v>58</v>
      </c>
      <c r="B123" s="42">
        <v>44361</v>
      </c>
      <c r="C123" s="36">
        <v>0.90980000000000005</v>
      </c>
      <c r="D123" s="36">
        <v>0.8891</v>
      </c>
      <c r="E123" s="30" cm="1">
        <f t="array" ref="E123">IF(D123="","",D123-C123)</f>
        <v>-2.0700000000000052E-2</v>
      </c>
      <c r="F123" s="31" cm="1">
        <f t="array" ref="F123">IF(D123=0,"",(D123-C123)/C123)</f>
        <v>-2.2752253242470929E-2</v>
      </c>
      <c r="G123" s="32">
        <v>3780</v>
      </c>
      <c r="H123" s="10">
        <v>1</v>
      </c>
      <c r="I123" s="11" cm="1">
        <f t="array" ref="I123">IF(D123="","",(G123*C123)*0.00075)</f>
        <v>2.5792830000000002</v>
      </c>
      <c r="J123" s="11" cm="1">
        <f t="array" ref="J123">IF(D123="","",(G123*D123)*0.00075)</f>
        <v>2.5205985000000002</v>
      </c>
      <c r="K123" s="33" cm="1">
        <f t="array" ref="K123">IF(D123="","",J123+I123)</f>
        <v>5.0998815000000004</v>
      </c>
      <c r="L123" s="33" cm="1">
        <f t="array" ref="L123">IF(D123=0,0,(D123-C123)*G123)</f>
        <v>-78.246000000000194</v>
      </c>
      <c r="M123" s="12">
        <v>3514.7694015000002</v>
      </c>
      <c r="N123" s="34" cm="1">
        <f t="array" ref="N123">IFERROR((K123-J123)/J123,"–")</f>
        <v>1.0232819705319987</v>
      </c>
      <c r="O123" s="33" cm="1">
        <f t="array" ref="O123">IF(D123=0,0,L123-K123)</f>
        <v>-83.345881500000189</v>
      </c>
      <c r="P123" s="11"/>
      <c r="Q123" s="35"/>
    </row>
    <row r="124" spans="1:17" ht="22.5" customHeight="1">
      <c r="A124" s="16" t="s">
        <v>67</v>
      </c>
      <c r="B124" s="43">
        <v>44361</v>
      </c>
      <c r="C124" s="37">
        <v>1</v>
      </c>
      <c r="D124" s="37">
        <v>101.12</v>
      </c>
      <c r="E124" s="19" cm="1">
        <f t="array" ref="E124">IF(D124="","",D124-C124)</f>
        <v>100.12</v>
      </c>
      <c r="F124" s="20" cm="1">
        <f t="array" ref="F124">IF(D124=0,"",(D124-C124)/C124)</f>
        <v>100.12</v>
      </c>
      <c r="G124" s="21">
        <v>1</v>
      </c>
      <c r="H124" s="22">
        <v>1</v>
      </c>
      <c r="I124" s="23" cm="1">
        <f t="array" ref="I124">IF(D124="","",(G124*C124)*0.00075)</f>
        <v>7.5000000000000002E-4</v>
      </c>
      <c r="J124" s="23" cm="1">
        <f t="array" ref="J124">IF(D124="","",(G124*D124)*0.00075)</f>
        <v>7.5840000000000005E-2</v>
      </c>
      <c r="K124" s="24" cm="1">
        <f t="array" ref="K124">IF(D124="","",J124+I124)</f>
        <v>7.6590000000000005E-2</v>
      </c>
      <c r="L124" s="24" cm="1">
        <f t="array" ref="L124">IF(D124=0,0,(D124-C124)*G124)</f>
        <v>100.12</v>
      </c>
      <c r="M124" s="25">
        <v>-99.195840000000004</v>
      </c>
      <c r="N124" s="26" cm="1">
        <f t="array" ref="N124">IFERROR((K124-J124)/J124,"–")</f>
        <v>9.8892405063291215E-3</v>
      </c>
      <c r="O124" s="24" cm="1">
        <f t="array" ref="O124">IF(D124=0,0,L124-K124)</f>
        <v>100.04341000000001</v>
      </c>
      <c r="P124" s="23"/>
      <c r="Q124" s="27"/>
    </row>
    <row r="125" spans="1:17" ht="22.5" customHeight="1">
      <c r="A125" s="16" t="s">
        <v>68</v>
      </c>
      <c r="B125" s="42">
        <v>44361</v>
      </c>
      <c r="C125" s="36">
        <v>0.2339</v>
      </c>
      <c r="D125" s="36">
        <v>0.24360000000000001</v>
      </c>
      <c r="E125" s="30" cm="1">
        <f t="array" ref="E125">IF(D125="","",D125-C125)</f>
        <v>9.7000000000000142E-3</v>
      </c>
      <c r="F125" s="31" cm="1">
        <f t="array" ref="F125">IF(D125=0,"",(D125-C125)/C125)</f>
        <v>4.1470713980333536E-2</v>
      </c>
      <c r="G125" s="32">
        <v>18068.689999999999</v>
      </c>
      <c r="H125" s="10">
        <v>1</v>
      </c>
      <c r="I125" s="11" cm="1">
        <f t="array" ref="I125">IF(D125="","",(G125*C125)*0.00075)</f>
        <v>3.1696999432499999</v>
      </c>
      <c r="J125" s="11" cm="1">
        <f t="array" ref="J125">IF(D125="","",(G125*D125)*0.00075)</f>
        <v>3.3011496630000003</v>
      </c>
      <c r="K125" s="33" cm="1">
        <f t="array" ref="K125">IF(D125="","",J125+I125)</f>
        <v>6.4708496062500007</v>
      </c>
      <c r="L125" s="33" cm="1">
        <f t="array" ref="L125">IF(D125=0,0,(D125-C125)*G125)</f>
        <v>175.26629300000025</v>
      </c>
      <c r="M125" s="12">
        <v>4047.6991483370002</v>
      </c>
      <c r="N125" s="34" cm="1">
        <f t="array" ref="N125">IFERROR((K125-J125)/J125,"–")</f>
        <v>0.96018062397372739</v>
      </c>
      <c r="O125" s="33" cm="1">
        <f t="array" ref="O125">IF(D125=0,0,L125-K125)</f>
        <v>168.79544339375025</v>
      </c>
      <c r="P125" s="11"/>
      <c r="Q125" s="35"/>
    </row>
    <row r="126" spans="1:17" ht="22.5" customHeight="1">
      <c r="A126" s="16" t="s">
        <v>68</v>
      </c>
      <c r="B126" s="43">
        <v>44361</v>
      </c>
      <c r="C126" s="37">
        <v>0.2339</v>
      </c>
      <c r="D126" s="37">
        <v>0.2445</v>
      </c>
      <c r="E126" s="19" cm="1">
        <f t="array" ref="E126">IF(D126="","",D126-C126)</f>
        <v>1.0599999999999998E-2</v>
      </c>
      <c r="F126" s="20" cm="1">
        <f t="array" ref="F126">IF(D126=0,"",(D126-C126)/C126)</f>
        <v>4.5318512184694307E-2</v>
      </c>
      <c r="G126" s="21">
        <v>18068.689999999999</v>
      </c>
      <c r="H126" s="22">
        <v>1</v>
      </c>
      <c r="I126" s="23" cm="1">
        <f t="array" ref="I126">IF(D126="","",(G126*C126)*0.00075)</f>
        <v>3.1696999432499999</v>
      </c>
      <c r="J126" s="23" cm="1">
        <f t="array" ref="J126">IF(D126="","",(G126*D126)*0.00075)</f>
        <v>3.3133460287499994</v>
      </c>
      <c r="K126" s="24" cm="1">
        <f t="array" ref="K126">IF(D126="","",J126+I126)</f>
        <v>6.4830459719999993</v>
      </c>
      <c r="L126" s="24" cm="1">
        <f t="array" ref="L126">IF(D126=0,0,(D126-C126)*G126)</f>
        <v>191.52811399999996</v>
      </c>
      <c r="M126" s="25">
        <v>4031.4251309712499</v>
      </c>
      <c r="N126" s="26" cm="1">
        <f t="array" ref="N126">IFERROR((K126-J126)/J126,"–")</f>
        <v>0.95664621676891626</v>
      </c>
      <c r="O126" s="24" cm="1">
        <f t="array" ref="O126">IF(D126=0,0,L126-K126)</f>
        <v>185.04506802799995</v>
      </c>
      <c r="P126" s="23"/>
      <c r="Q126" s="27"/>
    </row>
    <row r="127" spans="1:17" ht="22.5" customHeight="1">
      <c r="A127" s="16" t="s">
        <v>69</v>
      </c>
      <c r="B127" s="42">
        <v>44362</v>
      </c>
      <c r="C127" s="36">
        <v>20.309999999999999</v>
      </c>
      <c r="D127" s="36">
        <v>20.834</v>
      </c>
      <c r="E127" s="30" cm="1">
        <f t="array" ref="E127">IF(D127="","",D127-C127)</f>
        <v>0.52400000000000091</v>
      </c>
      <c r="F127" s="31" cm="1">
        <f t="array" ref="F127">IF(D127=0,"",(D127-C127)/C127)</f>
        <v>2.5800098473658342E-2</v>
      </c>
      <c r="G127" s="32">
        <v>296.62099999999998</v>
      </c>
      <c r="H127" s="10">
        <v>1</v>
      </c>
      <c r="I127" s="11" cm="1">
        <f t="array" ref="I127">IF(D127="","",(G127*C127)*0.00075)</f>
        <v>4.5182793824999994</v>
      </c>
      <c r="J127" s="11" cm="1">
        <f t="array" ref="J127">IF(D127="","",(G127*D127)*0.00075)</f>
        <v>4.6348514354999999</v>
      </c>
      <c r="K127" s="33" cm="1">
        <f t="array" ref="K127">IF(D127="","",J127+I127)</f>
        <v>9.1531308179999993</v>
      </c>
      <c r="L127" s="33" cm="1">
        <f t="array" ref="L127">IF(D127=0,0,(D127-C127)*G127)</f>
        <v>155.42940400000026</v>
      </c>
      <c r="M127" s="12">
        <v>5864.3082545645002</v>
      </c>
      <c r="N127" s="34" cm="1">
        <f t="array" ref="N127">IFERROR((K127-J127)/J127,"–")</f>
        <v>0.9748488048382451</v>
      </c>
      <c r="O127" s="33" cm="1">
        <f t="array" ref="O127">IF(D127=0,0,L127-K127)</f>
        <v>146.27627318200027</v>
      </c>
      <c r="P127" s="11"/>
      <c r="Q127" s="35"/>
    </row>
    <row r="128" spans="1:17" ht="22.5" customHeight="1">
      <c r="A128" s="16" t="s">
        <v>69</v>
      </c>
      <c r="B128" s="43">
        <v>44362</v>
      </c>
      <c r="C128" s="37">
        <v>20.309999999999999</v>
      </c>
      <c r="D128" s="37">
        <v>21.132000000000001</v>
      </c>
      <c r="E128" s="19" cm="1">
        <f t="array" ref="E128">IF(D128="","",D128-C128)</f>
        <v>0.82200000000000273</v>
      </c>
      <c r="F128" s="20" cm="1">
        <f t="array" ref="F128">IF(D128=0,"",(D128-C128)/C128)</f>
        <v>4.0472673559822883E-2</v>
      </c>
      <c r="G128" s="21">
        <v>296.62200000000001</v>
      </c>
      <c r="H128" s="22">
        <v>1</v>
      </c>
      <c r="I128" s="23" cm="1">
        <f t="array" ref="I128">IF(D128="","",(G128*C128)*0.00075)</f>
        <v>4.5182946150000003</v>
      </c>
      <c r="J128" s="23" cm="1">
        <f t="array" ref="J128">IF(D128="","",(G128*D128)*0.00075)</f>
        <v>4.7011620780000012</v>
      </c>
      <c r="K128" s="24" cm="1">
        <f t="array" ref="K128">IF(D128="","",J128+I128)</f>
        <v>9.2194566930000015</v>
      </c>
      <c r="L128" s="24" cm="1">
        <f t="array" ref="L128">IF(D128=0,0,(D128-C128)*G128)</f>
        <v>243.82328400000083</v>
      </c>
      <c r="M128" s="25">
        <v>5775.8683739219996</v>
      </c>
      <c r="N128" s="26" cm="1">
        <f t="array" ref="N128">IFERROR((K128-J128)/J128,"–")</f>
        <v>0.96110164679159549</v>
      </c>
      <c r="O128" s="24" cm="1">
        <f t="array" ref="O128">IF(D128=0,0,L128-K128)</f>
        <v>234.60382730700081</v>
      </c>
      <c r="P128" s="23"/>
      <c r="Q128" s="27"/>
    </row>
    <row r="129" spans="1:17" ht="22.5" customHeight="1">
      <c r="A129" s="16" t="s">
        <v>67</v>
      </c>
      <c r="B129" s="42">
        <v>44362</v>
      </c>
      <c r="C129" s="36">
        <v>0.99133000000000004</v>
      </c>
      <c r="D129" s="36">
        <v>0.99336999999999998</v>
      </c>
      <c r="E129" s="30" cm="1">
        <f t="array" ref="E129">IF(D129="","",D129-C129)</f>
        <v>2.0399999999999308E-3</v>
      </c>
      <c r="F129" s="31" cm="1">
        <f t="array" ref="F129">IF(D129=0,"",(D129-C129)/C129)</f>
        <v>2.0578414856807828E-3</v>
      </c>
      <c r="G129" s="32">
        <v>9078</v>
      </c>
      <c r="H129" s="10">
        <v>1</v>
      </c>
      <c r="I129" s="11" cm="1">
        <f t="array" ref="I129">IF(D129="","",(G129*C129)*0.00075)</f>
        <v>6.7494703050000009</v>
      </c>
      <c r="J129" s="11" cm="1">
        <f t="array" ref="J129">IF(D129="","",(G129*D129)*0.00075)</f>
        <v>6.7633596450000004</v>
      </c>
      <c r="K129" s="33" cm="1">
        <f t="array" ref="K129">IF(D129="","",J129+I129)</f>
        <v>13.51282995</v>
      </c>
      <c r="L129" s="33" cm="1">
        <f t="array" ref="L129">IF(D129=0,0,(D129-C129)*G129)</f>
        <v>18.519119999999372</v>
      </c>
      <c r="M129" s="12">
        <v>8974.0112603550006</v>
      </c>
      <c r="N129" s="34" cm="1">
        <f t="array" ref="N129">IFERROR((K129-J129)/J129,"–")</f>
        <v>0.99794638452943008</v>
      </c>
      <c r="O129" s="33" cm="1">
        <f t="array" ref="O129">IF(D129=0,0,L129-K129)</f>
        <v>5.0062900499993717</v>
      </c>
      <c r="P129" s="11"/>
      <c r="Q129" s="35"/>
    </row>
    <row r="130" spans="1:17" ht="22.5" customHeight="1">
      <c r="A130" s="16" t="s">
        <v>58</v>
      </c>
      <c r="B130" s="43">
        <v>44362</v>
      </c>
      <c r="C130" s="37">
        <v>0.86480000000000001</v>
      </c>
      <c r="D130" s="37">
        <v>0.86480000000000001</v>
      </c>
      <c r="E130" s="19" cm="1">
        <f t="array" ref="E130">IF(D130="","",D130-C130)</f>
        <v>0</v>
      </c>
      <c r="F130" s="20" cm="1">
        <f t="array" ref="F130">IF(D130=0,"",(D130-C130)/C130)</f>
        <v>0</v>
      </c>
      <c r="G130" s="21">
        <v>3780</v>
      </c>
      <c r="H130" s="22">
        <v>1</v>
      </c>
      <c r="I130" s="23" cm="1">
        <f t="array" ref="I130">IF(D130="","",(G130*C130)*0.00075)</f>
        <v>2.451708</v>
      </c>
      <c r="J130" s="23" cm="1">
        <f t="array" ref="J130">IF(D130="","",(G130*D130)*0.00075)</f>
        <v>2.451708</v>
      </c>
      <c r="K130" s="24" cm="1">
        <f t="array" ref="K130">IF(D130="","",J130+I130)</f>
        <v>4.903416</v>
      </c>
      <c r="L130" s="24" cm="1">
        <f t="array" ref="L130">IF(D130=0,0,(D130-C130)*G130)</f>
        <v>0</v>
      </c>
      <c r="M130" s="25">
        <v>3266.4922919999999</v>
      </c>
      <c r="N130" s="26" cm="1">
        <f t="array" ref="N130">IFERROR((K130-J130)/J130,"–")</f>
        <v>1</v>
      </c>
      <c r="O130" s="24" cm="1">
        <f t="array" ref="O130">IF(D130=0,0,L130-K130)</f>
        <v>-4.903416</v>
      </c>
      <c r="P130" s="23"/>
      <c r="Q130" s="27"/>
    </row>
    <row r="131" spans="1:17" ht="22.5" customHeight="1">
      <c r="A131" s="16" t="s">
        <v>70</v>
      </c>
      <c r="B131" s="42">
        <v>44362</v>
      </c>
      <c r="C131" s="36">
        <v>4.2481999999999998</v>
      </c>
      <c r="D131" s="36">
        <v>4.3014999999999999</v>
      </c>
      <c r="E131" s="30" cm="1">
        <f t="array" ref="E131">IF(D131="","",D131-C131)</f>
        <v>5.3300000000000125E-2</v>
      </c>
      <c r="F131" s="31" cm="1">
        <f t="array" ref="F131">IF(D131=0,"",(D131-C131)/C131)</f>
        <v>1.2546490278235518E-2</v>
      </c>
      <c r="G131" s="32">
        <v>2118.56</v>
      </c>
      <c r="H131" s="10">
        <v>1</v>
      </c>
      <c r="I131" s="11" cm="1">
        <f t="array" ref="I131">IF(D131="","",(G131*C131)*0.00075)</f>
        <v>6.7500499439999997</v>
      </c>
      <c r="J131" s="11" cm="1">
        <f t="array" ref="J131">IF(D131="","",(G131*D131)*0.00075)</f>
        <v>6.8347393799999994</v>
      </c>
      <c r="K131" s="33" cm="1">
        <f t="array" ref="K131">IF(D131="","",J131+I131)</f>
        <v>13.584789323999999</v>
      </c>
      <c r="L131" s="33" cm="1">
        <f t="array" ref="L131">IF(D131=0,0,(D131-C131)*G131)</f>
        <v>112.91924800000027</v>
      </c>
      <c r="M131" s="12">
        <v>8880.3126046199995</v>
      </c>
      <c r="N131" s="34" cm="1">
        <f t="array" ref="N131">IFERROR((K131-J131)/J131,"–")</f>
        <v>0.98760897361385569</v>
      </c>
      <c r="O131" s="33" cm="1">
        <f t="array" ref="O131">IF(D131=0,0,L131-K131)</f>
        <v>99.334458676000267</v>
      </c>
      <c r="P131" s="11"/>
      <c r="Q131" s="35"/>
    </row>
    <row r="132" spans="1:17" ht="22.5" customHeight="1">
      <c r="A132" s="16" t="s">
        <v>71</v>
      </c>
      <c r="B132" s="43">
        <v>44363</v>
      </c>
      <c r="C132" s="37">
        <v>9280</v>
      </c>
      <c r="D132" s="37">
        <v>9088</v>
      </c>
      <c r="E132" s="19" cm="1">
        <f t="array" ref="E132">IF(D132="","",D132-C132)</f>
        <v>-192</v>
      </c>
      <c r="F132" s="20" cm="1">
        <f t="array" ref="F132">IF(D132=0,"",(D132-C132)/C132)</f>
        <v>-2.0689655172413793E-2</v>
      </c>
      <c r="G132" s="21">
        <v>1</v>
      </c>
      <c r="H132" s="22">
        <v>1</v>
      </c>
      <c r="I132" s="23" cm="1">
        <f t="array" ref="I132">IF(D132="","",(G132*C132)*0.00075)</f>
        <v>6.96</v>
      </c>
      <c r="J132" s="23" cm="1">
        <f t="array" ref="J132">IF(D132="","",(G132*D132)*0.00075)</f>
        <v>6.8159999999999998</v>
      </c>
      <c r="K132" s="24" cm="1">
        <f t="array" ref="K132">IF(D132="","",J132+I132)</f>
        <v>13.776</v>
      </c>
      <c r="L132" s="24" cm="1">
        <f t="array" ref="L132">IF(D132=0,0,(D132-C132)*G132)</f>
        <v>-192</v>
      </c>
      <c r="M132" s="25">
        <v>9465.1839999999993</v>
      </c>
      <c r="N132" s="26" cm="1">
        <f t="array" ref="N132">IFERROR((K132-J132)/J132,"–")</f>
        <v>1.0211267605633803</v>
      </c>
      <c r="O132" s="24" cm="1">
        <f t="array" ref="O132">IF(D132=0,0,L132-K132)</f>
        <v>-205.77600000000001</v>
      </c>
      <c r="P132" s="23"/>
      <c r="Q132" s="27"/>
    </row>
    <row r="133" spans="1:17" ht="22.5" customHeight="1">
      <c r="A133" s="16" t="s">
        <v>72</v>
      </c>
      <c r="B133" s="42">
        <v>44364</v>
      </c>
      <c r="C133" s="36">
        <v>4.1750000000000002E-2</v>
      </c>
      <c r="D133" s="36">
        <v>4.3490000000000001E-2</v>
      </c>
      <c r="E133" s="30" cm="1">
        <f t="array" ref="E133">IF(D133="","",D133-C133)</f>
        <v>1.7399999999999985E-3</v>
      </c>
      <c r="F133" s="31" cm="1">
        <f t="array" ref="F133">IF(D133=0,"",(D133-C133)/C133)</f>
        <v>4.1676646706586787E-2</v>
      </c>
      <c r="G133" s="32">
        <v>128171.8</v>
      </c>
      <c r="H133" s="10">
        <v>1</v>
      </c>
      <c r="I133" s="11" cm="1">
        <f t="array" ref="I133">IF(D133="","",(G133*C133)*0.00075)</f>
        <v>4.0133794875000008</v>
      </c>
      <c r="J133" s="11" cm="1">
        <f t="array" ref="J133">IF(D133="","",(G133*D133)*0.00075)</f>
        <v>4.1806436865000007</v>
      </c>
      <c r="K133" s="33" cm="1">
        <f t="array" ref="K133">IF(D133="","",J133+I133)</f>
        <v>8.1940231740000016</v>
      </c>
      <c r="L133" s="33" cm="1">
        <f t="array" ref="L133">IF(D133=0,0,(D133-C133)*G133)</f>
        <v>223.01893199999981</v>
      </c>
      <c r="M133" s="12">
        <v>5123.9730743134996</v>
      </c>
      <c r="N133" s="34" cm="1">
        <f t="array" ref="N133">IFERROR((K133-J133)/J133,"–")</f>
        <v>0.95999080248332957</v>
      </c>
      <c r="O133" s="33" cm="1">
        <f t="array" ref="O133">IF(D133=0,0,L133-K133)</f>
        <v>214.82490882599981</v>
      </c>
      <c r="P133" s="11"/>
      <c r="Q133" s="35"/>
    </row>
    <row r="134" spans="1:17" ht="22.5" customHeight="1">
      <c r="A134" s="16" t="s">
        <v>72</v>
      </c>
      <c r="B134" s="43">
        <v>44364</v>
      </c>
      <c r="C134" s="37">
        <v>4.1750000000000002E-2</v>
      </c>
      <c r="D134" s="37">
        <v>4.3569999999999998E-2</v>
      </c>
      <c r="E134" s="19" cm="1">
        <f t="array" ref="E134">IF(D134="","",D134-C134)</f>
        <v>1.8199999999999952E-3</v>
      </c>
      <c r="F134" s="20" cm="1">
        <f t="array" ref="F134">IF(D134=0,"",(D134-C134)/C134)</f>
        <v>4.3592814371257366E-2</v>
      </c>
      <c r="G134" s="21">
        <v>128171.8</v>
      </c>
      <c r="H134" s="22">
        <v>1</v>
      </c>
      <c r="I134" s="23" cm="1">
        <f t="array" ref="I134">IF(D134="","",(G134*C134)*0.00075)</f>
        <v>4.0133794875000008</v>
      </c>
      <c r="J134" s="23" cm="1">
        <f t="array" ref="J134">IF(D134="","",(G134*D134)*0.00075)</f>
        <v>4.1883339944999998</v>
      </c>
      <c r="K134" s="24" cm="1">
        <f t="array" ref="K134">IF(D134="","",J134+I134)</f>
        <v>8.2017134820000006</v>
      </c>
      <c r="L134" s="24" cm="1">
        <f t="array" ref="L134">IF(D134=0,0,(D134-C134)*G134)</f>
        <v>233.27267599999939</v>
      </c>
      <c r="M134" s="25">
        <v>5113.7116400055002</v>
      </c>
      <c r="N134" s="26" cm="1">
        <f t="array" ref="N134">IFERROR((K134-J134)/J134,"–")</f>
        <v>0.95822813862749623</v>
      </c>
      <c r="O134" s="24" cm="1">
        <f t="array" ref="O134">IF(D134=0,0,L134-K134)</f>
        <v>225.07096251799939</v>
      </c>
      <c r="P134" s="23"/>
      <c r="Q134" s="27"/>
    </row>
    <row r="135" spans="1:17" ht="22.5" customHeight="1">
      <c r="A135" s="16" t="s">
        <v>57</v>
      </c>
      <c r="B135" s="42">
        <v>44364</v>
      </c>
      <c r="C135" s="36">
        <v>1.7377</v>
      </c>
      <c r="D135" s="36">
        <v>1.7161999999999999</v>
      </c>
      <c r="E135" s="30" cm="1">
        <f t="array" ref="E135">IF(D135="","",D135-C135)</f>
        <v>-2.1500000000000075E-2</v>
      </c>
      <c r="F135" s="31" cm="1">
        <f t="array" ref="F135">IF(D135=0,"",(D135-C135)/C135)</f>
        <v>-1.2372676526443043E-2</v>
      </c>
      <c r="G135" s="32">
        <v>5869</v>
      </c>
      <c r="H135" s="10">
        <v>1</v>
      </c>
      <c r="I135" s="11" cm="1">
        <f t="array" ref="I135">IF(D135="","",(G135*C135)*0.00075)</f>
        <v>7.6489209749999993</v>
      </c>
      <c r="J135" s="11" cm="1">
        <f t="array" ref="J135">IF(D135="","",(G135*D135)*0.00075)</f>
        <v>7.5542833500000004</v>
      </c>
      <c r="K135" s="33" cm="1">
        <f t="array" ref="K135">IF(D135="","",J135+I135)</f>
        <v>15.203204325</v>
      </c>
      <c r="L135" s="33" cm="1">
        <f t="array" ref="L135">IF(D135=0,0,(D135-C135)*G135)</f>
        <v>-126.18350000000044</v>
      </c>
      <c r="M135" s="12">
        <v>10317.19051665</v>
      </c>
      <c r="N135" s="34" cm="1">
        <f t="array" ref="N135">IFERROR((K135-J135)/J135,"–")</f>
        <v>1.0125276774268732</v>
      </c>
      <c r="O135" s="33" cm="1">
        <f t="array" ref="O135">IF(D135=0,0,L135-K135)</f>
        <v>-141.38670432500044</v>
      </c>
      <c r="P135" s="11"/>
      <c r="Q135" s="35"/>
    </row>
    <row r="136" spans="1:17" ht="22.5" customHeight="1">
      <c r="A136" s="16" t="s">
        <v>58</v>
      </c>
      <c r="B136" s="43">
        <v>44364</v>
      </c>
      <c r="C136" s="37">
        <v>0.84789999999999999</v>
      </c>
      <c r="D136" s="37">
        <v>0.85050000000000003</v>
      </c>
      <c r="E136" s="19" cm="1">
        <f t="array" ref="E136">IF(D136="","",D136-C136)</f>
        <v>2.6000000000000467E-3</v>
      </c>
      <c r="F136" s="20" cm="1">
        <f t="array" ref="F136">IF(D136=0,"",(D136-C136)/C136)</f>
        <v>3.0663993395448129E-3</v>
      </c>
      <c r="G136" s="21">
        <v>1890</v>
      </c>
      <c r="H136" s="22">
        <v>1</v>
      </c>
      <c r="I136" s="23" cm="1">
        <f t="array" ref="I136">IF(D136="","",(G136*C136)*0.00075)</f>
        <v>1.2018982499999999</v>
      </c>
      <c r="J136" s="23" cm="1">
        <f t="array" ref="J136">IF(D136="","",(G136*D136)*0.00075)</f>
        <v>1.2055837500000002</v>
      </c>
      <c r="K136" s="24" cm="1">
        <f t="array" ref="K136">IF(D136="","",J136+I136)</f>
        <v>2.4074819999999999</v>
      </c>
      <c r="L136" s="24" cm="1">
        <f t="array" ref="L136">IF(D136=0,0,(D136-C136)*G136)</f>
        <v>4.9140000000000885</v>
      </c>
      <c r="M136" s="25">
        <v>1596.41141625</v>
      </c>
      <c r="N136" s="26" cm="1">
        <f t="array" ref="N136">IFERROR((K136-J136)/J136,"–")</f>
        <v>0.99694297472075211</v>
      </c>
      <c r="O136" s="24" cm="1">
        <f t="array" ref="O136">IF(D136=0,0,L136-K136)</f>
        <v>2.5065180000000886</v>
      </c>
      <c r="P136" s="23"/>
      <c r="Q136" s="27"/>
    </row>
    <row r="137" spans="1:17" ht="22.5" customHeight="1">
      <c r="A137" s="16" t="s">
        <v>72</v>
      </c>
      <c r="B137" s="42">
        <v>44366</v>
      </c>
      <c r="C137" s="36">
        <v>3.4250000000000003E-2</v>
      </c>
      <c r="D137" s="36">
        <v>3.4549999999999997E-2</v>
      </c>
      <c r="E137" s="30" cm="1">
        <f t="array" ref="E137">IF(D137="","",D137-C137)</f>
        <v>2.9999999999999472E-4</v>
      </c>
      <c r="F137" s="31" cm="1">
        <f t="array" ref="F137">IF(D137=0,"",(D137-C137)/C137)</f>
        <v>8.7591240875910855E-3</v>
      </c>
      <c r="G137" s="32">
        <v>160616.20000000001</v>
      </c>
      <c r="H137" s="10">
        <v>1</v>
      </c>
      <c r="I137" s="11" cm="1">
        <f t="array" ref="I137">IF(D137="","",(G137*C137)*0.00075)</f>
        <v>4.1258286375000006</v>
      </c>
      <c r="J137" s="11" cm="1">
        <f t="array" ref="J137">IF(D137="","",(G137*D137)*0.00075)</f>
        <v>4.1619672825</v>
      </c>
      <c r="K137" s="33" cm="1">
        <f t="array" ref="K137">IF(D137="","",J137+I137)</f>
        <v>8.2877959200000006</v>
      </c>
      <c r="L137" s="33" cm="1">
        <f t="array" ref="L137">IF(D137=0,0,(D137-C137)*G137)</f>
        <v>48.184859999999155</v>
      </c>
      <c r="M137" s="12">
        <v>5448.7580227175004</v>
      </c>
      <c r="N137" s="34" cm="1">
        <f t="array" ref="N137">IFERROR((K137-J137)/J137,"–")</f>
        <v>0.99131693198263404</v>
      </c>
      <c r="O137" s="33" cm="1">
        <f t="array" ref="O137">IF(D137=0,0,L137-K137)</f>
        <v>39.897064079999154</v>
      </c>
      <c r="P137" s="8"/>
      <c r="Q137" s="15"/>
    </row>
    <row r="138" spans="1:17" ht="22.5" customHeight="1">
      <c r="A138" s="16" t="s">
        <v>33</v>
      </c>
      <c r="B138" s="43">
        <v>44368</v>
      </c>
      <c r="C138" s="37">
        <v>4.2920000000000002E-4</v>
      </c>
      <c r="D138" s="37">
        <v>4.1159999999999998E-4</v>
      </c>
      <c r="E138" s="19" cm="1">
        <f t="array" ref="E138">IF(D138="","",D138-C138)</f>
        <v>-1.7600000000000048E-5</v>
      </c>
      <c r="F138" s="20" cm="1">
        <f t="array" ref="F138">IF(D138=0,"",(D138-C138)/C138)</f>
        <v>-4.1006523765144562E-2</v>
      </c>
      <c r="G138" s="21">
        <v>4660006</v>
      </c>
      <c r="H138" s="22">
        <v>1</v>
      </c>
      <c r="I138" s="23" cm="1">
        <f t="array" ref="I138">IF(D138="","",(G138*C138)*0.00075)</f>
        <v>1.5000559314000002</v>
      </c>
      <c r="J138" s="23" cm="1">
        <f t="array" ref="J138">IF(D138="","",(G138*D138)*0.00075)</f>
        <v>1.4385438522</v>
      </c>
      <c r="K138" s="24" cm="1">
        <f t="array" ref="K138">IF(D138="","",J138+I138)</f>
        <v>2.9385997836</v>
      </c>
      <c r="L138" s="24" cm="1">
        <f t="array" ref="L138">IF(D138=0,0,(D138-C138)*G138)</f>
        <v>-82.01610560000023</v>
      </c>
      <c r="M138" s="25">
        <v>2080.6521369478</v>
      </c>
      <c r="N138" s="26" cm="1">
        <f t="array" ref="N138">IFERROR((K138-J138)/J138,"–")</f>
        <v>1.042759961127308</v>
      </c>
      <c r="O138" s="24" cm="1">
        <f t="array" ref="O138">IF(D138=0,0,L138-K138)</f>
        <v>-84.954705383600228</v>
      </c>
      <c r="P138" s="23"/>
      <c r="Q138" s="27"/>
    </row>
    <row r="139" spans="1:17" ht="22.5" customHeight="1">
      <c r="A139" s="16" t="s">
        <v>73</v>
      </c>
      <c r="B139" s="42">
        <v>44369</v>
      </c>
      <c r="C139" s="36">
        <v>2.3199999999999998E-2</v>
      </c>
      <c r="D139" s="36">
        <v>2.3290000000000002E-2</v>
      </c>
      <c r="E139" s="30" cm="1">
        <f t="array" ref="E139">IF(D139="","",D139-C139)</f>
        <v>9.0000000000003272E-5</v>
      </c>
      <c r="F139" s="31" cm="1">
        <f t="array" ref="F139">IF(D139=0,"",(D139-C139)/C139)</f>
        <v>3.8793103448277275E-3</v>
      </c>
      <c r="G139" s="32">
        <v>43111</v>
      </c>
      <c r="H139" s="10">
        <v>1</v>
      </c>
      <c r="I139" s="11" cm="1">
        <f t="array" ref="I139">IF(D139="","",(G139*C139)*0.00075)</f>
        <v>0.75013139999999989</v>
      </c>
      <c r="J139" s="11" cm="1">
        <f t="array" ref="J139">IF(D139="","",(G139*D139)*0.00075)</f>
        <v>0.75304139250000002</v>
      </c>
      <c r="K139" s="33" cm="1">
        <f t="array" ref="K139">IF(D139="","",J139+I139)</f>
        <v>1.5031727925</v>
      </c>
      <c r="L139" s="33" cm="1">
        <f t="array" ref="L139">IF(D139=0,0,(D139-C139)*G139)</f>
        <v>3.879990000000141</v>
      </c>
      <c r="M139" s="12">
        <v>995.5421686075</v>
      </c>
      <c r="N139" s="34" cm="1">
        <f t="array" ref="N139">IFERROR((K139-J139)/J139,"–")</f>
        <v>0.99613568054959212</v>
      </c>
      <c r="O139" s="33" cm="1">
        <f t="array" ref="O139">IF(D139=0,0,L139-K139)</f>
        <v>2.376817207500141</v>
      </c>
      <c r="P139" s="11"/>
      <c r="Q139" s="35"/>
    </row>
    <row r="140" spans="1:17" ht="22.5" customHeight="1">
      <c r="A140" s="16" t="s">
        <v>51</v>
      </c>
      <c r="B140" s="43">
        <v>44369</v>
      </c>
      <c r="C140" s="37">
        <v>1.885</v>
      </c>
      <c r="D140" s="37">
        <v>1.8939999999999999</v>
      </c>
      <c r="E140" s="19" cm="1">
        <f t="array" ref="E140">IF(D140="","",D140-C140)</f>
        <v>8.999999999999897E-3</v>
      </c>
      <c r="F140" s="20" cm="1">
        <f t="array" ref="F140">IF(D140=0,"",(D140-C140)/C140)</f>
        <v>4.7745358090185127E-3</v>
      </c>
      <c r="G140" s="21">
        <v>530.50300000000004</v>
      </c>
      <c r="H140" s="22">
        <v>1</v>
      </c>
      <c r="I140" s="23" cm="1">
        <f t="array" ref="I140">IF(D140="","",(G140*C140)*0.00075)</f>
        <v>0.74999861625000008</v>
      </c>
      <c r="J140" s="23" cm="1">
        <f t="array" ref="J140">IF(D140="","",(G140*D140)*0.00075)</f>
        <v>0.75357951150000002</v>
      </c>
      <c r="K140" s="24" cm="1">
        <f t="array" ref="K140">IF(D140="","",J140+I140)</f>
        <v>1.50357812775</v>
      </c>
      <c r="L140" s="24" cm="1">
        <f t="array" ref="L140">IF(D140=0,0,(D140-C140)*G140)</f>
        <v>4.7745269999999458</v>
      </c>
      <c r="M140" s="25">
        <v>994.47004848849997</v>
      </c>
      <c r="N140" s="26" cm="1">
        <f t="array" ref="N140">IFERROR((K140-J140)/J140,"–")</f>
        <v>0.99524815205913408</v>
      </c>
      <c r="O140" s="24" cm="1">
        <f t="array" ref="O140">IF(D140=0,0,L140-K140)</f>
        <v>3.2709488722499458</v>
      </c>
      <c r="P140" s="23"/>
      <c r="Q140" s="27"/>
    </row>
    <row r="141" spans="1:17" ht="22.5" customHeight="1">
      <c r="A141" s="16" t="s">
        <v>33</v>
      </c>
      <c r="B141" s="42">
        <v>44369</v>
      </c>
      <c r="C141" s="36">
        <v>3.77E-4</v>
      </c>
      <c r="D141" s="36">
        <v>3.8000000000000002E-4</v>
      </c>
      <c r="E141" s="30" cm="1">
        <f t="array" ref="E141">IF(D141="","",D141-C141)</f>
        <v>3.0000000000000187E-6</v>
      </c>
      <c r="F141" s="31" cm="1">
        <f t="array" ref="F141">IF(D141=0,"",(D141-C141)/C141)</f>
        <v>7.9575596816976631E-3</v>
      </c>
      <c r="G141" s="32">
        <v>3978779</v>
      </c>
      <c r="H141" s="10">
        <v>1</v>
      </c>
      <c r="I141" s="11" cm="1">
        <f t="array" ref="I141">IF(D141="","",(G141*C141)*0.00075)</f>
        <v>1.1249997622500001</v>
      </c>
      <c r="J141" s="11" cm="1">
        <f t="array" ref="J141">IF(D141="","",(G141*D141)*0.00075)</f>
        <v>1.1339520150000002</v>
      </c>
      <c r="K141" s="33" cm="1">
        <f t="array" ref="K141">IF(D141="","",J141+I141)</f>
        <v>2.2589517772500001</v>
      </c>
      <c r="L141" s="33" cm="1">
        <f t="array" ref="L141">IF(D141=0,0,(D141-C141)*G141)</f>
        <v>11.936337000000075</v>
      </c>
      <c r="M141" s="12">
        <v>1486.9293939849999</v>
      </c>
      <c r="N141" s="34" cm="1">
        <f t="array" ref="N141">IFERROR((K141-J141)/J141,"–")</f>
        <v>0.99210526315789449</v>
      </c>
      <c r="O141" s="33" cm="1">
        <f t="array" ref="O141">IF(D141=0,0,L141-K141)</f>
        <v>9.6773852227500754</v>
      </c>
      <c r="P141" s="11"/>
      <c r="Q141" s="35"/>
    </row>
    <row r="142" spans="1:17" ht="22.5" customHeight="1">
      <c r="A142" s="16" t="s">
        <v>426</v>
      </c>
      <c r="B142" s="43">
        <v>44369</v>
      </c>
      <c r="C142" s="37">
        <v>1</v>
      </c>
      <c r="D142" s="37">
        <v>76</v>
      </c>
      <c r="E142" s="19" cm="1">
        <f t="array" ref="E142">IF(D142="","",D142-C142)</f>
        <v>75</v>
      </c>
      <c r="F142" s="20" cm="1">
        <f t="array" ref="F142">IF(D142=0,"",(D142-C142)/C142)</f>
        <v>75</v>
      </c>
      <c r="G142" s="21">
        <v>1</v>
      </c>
      <c r="H142" s="22">
        <v>1</v>
      </c>
      <c r="I142" s="23" cm="1">
        <f t="array" ref="I142">IF(D142="","",(G142*C142)*0.00075)</f>
        <v>7.5000000000000002E-4</v>
      </c>
      <c r="J142" s="23" cm="1">
        <f t="array" ref="J142">IF(D142="","",(G142*D142)*0.00075)</f>
        <v>5.7000000000000002E-2</v>
      </c>
      <c r="K142" s="24" cm="1">
        <f t="array" ref="K142">IF(D142="","",J142+I142)</f>
        <v>5.7750000000000003E-2</v>
      </c>
      <c r="L142" s="24" cm="1">
        <f t="array" ref="L142">IF(D142=0,0,(D142-C142)*G142)</f>
        <v>75</v>
      </c>
      <c r="M142" s="25">
        <v>-74.057000000000002</v>
      </c>
      <c r="N142" s="26" cm="1">
        <f t="array" ref="N142">IFERROR((K142-J142)/J142,"–")</f>
        <v>1.3157894736842117E-2</v>
      </c>
      <c r="O142" s="24" cm="1">
        <f t="array" ref="O142">IF(D142=0,0,L142-K142)</f>
        <v>74.942250000000001</v>
      </c>
      <c r="P142" s="23"/>
      <c r="Q142" s="27"/>
    </row>
    <row r="143" spans="1:17" ht="22.5" customHeight="1">
      <c r="A143" s="16" t="s">
        <v>30</v>
      </c>
      <c r="B143" s="42">
        <v>44369</v>
      </c>
      <c r="C143" s="36">
        <v>29997.68</v>
      </c>
      <c r="D143" s="36">
        <v>29385</v>
      </c>
      <c r="E143" s="30" cm="1">
        <f t="array" ref="E143">IF(D143="","",D143-C143)</f>
        <v>-612.68000000000029</v>
      </c>
      <c r="F143" s="31" cm="1">
        <f t="array" ref="F143">IF(D143=0,"",(D143-C143)/C143)</f>
        <v>-2.0424246141701633E-2</v>
      </c>
      <c r="G143" s="32">
        <v>0.17382900000000001</v>
      </c>
      <c r="H143" s="10">
        <v>1</v>
      </c>
      <c r="I143" s="11" cm="1">
        <f t="array" ref="I143">IF(D143="","",(G143*C143)*0.00075)</f>
        <v>3.9108500375400004</v>
      </c>
      <c r="J143" s="11" cm="1">
        <f t="array" ref="J143">IF(D143="","",(G143*D143)*0.00075)</f>
        <v>3.8309738737500005</v>
      </c>
      <c r="K143" s="33" cm="1">
        <f t="array" ref="K143">IF(D143="","",J143+I143)</f>
        <v>7.7418239112900009</v>
      </c>
      <c r="L143" s="33" cm="1">
        <f t="array" ref="L143">IF(D143=0,0,(D143-C143)*G143)</f>
        <v>-106.50155172000005</v>
      </c>
      <c r="M143" s="12">
        <v>5317.1372945662497</v>
      </c>
      <c r="N143" s="34" cm="1">
        <f t="array" ref="N143">IFERROR((K143-J143)/J143,"–")</f>
        <v>1.0208500935851625</v>
      </c>
      <c r="O143" s="33" cm="1">
        <f t="array" ref="O143">IF(D143=0,0,L143-K143)</f>
        <v>-114.24337563129005</v>
      </c>
      <c r="P143" s="11"/>
      <c r="Q143" s="35"/>
    </row>
    <row r="144" spans="1:17" ht="22.5" customHeight="1">
      <c r="A144" s="16" t="s">
        <v>24</v>
      </c>
      <c r="B144" s="43">
        <v>44369</v>
      </c>
      <c r="C144" s="37">
        <v>2.3199999999999998E-2</v>
      </c>
      <c r="D144" s="37">
        <v>2.4E-2</v>
      </c>
      <c r="E144" s="19" cm="1">
        <f t="array" ref="E144">IF(D144="","",D144-C144)</f>
        <v>8.000000000000021E-4</v>
      </c>
      <c r="F144" s="20" cm="1">
        <f t="array" ref="F144">IF(D144=0,"",(D144-C144)/C144)</f>
        <v>3.4482758620689745E-2</v>
      </c>
      <c r="G144" s="21">
        <v>221116.89</v>
      </c>
      <c r="H144" s="22">
        <v>1</v>
      </c>
      <c r="I144" s="23" cm="1">
        <f t="array" ref="I144">IF(D144="","",(G144*C144)*0.00075)</f>
        <v>3.8474338859999997</v>
      </c>
      <c r="J144" s="23" cm="1">
        <f t="array" ref="J144">IF(D144="","",(G144*D144)*0.00075)</f>
        <v>3.9801040200000002</v>
      </c>
      <c r="K144" s="24" cm="1">
        <f t="array" ref="K144">IF(D144="","",J144+I144)</f>
        <v>7.8275379059999999</v>
      </c>
      <c r="L144" s="24" cm="1">
        <f t="array" ref="L144">IF(D144=0,0,(D144-C144)*G144)</f>
        <v>176.89351200000047</v>
      </c>
      <c r="M144" s="25">
        <v>4949.0382319800001</v>
      </c>
      <c r="N144" s="26" cm="1">
        <f t="array" ref="N144">IFERROR((K144-J144)/J144,"–")</f>
        <v>0.96666666666666656</v>
      </c>
      <c r="O144" s="24" cm="1">
        <f t="array" ref="O144">IF(D144=0,0,L144-K144)</f>
        <v>169.06597409400047</v>
      </c>
      <c r="P144" s="23"/>
      <c r="Q144" s="27"/>
    </row>
    <row r="145" spans="1:17" ht="22.5" customHeight="1">
      <c r="A145" s="16" t="s">
        <v>39</v>
      </c>
      <c r="B145" s="42">
        <v>44369</v>
      </c>
      <c r="C145" s="36">
        <v>2.1850000000000001E-2</v>
      </c>
      <c r="D145" s="36">
        <v>2.1850000000000001E-2</v>
      </c>
      <c r="E145" s="30" cm="1">
        <f t="array" ref="E145">IF(D145="","",D145-C145)</f>
        <v>0</v>
      </c>
      <c r="F145" s="31" cm="1">
        <f t="array" ref="F145">IF(D145=0,"",(D145-C145)/C145)</f>
        <v>0</v>
      </c>
      <c r="G145" s="32">
        <v>241182</v>
      </c>
      <c r="H145" s="10">
        <v>1</v>
      </c>
      <c r="I145" s="11" cm="1">
        <f t="array" ref="I145">IF(D145="","",(G145*C145)*0.00075)</f>
        <v>3.9523700250000005</v>
      </c>
      <c r="J145" s="11" cm="1">
        <f t="array" ref="J145">IF(D145="","",(G145*D145)*0.00075)</f>
        <v>3.9523700250000005</v>
      </c>
      <c r="K145" s="33" cm="1">
        <f t="array" ref="K145">IF(D145="","",J145+I145)</f>
        <v>7.9047400500000009</v>
      </c>
      <c r="L145" s="33" cm="1">
        <f t="array" ref="L145">IF(D145=0,0,(D145-C145)*G145)</f>
        <v>0</v>
      </c>
      <c r="M145" s="12">
        <v>5265.8743299750004</v>
      </c>
      <c r="N145" s="34" cm="1">
        <f t="array" ref="N145">IFERROR((K145-J145)/J145,"–")</f>
        <v>1</v>
      </c>
      <c r="O145" s="33" cm="1">
        <f t="array" ref="O145">IF(D145=0,0,L145-K145)</f>
        <v>-7.9047400500000009</v>
      </c>
      <c r="P145" s="11"/>
      <c r="Q145" s="35"/>
    </row>
    <row r="146" spans="1:17" ht="22.5" customHeight="1">
      <c r="A146" s="16" t="s">
        <v>72</v>
      </c>
      <c r="B146" s="43">
        <v>44370</v>
      </c>
      <c r="C146" s="37">
        <v>2.504E-2</v>
      </c>
      <c r="D146" s="37">
        <v>2.4850000000000001E-2</v>
      </c>
      <c r="E146" s="19" cm="1">
        <f t="array" ref="E146">IF(D146="","",D146-C146)</f>
        <v>-1.899999999999992E-4</v>
      </c>
      <c r="F146" s="20" cm="1">
        <f t="array" ref="F146">IF(D146=0,"",(D146-C146)/C146)</f>
        <v>-7.5878594249200954E-3</v>
      </c>
      <c r="G146" s="21">
        <v>169330.486</v>
      </c>
      <c r="H146" s="22">
        <v>1</v>
      </c>
      <c r="I146" s="23" cm="1">
        <f t="array" ref="I146">IF(D146="","",(G146*C146)*0.00075)</f>
        <v>3.1800265270800003</v>
      </c>
      <c r="J146" s="23" cm="1">
        <f t="array" ref="J146">IF(D146="","",(G146*D146)*0.00075)</f>
        <v>3.1558969328250006</v>
      </c>
      <c r="K146" s="24" cm="1">
        <f t="array" ref="K146">IF(D146="","",J146+I146)</f>
        <v>6.3359234599050005</v>
      </c>
      <c r="L146" s="24" cm="1">
        <f t="array" ref="L146">IF(D146=0,0,(D146-C146)*G146)</f>
        <v>-32.172792339999866</v>
      </c>
      <c r="M146" s="25">
        <v>4269.0522648471797</v>
      </c>
      <c r="N146" s="26" cm="1">
        <f t="array" ref="N146">IFERROR((K146-J146)/J146,"–")</f>
        <v>1.0076458752515087</v>
      </c>
      <c r="O146" s="24" cm="1">
        <f t="array" ref="O146">IF(D146=0,0,L146-K146)</f>
        <v>-38.508715799904863</v>
      </c>
      <c r="P146" s="23"/>
      <c r="Q146" s="27"/>
    </row>
    <row r="147" spans="1:17" ht="22.5" customHeight="1">
      <c r="A147" s="16" t="s">
        <v>74</v>
      </c>
      <c r="B147" s="42">
        <v>44370</v>
      </c>
      <c r="C147" s="36">
        <v>0.78269999999999995</v>
      </c>
      <c r="D147" s="36">
        <v>0.7994</v>
      </c>
      <c r="E147" s="30" cm="1">
        <f t="array" ref="E147">IF(D147="","",D147-C147)</f>
        <v>1.6700000000000048E-2</v>
      </c>
      <c r="F147" s="31" cm="1">
        <f t="array" ref="F147">IF(D147=0,"",(D147-C147)/C147)</f>
        <v>2.1336399642264022E-2</v>
      </c>
      <c r="G147" s="32">
        <v>386.26</v>
      </c>
      <c r="H147" s="10">
        <v>1</v>
      </c>
      <c r="I147" s="11" cm="1">
        <f t="array" ref="I147">IF(D147="","",(G147*C147)*0.00075)</f>
        <v>0.22674427649999998</v>
      </c>
      <c r="J147" s="11" cm="1">
        <f t="array" ref="J147">IF(D147="","",(G147*D147)*0.00075)</f>
        <v>0.23158218300000002</v>
      </c>
      <c r="K147" s="33" cm="1">
        <f t="array" ref="K147">IF(D147="","",J147+I147)</f>
        <v>0.45832645950000001</v>
      </c>
      <c r="L147" s="33" cm="1">
        <f t="array" ref="L147">IF(D147=0,0,(D147-C147)*G147)</f>
        <v>6.4505420000000182</v>
      </c>
      <c r="M147" s="12">
        <v>295.64357781699999</v>
      </c>
      <c r="N147" s="34" cm="1">
        <f t="array" ref="N147">IFERROR((K147-J147)/J147,"–")</f>
        <v>0.97910933199899908</v>
      </c>
      <c r="O147" s="33" cm="1">
        <f t="array" ref="O147">IF(D147=0,0,L147-K147)</f>
        <v>5.9922155405000179</v>
      </c>
      <c r="P147" s="11"/>
      <c r="Q147" s="35"/>
    </row>
    <row r="148" spans="1:17" ht="22.5" customHeight="1">
      <c r="A148" s="16" t="s">
        <v>74</v>
      </c>
      <c r="B148" s="43">
        <v>44370</v>
      </c>
      <c r="C148" s="37">
        <v>0.78269999999999995</v>
      </c>
      <c r="D148" s="37">
        <v>0.79</v>
      </c>
      <c r="E148" s="19" cm="1">
        <f t="array" ref="E148">IF(D148="","",D148-C148)</f>
        <v>7.3000000000000842E-3</v>
      </c>
      <c r="F148" s="20" cm="1">
        <f t="array" ref="F148">IF(D148=0,"",(D148-C148)/C148)</f>
        <v>9.3266896639837542E-3</v>
      </c>
      <c r="G148" s="21">
        <v>10135.413699999999</v>
      </c>
      <c r="H148" s="22">
        <v>1</v>
      </c>
      <c r="I148" s="23" cm="1">
        <f t="array" ref="I148">IF(D148="","",(G148*C148)*0.00075)</f>
        <v>5.9497412272424999</v>
      </c>
      <c r="J148" s="23" cm="1">
        <f t="array" ref="J148">IF(D148="","",(G148*D148)*0.00075)</f>
        <v>6.0052326172499999</v>
      </c>
      <c r="K148" s="24" cm="1">
        <f t="array" ref="K148">IF(D148="","",J148+I148)</f>
        <v>11.9549738444925</v>
      </c>
      <c r="L148" s="24" cm="1">
        <f t="array" ref="L148">IF(D148=0,0,(D148-C148)*G148)</f>
        <v>73.98852001000084</v>
      </c>
      <c r="M148" s="25">
        <v>7852.9945503627496</v>
      </c>
      <c r="N148" s="26" cm="1">
        <f t="array" ref="N148">IFERROR((K148-J148)/J148,"–")</f>
        <v>0.99075949367088612</v>
      </c>
      <c r="O148" s="24" cm="1">
        <f t="array" ref="O148">IF(D148=0,0,L148-K148)</f>
        <v>62.033546165508341</v>
      </c>
      <c r="P148" s="23"/>
      <c r="Q148" s="27"/>
    </row>
    <row r="149" spans="1:17" ht="22.5" customHeight="1">
      <c r="A149" s="16" t="s">
        <v>74</v>
      </c>
      <c r="B149" s="42">
        <v>44370</v>
      </c>
      <c r="C149" s="36">
        <v>0.78269999999999995</v>
      </c>
      <c r="D149" s="36">
        <v>0.78949999999999998</v>
      </c>
      <c r="E149" s="30" cm="1">
        <f t="array" ref="E149">IF(D149="","",D149-C149)</f>
        <v>6.8000000000000282E-3</v>
      </c>
      <c r="F149" s="31" cm="1">
        <f t="array" ref="F149">IF(D149=0,"",(D149-C149)/C149)</f>
        <v>8.6878753034368584E-3</v>
      </c>
      <c r="G149" s="32">
        <v>2952.56</v>
      </c>
      <c r="H149" s="10">
        <v>1</v>
      </c>
      <c r="I149" s="11" cm="1">
        <f t="array" ref="I149">IF(D149="","",(G149*C149)*0.00075)</f>
        <v>1.7332265339999999</v>
      </c>
      <c r="J149" s="11" cm="1">
        <f t="array" ref="J149">IF(D149="","",(G149*D149)*0.00075)</f>
        <v>1.7482845899999999</v>
      </c>
      <c r="K149" s="33" cm="1">
        <f t="array" ref="K149">IF(D149="","",J149+I149)</f>
        <v>3.4815111239999998</v>
      </c>
      <c r="L149" s="33" cm="1">
        <f t="array" ref="L149">IF(D149=0,0,(D149-C149)*G149)</f>
        <v>20.077408000000084</v>
      </c>
      <c r="M149" s="12">
        <v>2289.1430194099999</v>
      </c>
      <c r="N149" s="34" cm="1">
        <f t="array" ref="N149">IFERROR((K149-J149)/J149,"–")</f>
        <v>0.99138695376820773</v>
      </c>
      <c r="O149" s="33" cm="1">
        <f t="array" ref="O149">IF(D149=0,0,L149-K149)</f>
        <v>16.595896876000083</v>
      </c>
      <c r="P149" s="11"/>
      <c r="Q149" s="35"/>
    </row>
    <row r="150" spans="1:17" ht="22.5" customHeight="1">
      <c r="A150" s="16" t="s">
        <v>75</v>
      </c>
      <c r="B150" s="43">
        <v>44370</v>
      </c>
      <c r="C150" s="37">
        <v>0.18101999999999999</v>
      </c>
      <c r="D150" s="37">
        <v>0.17796999999999999</v>
      </c>
      <c r="E150" s="19" cm="1">
        <f t="array" ref="E150">IF(D150="","",D150-C150)</f>
        <v>-3.0499999999999972E-3</v>
      </c>
      <c r="F150" s="20" cm="1">
        <f t="array" ref="F150">IF(D150=0,"",(D150-C150)/C150)</f>
        <v>-1.6848966964976231E-2</v>
      </c>
      <c r="G150" s="21">
        <v>58560</v>
      </c>
      <c r="H150" s="22">
        <v>1</v>
      </c>
      <c r="I150" s="23" cm="1">
        <f t="array" ref="I150">IF(D150="","",(G150*C150)*0.00075)</f>
        <v>7.9503984000000001</v>
      </c>
      <c r="J150" s="23" cm="1">
        <f t="array" ref="J150">IF(D150="","",(G150*D150)*0.00075)</f>
        <v>7.8164423999999997</v>
      </c>
      <c r="K150" s="24" cm="1">
        <f t="array" ref="K150">IF(D150="","",J150+I150)</f>
        <v>15.766840800000001</v>
      </c>
      <c r="L150" s="24" cm="1">
        <f t="array" ref="L150">IF(D150=0,0,(D150-C150)*G150)</f>
        <v>-178.60799999999983</v>
      </c>
      <c r="M150" s="25">
        <v>10771.322757600001</v>
      </c>
      <c r="N150" s="26" cm="1">
        <f t="array" ref="N150">IFERROR((K150-J150)/J150,"–")</f>
        <v>1.0171377198404228</v>
      </c>
      <c r="O150" s="24" cm="1">
        <f t="array" ref="O150">IF(D150=0,0,L150-K150)</f>
        <v>-194.37484079999984</v>
      </c>
      <c r="P150" s="23"/>
      <c r="Q150" s="27"/>
    </row>
    <row r="151" spans="1:17" ht="22.5" customHeight="1">
      <c r="A151" s="16" t="s">
        <v>76</v>
      </c>
      <c r="B151" s="42">
        <v>44372</v>
      </c>
      <c r="C151" s="36">
        <v>7.1300000000000003E-6</v>
      </c>
      <c r="D151" s="36">
        <v>7.34E-6</v>
      </c>
      <c r="E151" s="30" cm="1">
        <f t="array" ref="E151">IF(D151="","",D151-C151)</f>
        <v>2.0999999999999968E-7</v>
      </c>
      <c r="F151" s="31" cm="1">
        <f t="array" ref="F151">IF(D151=0,"",(D151-C151)/C151)</f>
        <v>2.945301542776994E-2</v>
      </c>
      <c r="G151" s="32">
        <v>437237102</v>
      </c>
      <c r="H151" s="10">
        <v>1</v>
      </c>
      <c r="I151" s="11" cm="1">
        <f t="array" ref="I151">IF(D151="","",(G151*C151)*0.00075)</f>
        <v>2.3381254029450003</v>
      </c>
      <c r="J151" s="11" cm="1">
        <f t="array" ref="J151">IF(D151="","",(G151*D151)*0.00075)</f>
        <v>2.4069902465099999</v>
      </c>
      <c r="K151" s="33" cm="1">
        <f t="array" ref="K151">IF(D151="","",J151+I151)</f>
        <v>4.7451156494550002</v>
      </c>
      <c r="L151" s="33" cm="1">
        <f t="array" ref="L151">IF(D151=0,0,(D151-C151)*G151)</f>
        <v>91.819791419999859</v>
      </c>
      <c r="M151" s="12">
        <v>3023.27375559349</v>
      </c>
      <c r="N151" s="34" cm="1">
        <f t="array" ref="N151">IFERROR((K151-J151)/J151,"–")</f>
        <v>0.97138964577656695</v>
      </c>
      <c r="O151" s="33" cm="1">
        <f t="array" ref="O151">IF(D151=0,0,L151-K151)</f>
        <v>87.074675770544857</v>
      </c>
      <c r="P151" s="11"/>
      <c r="Q151" s="35"/>
    </row>
    <row r="152" spans="1:17" ht="22.5" customHeight="1">
      <c r="A152" s="16" t="s">
        <v>76</v>
      </c>
      <c r="B152" s="43">
        <v>44372</v>
      </c>
      <c r="C152" s="37">
        <v>7.2599999999999999E-6</v>
      </c>
      <c r="D152" s="37">
        <v>7.34E-6</v>
      </c>
      <c r="E152" s="19" cm="1">
        <f t="array" ref="E152">IF(D152="","",D152-C152)</f>
        <v>8.0000000000000081E-8</v>
      </c>
      <c r="F152" s="20" cm="1">
        <f t="array" ref="F152">IF(D152=0,"",(D152-C152)/C152)</f>
        <v>1.1019283746556485E-2</v>
      </c>
      <c r="G152" s="21">
        <v>429407788</v>
      </c>
      <c r="H152" s="22">
        <v>1</v>
      </c>
      <c r="I152" s="23" cm="1">
        <f t="array" ref="I152">IF(D152="","",(G152*C152)*0.00075)</f>
        <v>2.33812540566</v>
      </c>
      <c r="J152" s="23" cm="1">
        <f t="array" ref="J152">IF(D152="","",(G152*D152)*0.00075)</f>
        <v>2.3638898729400002</v>
      </c>
      <c r="K152" s="24" cm="1">
        <f t="array" ref="K152">IF(D152="","",J152+I152)</f>
        <v>4.7020152786000002</v>
      </c>
      <c r="L152" s="24" cm="1">
        <f t="array" ref="L152">IF(D152=0,0,(D152-C152)*G152)</f>
        <v>34.352623040000033</v>
      </c>
      <c r="M152" s="25">
        <v>3080.78402796706</v>
      </c>
      <c r="N152" s="26" cm="1">
        <f t="array" ref="N152">IFERROR((K152-J152)/J152,"–")</f>
        <v>0.98910081743869205</v>
      </c>
      <c r="O152" s="24" cm="1">
        <f t="array" ref="O152">IF(D152=0,0,L152-K152)</f>
        <v>29.650607761400032</v>
      </c>
      <c r="P152" s="23"/>
      <c r="Q152" s="27"/>
    </row>
    <row r="153" spans="1:17" ht="22.5" customHeight="1">
      <c r="A153" s="16" t="s">
        <v>26</v>
      </c>
      <c r="B153" s="42">
        <v>44373</v>
      </c>
      <c r="C153" s="36">
        <v>3.3683000000000001</v>
      </c>
      <c r="D153" s="36">
        <v>3.3719999999999999</v>
      </c>
      <c r="E153" s="30" cm="1">
        <f t="array" ref="E153">IF(D153="","",D153-C153)</f>
        <v>3.6999999999998145E-3</v>
      </c>
      <c r="F153" s="31" cm="1">
        <f t="array" ref="F153">IF(D153=0,"",(D153-C153)/C153)</f>
        <v>1.0984769765162885E-3</v>
      </c>
      <c r="G153" s="32">
        <v>742.22</v>
      </c>
      <c r="H153" s="10">
        <v>1</v>
      </c>
      <c r="I153" s="11" cm="1">
        <f t="array" ref="I153">IF(D153="","",(G153*C153)*0.00075)</f>
        <v>1.8750147195000002</v>
      </c>
      <c r="J153" s="11" cm="1">
        <f t="array" ref="J153">IF(D153="","",(G153*D153)*0.00075)</f>
        <v>1.87707438</v>
      </c>
      <c r="K153" s="33" cm="1">
        <f t="array" ref="K153">IF(D153="","",J153+I153)</f>
        <v>3.7520890995</v>
      </c>
      <c r="L153" s="33" cm="1">
        <f t="array" ref="L153">IF(D153=0,0,(D153-C153)*G153)</f>
        <v>2.7462139999998625</v>
      </c>
      <c r="M153" s="12">
        <v>2495.3963376199999</v>
      </c>
      <c r="N153" s="34" cm="1">
        <f t="array" ref="N153">IFERROR((K153-J153)/J153,"–")</f>
        <v>0.99890272835112692</v>
      </c>
      <c r="O153" s="33" cm="1">
        <f t="array" ref="O153">IF(D153=0,0,L153-K153)</f>
        <v>-1.0058750995001375</v>
      </c>
      <c r="P153" s="8"/>
      <c r="Q153" s="15"/>
    </row>
    <row r="154" spans="1:17" ht="22.5" customHeight="1">
      <c r="A154" s="16" t="s">
        <v>73</v>
      </c>
      <c r="B154" s="43">
        <v>44374</v>
      </c>
      <c r="C154" s="37">
        <v>0.02</v>
      </c>
      <c r="D154" s="37">
        <v>2.0650000000000002E-2</v>
      </c>
      <c r="E154" s="19" cm="1">
        <f t="array" ref="E154">IF(D154="","",D154-C154)</f>
        <v>6.5000000000000127E-4</v>
      </c>
      <c r="F154" s="20" cm="1">
        <f t="array" ref="F154">IF(D154=0,"",(D154-C154)/C154)</f>
        <v>3.2500000000000064E-2</v>
      </c>
      <c r="G154" s="21">
        <v>100000</v>
      </c>
      <c r="H154" s="22">
        <v>1</v>
      </c>
      <c r="I154" s="23" cm="1">
        <f t="array" ref="I154">IF(D154="","",(G154*C154)*0.00075)</f>
        <v>1.5</v>
      </c>
      <c r="J154" s="23" cm="1">
        <f t="array" ref="J154">IF(D154="","",(G154*D154)*0.00075)</f>
        <v>1.5487500000000001</v>
      </c>
      <c r="K154" s="24" cm="1">
        <f t="array" ref="K154">IF(D154="","",J154+I154)</f>
        <v>3.0487500000000001</v>
      </c>
      <c r="L154" s="24" cm="1">
        <f t="array" ref="L154">IF(D154=0,0,(D154-C154)*G154)</f>
        <v>65.000000000000128</v>
      </c>
      <c r="M154" s="25">
        <v>1933.4512500000001</v>
      </c>
      <c r="N154" s="26" cm="1">
        <f t="array" ref="N154">IFERROR((K154-J154)/J154,"–")</f>
        <v>0.96852300242130751</v>
      </c>
      <c r="O154" s="24" cm="1">
        <f t="array" ref="O154">IF(D154=0,0,L154-K154)</f>
        <v>61.95125000000013</v>
      </c>
      <c r="P154" s="23"/>
      <c r="Q154" s="27"/>
    </row>
    <row r="155" spans="1:17" ht="22.5" customHeight="1">
      <c r="A155" s="16" t="s">
        <v>50</v>
      </c>
      <c r="B155" s="42">
        <v>44374</v>
      </c>
      <c r="C155" s="36">
        <v>3.5739000000000001</v>
      </c>
      <c r="D155" s="36">
        <v>3.6271</v>
      </c>
      <c r="E155" s="30" cm="1">
        <f t="array" ref="E155">IF(D155="","",D155-C155)</f>
        <v>5.3199999999999914E-2</v>
      </c>
      <c r="F155" s="31" cm="1">
        <f t="array" ref="F155">IF(D155=0,"",(D155-C155)/C155)</f>
        <v>1.4885699096225388E-2</v>
      </c>
      <c r="G155" s="32">
        <v>559.62</v>
      </c>
      <c r="H155" s="10">
        <v>1</v>
      </c>
      <c r="I155" s="11" cm="1">
        <f t="array" ref="I155">IF(D155="","",(G155*C155)*0.00075)</f>
        <v>1.5000194385000001</v>
      </c>
      <c r="J155" s="11" cm="1">
        <f t="array" ref="J155">IF(D155="","",(G155*D155)*0.00075)</f>
        <v>1.5223482765</v>
      </c>
      <c r="K155" s="33" cm="1">
        <f t="array" ref="K155">IF(D155="","",J155+I155)</f>
        <v>3.0223677150000001</v>
      </c>
      <c r="L155" s="33" cm="1">
        <f t="array" ref="L155">IF(D155=0,0,(D155-C155)*G155)</f>
        <v>29.771783999999951</v>
      </c>
      <c r="M155" s="12">
        <v>1968.7317857235</v>
      </c>
      <c r="N155" s="34" cm="1">
        <f t="array" ref="N155">IFERROR((K155-J155)/J155,"–")</f>
        <v>0.98533263488737566</v>
      </c>
      <c r="O155" s="33" cm="1">
        <f t="array" ref="O155">IF(D155=0,0,L155-K155)</f>
        <v>26.749416284999949</v>
      </c>
      <c r="P155" s="11"/>
      <c r="Q155" s="35"/>
    </row>
    <row r="156" spans="1:17" ht="22.5" customHeight="1">
      <c r="A156" s="16" t="s">
        <v>58</v>
      </c>
      <c r="B156" s="43">
        <v>44375</v>
      </c>
      <c r="C156" s="37">
        <v>0.63680000000000003</v>
      </c>
      <c r="D156" s="37">
        <v>0.63400000000000001</v>
      </c>
      <c r="E156" s="19" cm="1">
        <f t="array" ref="E156">IF(D156="","",D156-C156)</f>
        <v>-2.8000000000000247E-3</v>
      </c>
      <c r="F156" s="20" cm="1">
        <f t="array" ref="F156">IF(D156=0,"",(D156-C156)/C156)</f>
        <v>-4.3969849246231537E-3</v>
      </c>
      <c r="G156" s="21">
        <v>1890</v>
      </c>
      <c r="H156" s="22">
        <v>1</v>
      </c>
      <c r="I156" s="23" cm="1">
        <f t="array" ref="I156">IF(D156="","",(G156*C156)*0.00075)</f>
        <v>0.90266400000000013</v>
      </c>
      <c r="J156" s="23" cm="1">
        <f t="array" ref="J156">IF(D156="","",(G156*D156)*0.00075)</f>
        <v>0.89869500000000002</v>
      </c>
      <c r="K156" s="24" cm="1">
        <f t="array" ref="K156">IF(D156="","",J156+I156)</f>
        <v>1.8013590000000002</v>
      </c>
      <c r="L156" s="24" cm="1">
        <f t="array" ref="L156">IF(D156=0,0,(D156-C156)*G156)</f>
        <v>-5.2920000000000469</v>
      </c>
      <c r="M156" s="25">
        <v>1207.945305</v>
      </c>
      <c r="N156" s="26" cm="1">
        <f t="array" ref="N156">IFERROR((K156-J156)/J156,"–")</f>
        <v>1.004416403785489</v>
      </c>
      <c r="O156" s="24" cm="1">
        <f t="array" ref="O156">IF(D156=0,0,L156-K156)</f>
        <v>-7.0933590000000475</v>
      </c>
      <c r="P156" s="23"/>
      <c r="Q156" s="27"/>
    </row>
    <row r="157" spans="1:17" ht="22.5" customHeight="1">
      <c r="A157" s="16" t="s">
        <v>21</v>
      </c>
      <c r="B157" s="42">
        <v>44375</v>
      </c>
      <c r="C157" s="36">
        <v>4.786E-2</v>
      </c>
      <c r="D157" s="36">
        <v>4.6039999999999998E-2</v>
      </c>
      <c r="E157" s="30" cm="1">
        <f t="array" ref="E157">IF(D157="","",D157-C157)</f>
        <v>-1.8200000000000022E-3</v>
      </c>
      <c r="F157" s="31" cm="1">
        <f t="array" ref="F157">IF(D157=0,"",(D157-C157)/C157)</f>
        <v>-3.8027580442958675E-2</v>
      </c>
      <c r="G157" s="32">
        <v>84892</v>
      </c>
      <c r="H157" s="10">
        <v>1</v>
      </c>
      <c r="I157" s="11" cm="1">
        <f t="array" ref="I157">IF(D157="","",(G157*C157)*0.00075)</f>
        <v>3.04719834</v>
      </c>
      <c r="J157" s="11" cm="1">
        <f t="array" ref="J157">IF(D157="","",(G157*D157)*0.00075)</f>
        <v>2.9313207599999997</v>
      </c>
      <c r="K157" s="33" cm="1">
        <f t="array" ref="K157">IF(D157="","",J157+I157)</f>
        <v>5.9785190999999998</v>
      </c>
      <c r="L157" s="33" cm="1">
        <f t="array" ref="L157">IF(D157=0,0,(D157-C157)*G157)</f>
        <v>-154.50344000000018</v>
      </c>
      <c r="M157" s="12">
        <v>4214.5032392399999</v>
      </c>
      <c r="N157" s="34" cm="1">
        <f t="array" ref="N157">IFERROR((K157-J157)/J157,"–")</f>
        <v>1.0395308427454388</v>
      </c>
      <c r="O157" s="33" cm="1">
        <f t="array" ref="O157">IF(D157=0,0,L157-K157)</f>
        <v>-160.48195910000018</v>
      </c>
      <c r="P157" s="11"/>
      <c r="Q157" s="35"/>
    </row>
    <row r="158" spans="1:17" ht="22.5" customHeight="1">
      <c r="A158" s="16" t="s">
        <v>21</v>
      </c>
      <c r="B158" s="43">
        <v>44375</v>
      </c>
      <c r="C158" s="37">
        <v>4.786E-2</v>
      </c>
      <c r="D158" s="37">
        <v>4.5920000000000002E-2</v>
      </c>
      <c r="E158" s="19" cm="1">
        <f t="array" ref="E158">IF(D158="","",D158-C158)</f>
        <v>-1.9399999999999973E-3</v>
      </c>
      <c r="F158" s="20" cm="1">
        <f t="array" ref="F158">IF(D158=0,"",(D158-C158)/C158)</f>
        <v>-4.0534893439197604E-2</v>
      </c>
      <c r="G158" s="21">
        <v>175687</v>
      </c>
      <c r="H158" s="22">
        <v>1</v>
      </c>
      <c r="I158" s="23" cm="1">
        <f t="array" ref="I158">IF(D158="","",(G158*C158)*0.00075)</f>
        <v>6.3062848650000003</v>
      </c>
      <c r="J158" s="23" cm="1">
        <f t="array" ref="J158">IF(D158="","",(G158*D158)*0.00075)</f>
        <v>6.0506602800000007</v>
      </c>
      <c r="K158" s="24" cm="1">
        <f t="array" ref="K158">IF(D158="","",J158+I158)</f>
        <v>12.356945145000001</v>
      </c>
      <c r="L158" s="24" cm="1">
        <f t="array" ref="L158">IF(D158=0,0,(D158-C158)*G158)</f>
        <v>-340.8327799999995</v>
      </c>
      <c r="M158" s="25">
        <v>8743.1619397199993</v>
      </c>
      <c r="N158" s="26" cm="1">
        <f t="array" ref="N158">IFERROR((K158-J158)/J158,"–")</f>
        <v>1.0422473867595818</v>
      </c>
      <c r="O158" s="24" cm="1">
        <f t="array" ref="O158">IF(D158=0,0,L158-K158)</f>
        <v>-353.1897251449995</v>
      </c>
      <c r="P158" s="23"/>
      <c r="Q158" s="27"/>
    </row>
    <row r="159" spans="1:17" ht="22.5" customHeight="1">
      <c r="A159" s="16" t="s">
        <v>21</v>
      </c>
      <c r="B159" s="42">
        <v>44376</v>
      </c>
      <c r="C159" s="36">
        <v>4.5330000000000002E-2</v>
      </c>
      <c r="D159" s="36">
        <v>4.6600000000000003E-2</v>
      </c>
      <c r="E159" s="30" cm="1">
        <f t="array" ref="E159">IF(D159="","",D159-C159)</f>
        <v>1.2700000000000003E-3</v>
      </c>
      <c r="F159" s="31" cm="1">
        <f t="array" ref="F159">IF(D159=0,"",(D159-C159)/C159)</f>
        <v>2.8016765938671966E-2</v>
      </c>
      <c r="G159" s="32">
        <v>88618.2</v>
      </c>
      <c r="H159" s="10">
        <v>1</v>
      </c>
      <c r="I159" s="11" cm="1">
        <f t="array" ref="I159">IF(D159="","",(G159*C159)*0.00075)</f>
        <v>3.0127972545000001</v>
      </c>
      <c r="J159" s="11" cm="1">
        <f t="array" ref="J159">IF(D159="","",(G159*D159)*0.00075)</f>
        <v>3.0972060899999998</v>
      </c>
      <c r="K159" s="33" cm="1">
        <f t="array" ref="K159">IF(D159="","",J159+I159)</f>
        <v>6.1100033444999999</v>
      </c>
      <c r="L159" s="33" cm="1">
        <f t="array" ref="L159">IF(D159=0,0,(D159-C159)*G159)</f>
        <v>112.54511400000003</v>
      </c>
      <c r="M159" s="12">
        <v>3901.42068591</v>
      </c>
      <c r="N159" s="34" cm="1">
        <f t="array" ref="N159">IFERROR((K159-J159)/J159,"–")</f>
        <v>0.97274678111587998</v>
      </c>
      <c r="O159" s="33" cm="1">
        <f t="array" ref="O159">IF(D159=0,0,L159-K159)</f>
        <v>106.43511065550003</v>
      </c>
      <c r="P159" s="11"/>
      <c r="Q159" s="35"/>
    </row>
    <row r="160" spans="1:17" ht="22.5" customHeight="1">
      <c r="A160" s="16" t="s">
        <v>21</v>
      </c>
      <c r="B160" s="43">
        <v>44376</v>
      </c>
      <c r="C160" s="37">
        <v>4.5330000000000002E-2</v>
      </c>
      <c r="D160" s="37">
        <v>4.6530000000000002E-2</v>
      </c>
      <c r="E160" s="19" cm="1">
        <f t="array" ref="E160">IF(D160="","",D160-C160)</f>
        <v>1.1999999999999997E-3</v>
      </c>
      <c r="F160" s="20" cm="1">
        <f t="array" ref="F160">IF(D160=0,"",(D160-C160)/C160)</f>
        <v>2.6472534745201844E-2</v>
      </c>
      <c r="G160" s="21">
        <v>88618.3</v>
      </c>
      <c r="H160" s="22">
        <v>1</v>
      </c>
      <c r="I160" s="23" cm="1">
        <f t="array" ref="I160">IF(D160="","",(G160*C160)*0.00075)</f>
        <v>3.0128006542500003</v>
      </c>
      <c r="J160" s="23" cm="1">
        <f t="array" ref="J160">IF(D160="","",(G160*D160)*0.00075)</f>
        <v>3.0925571242500003</v>
      </c>
      <c r="K160" s="24" cm="1">
        <f t="array" ref="K160">IF(D160="","",J160+I160)</f>
        <v>6.1053577785000002</v>
      </c>
      <c r="L160" s="24" cm="1">
        <f t="array" ref="L160">IF(D160=0,0,(D160-C160)*G160)</f>
        <v>106.34195999999997</v>
      </c>
      <c r="M160" s="25">
        <v>3907.6330218757498</v>
      </c>
      <c r="N160" s="26" cm="1">
        <f t="array" ref="N160">IFERROR((K160-J160)/J160,"–")</f>
        <v>0.97421018697614425</v>
      </c>
      <c r="O160" s="24" cm="1">
        <f t="array" ref="O160">IF(D160=0,0,L160-K160)</f>
        <v>100.23660222149996</v>
      </c>
      <c r="P160" s="23"/>
      <c r="Q160" s="27"/>
    </row>
    <row r="161" spans="1:17" ht="22.5" customHeight="1">
      <c r="A161" s="16" t="s">
        <v>77</v>
      </c>
      <c r="B161" s="42">
        <v>44376</v>
      </c>
      <c r="C161" s="36">
        <v>0.40500000000000003</v>
      </c>
      <c r="D161" s="36">
        <v>0.41199999999999998</v>
      </c>
      <c r="E161" s="30" cm="1">
        <f t="array" ref="E161">IF(D161="","",D161-C161)</f>
        <v>6.9999999999999507E-3</v>
      </c>
      <c r="F161" s="31" cm="1">
        <f t="array" ref="F161">IF(D161=0,"",(D161-C161)/C161)</f>
        <v>1.7283950617283828E-2</v>
      </c>
      <c r="G161" s="32">
        <v>8237.6790000000001</v>
      </c>
      <c r="H161" s="10">
        <v>1</v>
      </c>
      <c r="I161" s="11" cm="1">
        <f t="array" ref="I161">IF(D161="","",(G161*C161)*0.00075)</f>
        <v>2.5021949962500005</v>
      </c>
      <c r="J161" s="11" cm="1">
        <f t="array" ref="J161">IF(D161="","",(G161*D161)*0.00075)</f>
        <v>2.545442811</v>
      </c>
      <c r="K161" s="33" cm="1">
        <f t="array" ref="K161">IF(D161="","",J161+I161)</f>
        <v>5.0476378072500001</v>
      </c>
      <c r="L161" s="33" cm="1">
        <f t="array" ref="L161">IF(D161=0,0,(D161-C161)*G161)</f>
        <v>57.663752999999595</v>
      </c>
      <c r="M161" s="12">
        <v>3276.0507991889999</v>
      </c>
      <c r="N161" s="34" cm="1">
        <f t="array" ref="N161">IFERROR((K161-J161)/J161,"–")</f>
        <v>0.98300970873786409</v>
      </c>
      <c r="O161" s="33" cm="1">
        <f t="array" ref="O161">IF(D161=0,0,L161-K161)</f>
        <v>52.616115192749596</v>
      </c>
      <c r="P161" s="11"/>
      <c r="Q161" s="35"/>
    </row>
    <row r="162" spans="1:17" ht="22.5" customHeight="1">
      <c r="A162" s="16" t="s">
        <v>77</v>
      </c>
      <c r="B162" s="43">
        <v>44376</v>
      </c>
      <c r="C162" s="37">
        <v>0.40500000000000003</v>
      </c>
      <c r="D162" s="37">
        <v>0.41299999999999998</v>
      </c>
      <c r="E162" s="19" cm="1">
        <f t="array" ref="E162">IF(D162="","",D162-C162)</f>
        <v>7.9999999999999516E-3</v>
      </c>
      <c r="F162" s="20" cm="1">
        <f t="array" ref="F162">IF(D162=0,"",(D162-C162)/C162)</f>
        <v>1.9753086419752965E-2</v>
      </c>
      <c r="G162" s="21">
        <v>4108</v>
      </c>
      <c r="H162" s="22">
        <v>1</v>
      </c>
      <c r="I162" s="23" cm="1">
        <f t="array" ref="I162">IF(D162="","",(G162*C162)*0.00075)</f>
        <v>1.2478050000000001</v>
      </c>
      <c r="J162" s="23" cm="1">
        <f t="array" ref="J162">IF(D162="","",(G162*D162)*0.00075)</f>
        <v>1.2724529999999998</v>
      </c>
      <c r="K162" s="24" cm="1">
        <f t="array" ref="K162">IF(D162="","",J162+I162)</f>
        <v>2.5202580000000001</v>
      </c>
      <c r="L162" s="24" cm="1">
        <f t="array" ref="L162">IF(D162=0,0,(D162-C162)*G162)</f>
        <v>32.863999999999798</v>
      </c>
      <c r="M162" s="25">
        <v>1629.6035469999999</v>
      </c>
      <c r="N162" s="26" cm="1">
        <f t="array" ref="N162">IFERROR((K162-J162)/J162,"–")</f>
        <v>0.9806295399515742</v>
      </c>
      <c r="O162" s="24" cm="1">
        <f t="array" ref="O162">IF(D162=0,0,L162-K162)</f>
        <v>30.3437419999998</v>
      </c>
      <c r="P162" s="23"/>
      <c r="Q162" s="27"/>
    </row>
    <row r="163" spans="1:17" ht="22.5" customHeight="1">
      <c r="A163" s="16" t="s">
        <v>78</v>
      </c>
      <c r="B163" s="42">
        <v>44376</v>
      </c>
      <c r="C163" s="36">
        <v>0.18310000000000001</v>
      </c>
      <c r="D163" s="36">
        <v>0.17580000000000001</v>
      </c>
      <c r="E163" s="30" cm="1">
        <f t="array" ref="E163">IF(D163="","",D163-C163)</f>
        <v>-7.3000000000000009E-3</v>
      </c>
      <c r="F163" s="31" cm="1">
        <f t="array" ref="F163">IF(D163=0,"",(D163-C163)/C163)</f>
        <v>-3.9868924085199348E-2</v>
      </c>
      <c r="G163" s="32">
        <v>54629.279999999999</v>
      </c>
      <c r="H163" s="10">
        <v>1</v>
      </c>
      <c r="I163" s="11" cm="1">
        <f t="array" ref="I163">IF(D163="","",(G163*C163)*0.00075)</f>
        <v>7.5019658759999999</v>
      </c>
      <c r="J163" s="11" cm="1">
        <f t="array" ref="J163">IF(D163="","",(G163*D163)*0.00075)</f>
        <v>7.2028705680000007</v>
      </c>
      <c r="K163" s="33" cm="1">
        <f t="array" ref="K163">IF(D163="","",J163+I163)</f>
        <v>14.704836444000001</v>
      </c>
      <c r="L163" s="33" cm="1">
        <f t="array" ref="L163">IF(D163=0,0,(D163-C163)*G163)</f>
        <v>-398.79374400000006</v>
      </c>
      <c r="M163" s="12">
        <v>10394.212041432</v>
      </c>
      <c r="N163" s="34" cm="1">
        <f t="array" ref="N163">IFERROR((K163-J163)/J163,"–")</f>
        <v>1.0415244596131967</v>
      </c>
      <c r="O163" s="33" cm="1">
        <f t="array" ref="O163">IF(D163=0,0,L163-K163)</f>
        <v>-413.49858044400008</v>
      </c>
      <c r="P163" s="14" t="s">
        <v>427</v>
      </c>
      <c r="Q163" s="15"/>
    </row>
    <row r="164" spans="1:17" ht="22.5" customHeight="1">
      <c r="A164" s="7"/>
      <c r="B164" s="40"/>
      <c r="C164" s="37"/>
      <c r="D164" s="37"/>
      <c r="E164" s="40" t="str" cm="1">
        <f t="array" ref="E164">IF(D164="","",D164-C164)</f>
        <v/>
      </c>
      <c r="F164" s="40" t="str" cm="1">
        <f t="array" ref="F164">IF(D164=0,"",(D164-C164)/C164)</f>
        <v/>
      </c>
      <c r="G164" s="21"/>
      <c r="H164" s="22">
        <v>1</v>
      </c>
      <c r="I164" s="40" t="str" cm="1">
        <f t="array" ref="I164">IF(D164="","",(G164*C164)*0.00075)</f>
        <v/>
      </c>
      <c r="J164" s="40" t="str" cm="1">
        <f t="array" ref="J164">IF(D164="","",(G164*D164)*0.00075)</f>
        <v/>
      </c>
      <c r="K164" s="40" t="str" cm="1">
        <f t="array" ref="K164">IF(D164="","",J164+I164)</f>
        <v/>
      </c>
      <c r="L164" s="24" cm="1">
        <f t="array" ref="L164">IF(D164=0,0,(D164-C164)*G164)</f>
        <v>0</v>
      </c>
      <c r="M164" s="46" t="s">
        <v>13</v>
      </c>
      <c r="N164" s="47" t="str" cm="1">
        <f t="array" ref="N164">IFERROR((K164-J164)/J164,"–")</f>
        <v>–</v>
      </c>
      <c r="O164" s="24" cm="1">
        <f t="array" ref="O164">IF(D164=0,0,L164-K164)</f>
        <v>0</v>
      </c>
      <c r="P164" s="23" cm="1">
        <f t="array" ref="P164">SUM(O80:O163)</f>
        <v>2762.8066789139857</v>
      </c>
      <c r="Q164" s="27"/>
    </row>
    <row r="165" spans="1:17" ht="22.5" customHeight="1">
      <c r="A165" s="16" t="s">
        <v>63</v>
      </c>
      <c r="B165" s="28">
        <v>44380</v>
      </c>
      <c r="C165" s="36">
        <v>0.15517</v>
      </c>
      <c r="D165" s="36">
        <v>0.15411</v>
      </c>
      <c r="E165" s="30" cm="1">
        <f t="array" ref="E165">IF(D165="","",D165-C165)</f>
        <v>-1.0600000000000054E-3</v>
      </c>
      <c r="F165" s="31" cm="1">
        <f t="array" ref="F165">IF(D165=0,"",(D165-C165)/C165)</f>
        <v>-6.8312173744925269E-3</v>
      </c>
      <c r="G165" s="32">
        <v>61871.1</v>
      </c>
      <c r="H165" s="10">
        <v>1</v>
      </c>
      <c r="I165" s="11" cm="1">
        <f t="array" ref="I165">IF(D165="","",(G165*C165)*0.00075)</f>
        <v>7.2004039402499993</v>
      </c>
      <c r="J165" s="11" cm="1">
        <f t="array" ref="J165">IF(D165="","",(G165*D165)*0.00075)</f>
        <v>7.1512164157500004</v>
      </c>
      <c r="K165" s="33" cm="1">
        <f t="array" ref="K165">IF(D165="","",J165+I165)</f>
        <v>14.351620356</v>
      </c>
      <c r="L165" s="33" cm="1">
        <f t="array" ref="L165">IF(D165=0,0,(D165-C165)*G165)</f>
        <v>-65.583366000000325</v>
      </c>
      <c r="M165" s="12">
        <v>9658.9707365842496</v>
      </c>
      <c r="N165" s="34" cm="1">
        <f t="array" ref="N165">IFERROR((K165-J165)/J165,"–")</f>
        <v>1.006878203880345</v>
      </c>
      <c r="O165" s="33" cm="1">
        <f t="array" ref="O165">IF(D165=0,0,L165-K165)</f>
        <v>-79.934986356000323</v>
      </c>
      <c r="P165" s="14"/>
      <c r="Q165" s="15"/>
    </row>
    <row r="166" spans="1:17" ht="22.5" customHeight="1">
      <c r="A166" s="16" t="s">
        <v>63</v>
      </c>
      <c r="B166" s="17">
        <v>44380</v>
      </c>
      <c r="C166" s="37">
        <v>0.14951999999999999</v>
      </c>
      <c r="D166" s="37">
        <v>0.15623000000000001</v>
      </c>
      <c r="E166" s="19" cm="1">
        <f t="array" ref="E166">IF(D166="","",D166-C166)</f>
        <v>6.7100000000000215E-3</v>
      </c>
      <c r="F166" s="20" cm="1">
        <f t="array" ref="F166">IF(D166=0,"",(D166-C166)/C166)</f>
        <v>4.4876939539861035E-2</v>
      </c>
      <c r="G166" s="48">
        <v>66236</v>
      </c>
      <c r="H166" s="22">
        <v>1</v>
      </c>
      <c r="I166" s="23" cm="1">
        <f t="array" ref="I166">IF(D166="","",(G166*C166)*0.00075)</f>
        <v>7.4277050400000002</v>
      </c>
      <c r="J166" s="23" cm="1">
        <f t="array" ref="J166">IF(D166="","",(G166*D166)*0.00075)</f>
        <v>7.761037710000001</v>
      </c>
      <c r="K166" s="24" cm="1">
        <f t="array" ref="K166">IF(D166="","",J166+I166)</f>
        <v>15.188742750000001</v>
      </c>
      <c r="L166" s="24" cm="1">
        <f t="array" ref="L166">IF(D166=0,0,(D166-C166)*G166)</f>
        <v>444.44356000000141</v>
      </c>
      <c r="M166" s="25">
        <v>9451.4021222899992</v>
      </c>
      <c r="N166" s="26" cm="1">
        <f t="array" ref="N166">IFERROR((K166-J166)/J166,"–")</f>
        <v>0.95705050246431533</v>
      </c>
      <c r="O166" s="24" cm="1">
        <f t="array" ref="O166">IF(D166=0,0,L166-K166)</f>
        <v>429.25481725000139</v>
      </c>
      <c r="P166" s="23"/>
      <c r="Q166" s="27"/>
    </row>
    <row r="167" spans="1:17" ht="22.5" customHeight="1">
      <c r="A167" s="16" t="s">
        <v>33</v>
      </c>
      <c r="B167" s="28">
        <v>44380</v>
      </c>
      <c r="C167" s="36">
        <v>3.9800000000000002E-4</v>
      </c>
      <c r="D167" s="36">
        <v>3.9589999999999997E-4</v>
      </c>
      <c r="E167" s="30" cm="1">
        <f t="array" ref="E167">IF(D167="","",D167-C167)</f>
        <v>-2.100000000000051E-6</v>
      </c>
      <c r="F167" s="31" cm="1">
        <f t="array" ref="F167">IF(D167=0,"",(D167-C167)/C167)</f>
        <v>-5.2763819095478668E-3</v>
      </c>
      <c r="G167" s="32">
        <v>8542713</v>
      </c>
      <c r="H167" s="10">
        <v>1</v>
      </c>
      <c r="I167" s="11" cm="1">
        <f t="array" ref="I167">IF(D167="","",(G167*C167)*0.00075)</f>
        <v>2.5499998305000005</v>
      </c>
      <c r="J167" s="11" cm="1">
        <f t="array" ref="J167">IF(D167="","",(G167*D167)*0.00075)</f>
        <v>2.5365450575249997</v>
      </c>
      <c r="K167" s="33" cm="1">
        <f t="array" ref="K167">IF(D167="","",J167+I167)</f>
        <v>5.0865448880250002</v>
      </c>
      <c r="L167" s="33" cm="1">
        <f t="array" ref="L167">IF(D167=0,0,(D167-C167)*G167)</f>
        <v>-17.939697300000436</v>
      </c>
      <c r="M167" s="12">
        <v>3415.4029262424801</v>
      </c>
      <c r="N167" s="34" cm="1">
        <f t="array" ref="N167">IFERROR((K167-J167)/J167,"–")</f>
        <v>1.0053043697903514</v>
      </c>
      <c r="O167" s="33" cm="1">
        <f t="array" ref="O167">IF(D167=0,0,L167-K167)</f>
        <v>-23.026242188025435</v>
      </c>
      <c r="P167" s="11"/>
      <c r="Q167" s="35"/>
    </row>
    <row r="168" spans="1:17" ht="22.5" customHeight="1">
      <c r="A168" s="16" t="s">
        <v>33</v>
      </c>
      <c r="B168" s="17">
        <v>44381</v>
      </c>
      <c r="C168" s="37">
        <v>3.9510000000000001E-4</v>
      </c>
      <c r="D168" s="37">
        <v>4.014E-4</v>
      </c>
      <c r="E168" s="19" cm="1">
        <f t="array" ref="E168">IF(D168="","",D168-C168)</f>
        <v>6.2999999999999905E-6</v>
      </c>
      <c r="F168" s="20" cm="1">
        <f t="array" ref="F168">IF(D168=0,"",(D168-C168)/C168)</f>
        <v>1.594533029612754E-2</v>
      </c>
      <c r="G168" s="21">
        <v>7594936</v>
      </c>
      <c r="H168" s="22">
        <v>1</v>
      </c>
      <c r="I168" s="23" cm="1">
        <f t="array" ref="I168">IF(D168="","",(G168*C168)*0.00075)</f>
        <v>2.2505694101999998</v>
      </c>
      <c r="J168" s="23" cm="1">
        <f t="array" ref="J168">IF(D168="","",(G168*D168)*0.00075)</f>
        <v>2.2864554828000001</v>
      </c>
      <c r="K168" s="24" cm="1">
        <f t="array" ref="K168">IF(D168="","",J168+I168)</f>
        <v>4.5370248929999999</v>
      </c>
      <c r="L168" s="24" cm="1">
        <f t="array" ref="L168">IF(D168=0,0,(D168-C168)*G168)</f>
        <v>47.848096799999929</v>
      </c>
      <c r="M168" s="25">
        <v>2950.6246613172002</v>
      </c>
      <c r="N168" s="26" cm="1">
        <f t="array" ref="N168">IFERROR((K168-J168)/J168,"–")</f>
        <v>0.98430493273542585</v>
      </c>
      <c r="O168" s="24" cm="1">
        <f t="array" ref="O168">IF(D168=0,0,L168-K168)</f>
        <v>43.311071906999928</v>
      </c>
      <c r="P168" s="23"/>
      <c r="Q168" s="27"/>
    </row>
    <row r="169" spans="1:17" ht="22.5" customHeight="1">
      <c r="A169" s="16" t="s">
        <v>33</v>
      </c>
      <c r="B169" s="28">
        <v>44382</v>
      </c>
      <c r="C169" s="36">
        <v>3.948E-4</v>
      </c>
      <c r="D169" s="36">
        <v>3.8210000000000002E-4</v>
      </c>
      <c r="E169" s="30" cm="1">
        <f t="array" ref="E169">IF(D169="","",D169-C169)</f>
        <v>-1.2699999999999983E-5</v>
      </c>
      <c r="F169" s="31" cm="1">
        <f t="array" ref="F169">IF(D169=0,"",(D169-C169)/C169)</f>
        <v>-3.2168186423505531E-2</v>
      </c>
      <c r="G169" s="32">
        <v>7598784</v>
      </c>
      <c r="H169" s="10">
        <v>1</v>
      </c>
      <c r="I169" s="11" cm="1">
        <f t="array" ref="I169">IF(D169="","",(G169*C169)*0.00075)</f>
        <v>2.2499999424000001</v>
      </c>
      <c r="J169" s="11" cm="1">
        <f t="array" ref="J169">IF(D169="","",(G169*D169)*0.00075)</f>
        <v>2.1776215248000002</v>
      </c>
      <c r="K169" s="33" cm="1">
        <f t="array" ref="K169">IF(D169="","",J169+I169)</f>
        <v>4.4276214671999998</v>
      </c>
      <c r="L169" s="33" cm="1">
        <f t="array" ref="L169">IF(D169=0,0,(D169-C169)*G169)</f>
        <v>-96.504556799999875</v>
      </c>
      <c r="M169" s="12">
        <v>3094.3268584752</v>
      </c>
      <c r="N169" s="34" cm="1">
        <f t="array" ref="N169">IFERROR((K169-J169)/J169,"–")</f>
        <v>1.0332373724155979</v>
      </c>
      <c r="O169" s="33" cm="1">
        <f t="array" ref="O169">IF(D169=0,0,L169-K169)</f>
        <v>-100.93217826719987</v>
      </c>
      <c r="P169" s="11"/>
      <c r="Q169" s="35"/>
    </row>
    <row r="170" spans="1:17" ht="22.5" customHeight="1">
      <c r="A170" s="16" t="s">
        <v>79</v>
      </c>
      <c r="B170" s="17">
        <v>44382</v>
      </c>
      <c r="C170" s="37">
        <v>885.6</v>
      </c>
      <c r="D170" s="37">
        <v>882.45</v>
      </c>
      <c r="E170" s="19" cm="1">
        <f t="array" ref="E170">IF(D170="","",D170-C170)</f>
        <v>-3.1499999999999773</v>
      </c>
      <c r="F170" s="20" cm="1">
        <f t="array" ref="F170">IF(D170=0,"",(D170-C170)/C170)</f>
        <v>-3.5569105691056653E-3</v>
      </c>
      <c r="G170" s="21">
        <v>5.6864249999999998</v>
      </c>
      <c r="H170" s="22">
        <v>1</v>
      </c>
      <c r="I170" s="23" cm="1">
        <f t="array" ref="I170">IF(D170="","",(G170*C170)*0.00075)</f>
        <v>3.7769234849999997</v>
      </c>
      <c r="J170" s="23" cm="1">
        <f t="array" ref="J170">IF(D170="","",(G170*D170)*0.00075)</f>
        <v>3.7634893059375005</v>
      </c>
      <c r="K170" s="24" cm="1">
        <f t="array" ref="K170">IF(D170="","",J170+I170)</f>
        <v>7.5404127909375003</v>
      </c>
      <c r="L170" s="24" cm="1">
        <f t="array" ref="L170">IF(D170=0,0,(D170-C170)*G170)</f>
        <v>-17.912238749999869</v>
      </c>
      <c r="M170" s="25">
        <v>5050.0467294440596</v>
      </c>
      <c r="N170" s="26" cm="1">
        <f t="array" ref="N170">IFERROR((K170-J170)/J170,"–")</f>
        <v>1.0035696073431921</v>
      </c>
      <c r="O170" s="24" cm="1">
        <f t="array" ref="O170">IF(D170=0,0,L170-K170)</f>
        <v>-25.452651540937367</v>
      </c>
      <c r="P170" s="23"/>
      <c r="Q170" s="27"/>
    </row>
    <row r="171" spans="1:17" ht="22.5" customHeight="1">
      <c r="A171" s="16" t="s">
        <v>79</v>
      </c>
      <c r="B171" s="28">
        <v>44382</v>
      </c>
      <c r="C171" s="36">
        <v>885.6</v>
      </c>
      <c r="D171" s="36">
        <v>880.02</v>
      </c>
      <c r="E171" s="30" cm="1">
        <f t="array" ref="E171">IF(D171="","",D171-C171)</f>
        <v>-5.5800000000000409</v>
      </c>
      <c r="F171" s="31" cm="1">
        <f t="array" ref="F171">IF(D171=0,"",(D171-C171)/C171)</f>
        <v>-6.3008130081301274E-3</v>
      </c>
      <c r="G171" s="32">
        <v>7.8638190000000003</v>
      </c>
      <c r="H171" s="10">
        <v>1</v>
      </c>
      <c r="I171" s="11" cm="1">
        <f t="array" ref="I171">IF(D171="","",(G171*C171)*0.00075)</f>
        <v>5.2231485798000001</v>
      </c>
      <c r="J171" s="11" cm="1">
        <f t="array" ref="J171">IF(D171="","",(G171*D171)*0.00075)</f>
        <v>5.1902384972850006</v>
      </c>
      <c r="K171" s="33" cm="1">
        <f t="array" ref="K171">IF(D171="","",J171+I171)</f>
        <v>10.413387077085002</v>
      </c>
      <c r="L171" s="33" cm="1">
        <f t="array" ref="L171">IF(D171=0,0,(D171-C171)*G171)</f>
        <v>-43.880110020000323</v>
      </c>
      <c r="M171" s="12">
        <v>7002.88797792272</v>
      </c>
      <c r="N171" s="34" cm="1">
        <f t="array" ref="N171">IFERROR((K171-J171)/J171,"–")</f>
        <v>1.0063407649826142</v>
      </c>
      <c r="O171" s="33" cm="1">
        <f t="array" ref="O171">IF(D171=0,0,L171-K171)</f>
        <v>-54.293497097085321</v>
      </c>
      <c r="P171" s="11"/>
      <c r="Q171" s="35"/>
    </row>
    <row r="172" spans="1:17" ht="22.5" customHeight="1">
      <c r="A172" s="16" t="s">
        <v>80</v>
      </c>
      <c r="B172" s="17">
        <v>44383</v>
      </c>
      <c r="C172" s="37">
        <v>0.44700000000000001</v>
      </c>
      <c r="D172" s="37">
        <v>0.441</v>
      </c>
      <c r="E172" s="19" cm="1">
        <f t="array" ref="E172">IF(D172="","",D172-C172)</f>
        <v>-6.0000000000000053E-3</v>
      </c>
      <c r="F172" s="20" cm="1">
        <f t="array" ref="F172">IF(D172=0,"",(D172-C172)/C172)</f>
        <v>-1.3422818791946321E-2</v>
      </c>
      <c r="G172" s="21">
        <v>26868.512999999999</v>
      </c>
      <c r="H172" s="22">
        <v>1</v>
      </c>
      <c r="I172" s="23" cm="1">
        <f t="array" ref="I172">IF(D172="","",(G172*C172)*0.00075)</f>
        <v>9.0076689832499994</v>
      </c>
      <c r="J172" s="23" cm="1">
        <f t="array" ref="J172">IF(D172="","",(G172*D172)*0.00075)</f>
        <v>8.8867606747500005</v>
      </c>
      <c r="K172" s="24" cm="1">
        <f t="array" ref="K172">IF(D172="","",J172+I172)</f>
        <v>17.894429658</v>
      </c>
      <c r="L172" s="24" cm="1">
        <f t="array" ref="L172">IF(D172=0,0,(D172-C172)*G172)</f>
        <v>-161.21107800000013</v>
      </c>
      <c r="M172" s="25">
        <v>12162.5496283253</v>
      </c>
      <c r="N172" s="26" cm="1">
        <f t="array" ref="N172">IFERROR((K172-J172)/J172,"–")</f>
        <v>1.0136054421768705</v>
      </c>
      <c r="O172" s="24" cm="1">
        <f t="array" ref="O172">IF(D172=0,0,L172-K172)</f>
        <v>-179.10550765800014</v>
      </c>
      <c r="P172" s="23"/>
      <c r="Q172" s="27"/>
    </row>
    <row r="173" spans="1:17" ht="22.5" customHeight="1">
      <c r="A173" s="16" t="s">
        <v>81</v>
      </c>
      <c r="B173" s="28">
        <v>44383</v>
      </c>
      <c r="C173" s="32">
        <v>6.6640000000000005E-2</v>
      </c>
      <c r="D173" s="36">
        <v>6.7000000000000004E-2</v>
      </c>
      <c r="E173" s="30" cm="1">
        <f t="array" ref="E173">IF(D173="","",D173-C173)</f>
        <v>3.5999999999999921E-4</v>
      </c>
      <c r="F173" s="31" cm="1">
        <f t="array" ref="F173">IF(D173=0,"",(D173-C173)/C173)</f>
        <v>5.4021608643457257E-3</v>
      </c>
      <c r="G173" s="32">
        <v>180089.60000000001</v>
      </c>
      <c r="H173" s="10">
        <v>1</v>
      </c>
      <c r="I173" s="11" cm="1">
        <f t="array" ref="I173">IF(D173="","",(G173*C173)*0.00075)</f>
        <v>9.0008782080000014</v>
      </c>
      <c r="J173" s="11" cm="1">
        <f t="array" ref="J173">IF(D173="","",(G173*D173)*0.00075)</f>
        <v>9.0495024000000015</v>
      </c>
      <c r="K173" s="33" cm="1">
        <f t="array" ref="K173">IF(D173="","",J173+I173)</f>
        <v>18.050380608000005</v>
      </c>
      <c r="L173" s="33" cm="1">
        <f t="array" ref="L173">IF(D173=0,0,(D173-C173)*G173)</f>
        <v>64.832255999999859</v>
      </c>
      <c r="M173" s="12">
        <v>11927.289185600001</v>
      </c>
      <c r="N173" s="34" cm="1">
        <f t="array" ref="N173">IFERROR((K173-J173)/J173,"–")</f>
        <v>0.99462686567164194</v>
      </c>
      <c r="O173" s="33" cm="1">
        <f t="array" ref="O173">IF(D173=0,0,L173-K173)</f>
        <v>46.781875391999854</v>
      </c>
      <c r="P173" s="11"/>
      <c r="Q173" s="35"/>
    </row>
    <row r="174" spans="1:17" ht="22.5" customHeight="1">
      <c r="A174" s="16" t="s">
        <v>33</v>
      </c>
      <c r="B174" s="17">
        <v>44383</v>
      </c>
      <c r="C174" s="37">
        <v>3.8999999999999999E-4</v>
      </c>
      <c r="D174" s="37">
        <v>3.8880000000000002E-4</v>
      </c>
      <c r="E174" s="19" cm="1">
        <f t="array" ref="E174">IF(D174="","",D174-C174)</f>
        <v>-1.199999999999975E-6</v>
      </c>
      <c r="F174" s="20" cm="1">
        <f t="array" ref="F174">IF(D174=0,"",(D174-C174)/C174)</f>
        <v>-3.0769230769230127E-3</v>
      </c>
      <c r="G174" s="21">
        <v>30770484</v>
      </c>
      <c r="H174" s="22">
        <v>1</v>
      </c>
      <c r="I174" s="23" cm="1">
        <f t="array" ref="I174">IF(D174="","",(G174*C174)*0.00075)</f>
        <v>9.0003665700000006</v>
      </c>
      <c r="J174" s="23" cm="1">
        <f t="array" ref="J174">IF(D174="","",(G174*D174)*0.00075)</f>
        <v>8.9726731344000008</v>
      </c>
      <c r="K174" s="24" cm="1">
        <f t="array" ref="K174">IF(D174="","",J174+I174)</f>
        <v>17.973039704400001</v>
      </c>
      <c r="L174" s="24" cm="1">
        <f t="array" ref="L174">IF(D174=0,0,(D174-C174)*G174)</f>
        <v>-36.924580799999227</v>
      </c>
      <c r="M174" s="25">
        <v>12028.4406676656</v>
      </c>
      <c r="N174" s="26" cm="1">
        <f t="array" ref="N174">IFERROR((K174-J174)/J174,"–")</f>
        <v>1.0030864197530864</v>
      </c>
      <c r="O174" s="24" cm="1">
        <f t="array" ref="O174">IF(D174=0,0,L174-K174)</f>
        <v>-54.897620504399228</v>
      </c>
      <c r="P174" s="23"/>
      <c r="Q174" s="27"/>
    </row>
    <row r="175" spans="1:17" ht="22.5" customHeight="1">
      <c r="A175" s="16" t="s">
        <v>82</v>
      </c>
      <c r="B175" s="28">
        <v>44384</v>
      </c>
      <c r="C175" s="36">
        <v>1.9264E-2</v>
      </c>
      <c r="D175" s="36">
        <v>1.9574999999999999E-2</v>
      </c>
      <c r="E175" s="30" cm="1">
        <f t="array" ref="E175">IF(D175="","",D175-C175)</f>
        <v>3.1099999999999878E-4</v>
      </c>
      <c r="F175" s="31" cm="1">
        <f t="array" ref="F175">IF(D175=0,"",(D175-C175)/C175)</f>
        <v>1.614410299003316E-2</v>
      </c>
      <c r="G175" s="32">
        <v>311472</v>
      </c>
      <c r="H175" s="10">
        <v>1</v>
      </c>
      <c r="I175" s="11" cm="1">
        <f t="array" ref="I175">IF(D175="","",(G175*C175)*0.00075)</f>
        <v>4.5001474560000005</v>
      </c>
      <c r="J175" s="11" cm="1">
        <f t="array" ref="J175">IF(D175="","",(G175*D175)*0.00075)</f>
        <v>4.5727982999999996</v>
      </c>
      <c r="K175" s="33" cm="1">
        <f t="array" ref="K175">IF(D175="","",J175+I175)</f>
        <v>9.0729457559999993</v>
      </c>
      <c r="L175" s="33" cm="1">
        <f t="array" ref="L175">IF(D175=0,0,(D175-C175)*G175)</f>
        <v>96.867791999999625</v>
      </c>
      <c r="M175" s="12">
        <v>5898.7560176999996</v>
      </c>
      <c r="N175" s="34" cm="1">
        <f t="array" ref="N175">IFERROR((K175-J175)/J175,"–")</f>
        <v>0.98411238825031933</v>
      </c>
      <c r="O175" s="33" cm="1">
        <f t="array" ref="O175">IF(D175=0,0,L175-K175)</f>
        <v>87.794846243999629</v>
      </c>
      <c r="P175" s="8"/>
      <c r="Q175" s="15"/>
    </row>
    <row r="176" spans="1:17" ht="22.5" customHeight="1">
      <c r="A176" s="16" t="s">
        <v>82</v>
      </c>
      <c r="B176" s="17">
        <v>44384</v>
      </c>
      <c r="C176" s="37">
        <v>1.9264E-2</v>
      </c>
      <c r="D176" s="37">
        <v>1.9400000000000001E-2</v>
      </c>
      <c r="E176" s="19" cm="1">
        <f t="array" ref="E176">IF(D176="","",D176-C176)</f>
        <v>1.360000000000007E-4</v>
      </c>
      <c r="F176" s="20" cm="1">
        <f t="array" ref="F176">IF(D176=0,"",(D176-C176)/C176)</f>
        <v>7.0598006644518639E-3</v>
      </c>
      <c r="G176" s="21">
        <v>311473</v>
      </c>
      <c r="H176" s="22">
        <v>1</v>
      </c>
      <c r="I176" s="23" cm="1">
        <f t="array" ref="I176">IF(D176="","",(G176*C176)*0.00075)</f>
        <v>4.5001619039999996</v>
      </c>
      <c r="J176" s="23" cm="1">
        <f t="array" ref="J176">IF(D176="","",(G176*D176)*0.00075)</f>
        <v>4.5319321500000003</v>
      </c>
      <c r="K176" s="24" cm="1">
        <f t="array" ref="K176">IF(D176="","",J176+I176)</f>
        <v>9.0320940539999999</v>
      </c>
      <c r="L176" s="24" cm="1">
        <f t="array" ref="L176">IF(D176=0,0,(D176-C176)*G176)</f>
        <v>42.360328000000216</v>
      </c>
      <c r="M176" s="25">
        <v>5953.3236118499999</v>
      </c>
      <c r="N176" s="26" cm="1">
        <f t="array" ref="N176">IFERROR((K176-J176)/J176,"–")</f>
        <v>0.99298969072164933</v>
      </c>
      <c r="O176" s="24" cm="1">
        <f t="array" ref="O176">IF(D176=0,0,L176-K176)</f>
        <v>33.328233946000218</v>
      </c>
      <c r="P176" s="23"/>
      <c r="Q176" s="27"/>
    </row>
    <row r="177" spans="1:17" ht="22.5" customHeight="1">
      <c r="A177" s="16" t="s">
        <v>80</v>
      </c>
      <c r="B177" s="28">
        <v>44384</v>
      </c>
      <c r="C177" s="36">
        <v>0.496</v>
      </c>
      <c r="D177" s="36">
        <v>0.501</v>
      </c>
      <c r="E177" s="30" cm="1">
        <f t="array" ref="E177">IF(D177="","",D177-C177)</f>
        <v>5.0000000000000044E-3</v>
      </c>
      <c r="F177" s="31" cm="1">
        <f t="array" ref="F177">IF(D177=0,"",(D177-C177)/C177)</f>
        <v>1.0080645161290331E-2</v>
      </c>
      <c r="G177" s="32">
        <v>12107.432000000001</v>
      </c>
      <c r="H177" s="10">
        <v>1</v>
      </c>
      <c r="I177" s="11" cm="1">
        <f t="array" ref="I177">IF(D177="","",(G177*C177)*0.00075)</f>
        <v>4.5039647040000004</v>
      </c>
      <c r="J177" s="11" cm="1">
        <f t="array" ref="J177">IF(D177="","",(G177*D177)*0.00075)</f>
        <v>4.5493675740000006</v>
      </c>
      <c r="K177" s="33" cm="1">
        <f t="array" ref="K177">IF(D177="","",J177+I177)</f>
        <v>9.053332278000001</v>
      </c>
      <c r="L177" s="33" cm="1">
        <f t="array" ref="L177">IF(D177=0,0,(D177-C177)*G177)</f>
        <v>60.537160000000057</v>
      </c>
      <c r="M177" s="12">
        <v>5940.1997444259996</v>
      </c>
      <c r="N177" s="34" cm="1">
        <f t="array" ref="N177">IFERROR((K177-J177)/J177,"–")</f>
        <v>0.99001996007984028</v>
      </c>
      <c r="O177" s="33" cm="1">
        <f t="array" ref="O177">IF(D177=0,0,L177-K177)</f>
        <v>51.483827722000058</v>
      </c>
      <c r="P177" s="11"/>
      <c r="Q177" s="35"/>
    </row>
    <row r="178" spans="1:17" ht="22.5" customHeight="1">
      <c r="A178" s="16" t="s">
        <v>77</v>
      </c>
      <c r="B178" s="17">
        <v>44384</v>
      </c>
      <c r="C178" s="37">
        <v>0.46500000000000002</v>
      </c>
      <c r="D178" s="37">
        <v>0.46800000000000003</v>
      </c>
      <c r="E178" s="19" cm="1">
        <f t="array" ref="E178">IF(D178="","",D178-C178)</f>
        <v>3.0000000000000027E-3</v>
      </c>
      <c r="F178" s="20" cm="1">
        <f t="array" ref="F178">IF(D178=0,"",(D178-C178)/C178)</f>
        <v>6.4516129032258117E-3</v>
      </c>
      <c r="G178" s="21">
        <v>662.19200000000001</v>
      </c>
      <c r="H178" s="22">
        <v>1</v>
      </c>
      <c r="I178" s="23" cm="1">
        <f t="array" ref="I178">IF(D178="","",(G178*C178)*0.00075)</f>
        <v>0.23093946000000001</v>
      </c>
      <c r="J178" s="23" cm="1">
        <f t="array" ref="J178">IF(D178="","",(G178*D178)*0.00075)</f>
        <v>0.23242939200000001</v>
      </c>
      <c r="K178" s="24" cm="1">
        <f t="array" ref="K178">IF(D178="","",J178+I178)</f>
        <v>0.463368852</v>
      </c>
      <c r="L178" s="24" cm="1">
        <f t="array" ref="L178">IF(D178=0,0,(D178-C178)*G178)</f>
        <v>1.9865760000000019</v>
      </c>
      <c r="M178" s="25">
        <v>305.70027460799997</v>
      </c>
      <c r="N178" s="26" cm="1">
        <f t="array" ref="N178">IFERROR((K178-J178)/J178,"–")</f>
        <v>0.9935897435897435</v>
      </c>
      <c r="O178" s="24" cm="1">
        <f t="array" ref="O178">IF(D178=0,0,L178-K178)</f>
        <v>1.5232071480000018</v>
      </c>
      <c r="P178" s="23"/>
      <c r="Q178" s="27"/>
    </row>
    <row r="179" spans="1:17" ht="22.5" customHeight="1">
      <c r="A179" s="16" t="s">
        <v>77</v>
      </c>
      <c r="B179" s="28">
        <v>44384</v>
      </c>
      <c r="C179" s="36">
        <v>0.46500000000000002</v>
      </c>
      <c r="D179" s="36">
        <v>0.46600000000000003</v>
      </c>
      <c r="E179" s="30" cm="1">
        <f t="array" ref="E179">IF(D179="","",D179-C179)</f>
        <v>1.0000000000000009E-3</v>
      </c>
      <c r="F179" s="31" cm="1">
        <f t="array" ref="F179">IF(D179=0,"",(D179-C179)/C179)</f>
        <v>2.1505376344086039E-3</v>
      </c>
      <c r="G179" s="32">
        <v>12965.903</v>
      </c>
      <c r="H179" s="10">
        <v>1</v>
      </c>
      <c r="I179" s="11" cm="1">
        <f t="array" ref="I179">IF(D179="","",(G179*C179)*0.00075)</f>
        <v>4.5218586712500004</v>
      </c>
      <c r="J179" s="11" cm="1">
        <f t="array" ref="J179">IF(D179="","",(G179*D179)*0.00075)</f>
        <v>4.5315830985000005</v>
      </c>
      <c r="K179" s="33" cm="1">
        <f t="array" ref="K179">IF(D179="","",J179+I179)</f>
        <v>9.0534417697500018</v>
      </c>
      <c r="L179" s="33" cm="1">
        <f t="array" ref="L179">IF(D179=0,0,(D179-C179)*G179)</f>
        <v>12.965903000000012</v>
      </c>
      <c r="M179" s="12">
        <v>6011.6474089015001</v>
      </c>
      <c r="N179" s="34" cm="1">
        <f t="array" ref="N179">IFERROR((K179-J179)/J179,"–")</f>
        <v>0.99785407725321906</v>
      </c>
      <c r="O179" s="33" cm="1">
        <f t="array" ref="O179">IF(D179=0,0,L179-K179)</f>
        <v>3.9124612302500097</v>
      </c>
      <c r="P179" s="11"/>
      <c r="Q179" s="35"/>
    </row>
    <row r="180" spans="1:17" ht="22.5" customHeight="1">
      <c r="A180" s="16" t="s">
        <v>77</v>
      </c>
      <c r="B180" s="17">
        <v>44384</v>
      </c>
      <c r="C180" s="37">
        <v>0.46500000000000002</v>
      </c>
      <c r="D180" s="37">
        <v>0.45900000000000002</v>
      </c>
      <c r="E180" s="19" cm="1">
        <f t="array" ref="E180">IF(D180="","",D180-C180)</f>
        <v>-6.0000000000000053E-3</v>
      </c>
      <c r="F180" s="20" cm="1">
        <f t="array" ref="F180">IF(D180=0,"",(D180-C180)/C180)</f>
        <v>-1.2903225806451623E-2</v>
      </c>
      <c r="G180" s="21">
        <v>12303.71</v>
      </c>
      <c r="H180" s="22">
        <v>1</v>
      </c>
      <c r="I180" s="23" cm="1">
        <f t="array" ref="I180">IF(D180="","",(G180*C180)*0.00075)</f>
        <v>4.2909188624999999</v>
      </c>
      <c r="J180" s="23" cm="1">
        <f t="array" ref="J180">IF(D180="","",(G180*D180)*0.00075)</f>
        <v>4.2355521674999999</v>
      </c>
      <c r="K180" s="24" cm="1">
        <f t="array" ref="K180">IF(D180="","",J180+I180)</f>
        <v>8.5264710299999997</v>
      </c>
      <c r="L180" s="24" cm="1">
        <f t="array" ref="L180">IF(D180=0,0,(D180-C180)*G180)</f>
        <v>-73.822260000000057</v>
      </c>
      <c r="M180" s="25">
        <v>5790.8118578325002</v>
      </c>
      <c r="N180" s="26" cm="1">
        <f t="array" ref="N180">IFERROR((K180-J180)/J180,"–")</f>
        <v>1.0130718954248366</v>
      </c>
      <c r="O180" s="24" cm="1">
        <f t="array" ref="O180">IF(D180=0,0,L180-K180)</f>
        <v>-82.348731030000053</v>
      </c>
      <c r="P180" s="23"/>
      <c r="Q180" s="27"/>
    </row>
    <row r="181" spans="1:17" ht="22.5" customHeight="1">
      <c r="A181" s="16" t="s">
        <v>83</v>
      </c>
      <c r="B181" s="28">
        <v>44384</v>
      </c>
      <c r="C181" s="36">
        <v>2.0993000000000001E-2</v>
      </c>
      <c r="D181" s="36">
        <v>2.103E-2</v>
      </c>
      <c r="E181" s="30" cm="1">
        <f t="array" ref="E181">IF(D181="","",D181-C181)</f>
        <v>3.6999999999998839E-5</v>
      </c>
      <c r="F181" s="31" cm="1">
        <f t="array" ref="F181">IF(D181=0,"",(D181-C181)/C181)</f>
        <v>1.7624922593244814E-3</v>
      </c>
      <c r="G181" s="32">
        <v>285810</v>
      </c>
      <c r="H181" s="10">
        <v>1</v>
      </c>
      <c r="I181" s="11" cm="1">
        <f t="array" ref="I181">IF(D181="","",(G181*C181)*0.00075)</f>
        <v>4.5000069975000008</v>
      </c>
      <c r="J181" s="11" cm="1">
        <f t="array" ref="J181">IF(D181="","",(G181*D181)*0.00075)</f>
        <v>4.5079382250000002</v>
      </c>
      <c r="K181" s="33" cm="1">
        <f t="array" ref="K181">IF(D181="","",J181+I181)</f>
        <v>9.0079452225000018</v>
      </c>
      <c r="L181" s="33" cm="1">
        <f t="array" ref="L181">IF(D181=0,0,(D181-C181)*G181)</f>
        <v>10.574969999999668</v>
      </c>
      <c r="M181" s="12">
        <v>5984.9264217749997</v>
      </c>
      <c r="N181" s="34" cm="1">
        <f t="array" ref="N181">IFERROR((K181-J181)/J181,"–")</f>
        <v>0.99824060865430375</v>
      </c>
      <c r="O181" s="33" cm="1">
        <f t="array" ref="O181">IF(D181=0,0,L181-K181)</f>
        <v>1.5670247774996664</v>
      </c>
      <c r="P181" s="11"/>
      <c r="Q181" s="35"/>
    </row>
    <row r="182" spans="1:17" ht="22.5" customHeight="1">
      <c r="A182" s="16" t="s">
        <v>34</v>
      </c>
      <c r="B182" s="17">
        <v>44384</v>
      </c>
      <c r="C182" s="37">
        <v>0.26888000000000001</v>
      </c>
      <c r="D182" s="37">
        <v>0.27395999999999998</v>
      </c>
      <c r="E182" s="19" cm="1">
        <f t="array" ref="E182">IF(D182="","",D182-C182)</f>
        <v>5.0799999999999734E-3</v>
      </c>
      <c r="F182" s="20" cm="1">
        <f t="array" ref="F182">IF(D182=0,"",(D182-C182)/C182)</f>
        <v>1.8893186551621442E-2</v>
      </c>
      <c r="G182" s="21">
        <v>7655.3</v>
      </c>
      <c r="H182" s="22">
        <v>1</v>
      </c>
      <c r="I182" s="23" cm="1">
        <f t="array" ref="I182">IF(D182="","",(G182*C182)*0.00075)</f>
        <v>1.5437677980000002</v>
      </c>
      <c r="J182" s="23" cm="1">
        <f t="array" ref="J182">IF(D182="","",(G182*D182)*0.00075)</f>
        <v>1.572934491</v>
      </c>
      <c r="K182" s="24" cm="1">
        <f t="array" ref="K182">IF(D182="","",J182+I182)</f>
        <v>3.116702289</v>
      </c>
      <c r="L182" s="24" cm="1">
        <f t="array" ref="L182">IF(D182=0,0,(D182-C182)*G182)</f>
        <v>38.888923999999797</v>
      </c>
      <c r="M182" s="25">
        <v>2017.8952055090001</v>
      </c>
      <c r="N182" s="26" cm="1">
        <f t="array" ref="N182">IFERROR((K182-J182)/J182,"–")</f>
        <v>0.9814571470287633</v>
      </c>
      <c r="O182" s="24" cm="1">
        <f t="array" ref="O182">IF(D182=0,0,L182-K182)</f>
        <v>35.772221710999794</v>
      </c>
      <c r="P182" s="23"/>
      <c r="Q182" s="27"/>
    </row>
    <row r="183" spans="1:17" ht="22.5" customHeight="1">
      <c r="A183" s="16" t="s">
        <v>34</v>
      </c>
      <c r="B183" s="28">
        <v>44384</v>
      </c>
      <c r="C183" s="36">
        <v>0.26888000000000001</v>
      </c>
      <c r="D183" s="36">
        <v>0.27263999999999999</v>
      </c>
      <c r="E183" s="30" cm="1">
        <f t="array" ref="E183">IF(D183="","",D183-C183)</f>
        <v>3.7599999999999856E-3</v>
      </c>
      <c r="F183" s="31" cm="1">
        <f t="array" ref="F183">IF(D183=0,"",(D183-C183)/C183)</f>
        <v>1.3983933353168646E-2</v>
      </c>
      <c r="G183" s="32">
        <v>3494</v>
      </c>
      <c r="H183" s="10">
        <v>1</v>
      </c>
      <c r="I183" s="11" cm="1">
        <f t="array" ref="I183">IF(D183="","",(G183*C183)*0.00075)</f>
        <v>0.70460003999999998</v>
      </c>
      <c r="J183" s="11" cm="1">
        <f t="array" ref="J183">IF(D183="","",(G183*D183)*0.00075)</f>
        <v>0.71445312000000005</v>
      </c>
      <c r="K183" s="33" cm="1">
        <f t="array" ref="K183">IF(D183="","",J183+I183)</f>
        <v>1.41905316</v>
      </c>
      <c r="L183" s="33" cm="1">
        <f t="array" ref="L183">IF(D183=0,0,(D183-C183)*G183)</f>
        <v>13.13743999999995</v>
      </c>
      <c r="M183" s="12">
        <v>925.61482688000001</v>
      </c>
      <c r="N183" s="34" cm="1">
        <f t="array" ref="N183">IFERROR((K183-J183)/J183,"–")</f>
        <v>0.98620892018779338</v>
      </c>
      <c r="O183" s="33" cm="1">
        <f t="array" ref="O183">IF(D183=0,0,L183-K183)</f>
        <v>11.718386839999949</v>
      </c>
      <c r="P183" s="11"/>
      <c r="Q183" s="35"/>
    </row>
    <row r="184" spans="1:17" ht="22.5" customHeight="1">
      <c r="A184" s="16" t="s">
        <v>34</v>
      </c>
      <c r="B184" s="17">
        <v>44384</v>
      </c>
      <c r="C184" s="37">
        <v>0.27467999999999998</v>
      </c>
      <c r="D184" s="37">
        <v>0.27300999999999997</v>
      </c>
      <c r="E184" s="19" cm="1">
        <f t="array" ref="E184">IF(D184="","",D184-C184)</f>
        <v>-1.6700000000000048E-3</v>
      </c>
      <c r="F184" s="20" cm="1">
        <f t="array" ref="F184">IF(D184=0,"",(D184-C184)/C184)</f>
        <v>-6.0798019513616025E-3</v>
      </c>
      <c r="G184" s="21">
        <v>17972.099999999999</v>
      </c>
      <c r="H184" s="22">
        <v>1</v>
      </c>
      <c r="I184" s="23" cm="1">
        <f t="array" ref="I184">IF(D184="","",(G184*C184)*0.00075)</f>
        <v>3.7024323209999994</v>
      </c>
      <c r="J184" s="23" cm="1">
        <f t="array" ref="J184">IF(D184="","",(G184*D184)*0.00075)</f>
        <v>3.6799222657499993</v>
      </c>
      <c r="K184" s="24" cm="1">
        <f t="array" ref="K184">IF(D184="","",J184+I184)</f>
        <v>7.3823545867499991</v>
      </c>
      <c r="L184" s="24" cm="1">
        <f t="array" ref="L184">IF(D184=0,0,(D184-C184)*G184)</f>
        <v>-30.013407000000083</v>
      </c>
      <c r="M184" s="25">
        <v>4962.9099127342497</v>
      </c>
      <c r="N184" s="26" cm="1">
        <f t="array" ref="N184">IFERROR((K184-J184)/J184,"–")</f>
        <v>1.0061169920515733</v>
      </c>
      <c r="O184" s="24" cm="1">
        <f t="array" ref="O184">IF(D184=0,0,L184-K184)</f>
        <v>-37.395761586750083</v>
      </c>
      <c r="P184" s="23"/>
      <c r="Q184" s="27"/>
    </row>
    <row r="185" spans="1:17" ht="22.5" customHeight="1">
      <c r="A185" s="16" t="s">
        <v>34</v>
      </c>
      <c r="B185" s="28">
        <v>44384</v>
      </c>
      <c r="C185" s="36">
        <v>0.27467999999999998</v>
      </c>
      <c r="D185" s="36">
        <v>0.27677000000000002</v>
      </c>
      <c r="E185" s="30" cm="1">
        <f t="array" ref="E185">IF(D185="","",D185-C185)</f>
        <v>2.0900000000000363E-3</v>
      </c>
      <c r="F185" s="31" cm="1">
        <f t="array" ref="F185">IF(D185=0,"",(D185-C185)/C185)</f>
        <v>7.6088539391293009E-3</v>
      </c>
      <c r="G185" s="32">
        <v>3968.8</v>
      </c>
      <c r="H185" s="10">
        <v>1</v>
      </c>
      <c r="I185" s="11" cm="1">
        <f t="array" ref="I185">IF(D185="","",(G185*C185)*0.00075)</f>
        <v>0.81761248799999997</v>
      </c>
      <c r="J185" s="11" cm="1">
        <f t="array" ref="J185">IF(D185="","",(G185*D185)*0.00075)</f>
        <v>0.82383358200000001</v>
      </c>
      <c r="K185" s="33" cm="1">
        <f t="array" ref="K185">IF(D185="","",J185+I185)</f>
        <v>1.64144607</v>
      </c>
      <c r="L185" s="33" cm="1">
        <f t="array" ref="L185">IF(D185=0,0,(D185-C185)*G185)</f>
        <v>8.2947920000001449</v>
      </c>
      <c r="M185" s="12">
        <v>1081.0313584180001</v>
      </c>
      <c r="N185" s="34" cm="1">
        <f t="array" ref="N185">IFERROR((K185-J185)/J185,"–")</f>
        <v>0.99244860353361997</v>
      </c>
      <c r="O185" s="33" cm="1">
        <f t="array" ref="O185">IF(D185=0,0,L185-K185)</f>
        <v>6.6533459300001452</v>
      </c>
      <c r="P185" s="11"/>
      <c r="Q185" s="35"/>
    </row>
    <row r="186" spans="1:17" ht="22.5" customHeight="1">
      <c r="A186" s="16" t="s">
        <v>30</v>
      </c>
      <c r="B186" s="17">
        <v>44384</v>
      </c>
      <c r="C186" s="37">
        <v>34531.58</v>
      </c>
      <c r="D186" s="37">
        <v>34537.24</v>
      </c>
      <c r="E186" s="19" cm="1">
        <f t="array" ref="E186">IF(D186="","",D186-C186)</f>
        <v>5.6599999999962165</v>
      </c>
      <c r="F186" s="20" cm="1">
        <f t="array" ref="F186">IF(D186=0,"",(D186-C186)/C186)</f>
        <v>1.6390793586613229E-4</v>
      </c>
      <c r="G186" s="21">
        <v>0.28958899999999999</v>
      </c>
      <c r="H186" s="22">
        <v>1</v>
      </c>
      <c r="I186" s="23" cm="1">
        <f t="array" ref="I186">IF(D186="","",(G186*C186)*0.00075)</f>
        <v>7.4999742904650004</v>
      </c>
      <c r="J186" s="23" cm="1">
        <f t="array" ref="J186">IF(D186="","",(G186*D186)*0.00075)</f>
        <v>7.501203595769999</v>
      </c>
      <c r="K186" s="24" cm="1">
        <f t="array" ref="K186">IF(D186="","",J186+I186)</f>
        <v>15.001177886234998</v>
      </c>
      <c r="L186" s="24" cm="1">
        <f t="array" ref="L186">IF(D186=0,0,(D186-C186)*G186)</f>
        <v>1.6390737399989042</v>
      </c>
      <c r="M186" s="25">
        <v>9990.8254432842296</v>
      </c>
      <c r="N186" s="26" cm="1">
        <f t="array" ref="N186">IFERROR((K186-J186)/J186,"–")</f>
        <v>0.99983611892554247</v>
      </c>
      <c r="O186" s="24" cm="1">
        <f t="array" ref="O186">IF(D186=0,0,L186-K186)</f>
        <v>-13.362104146236094</v>
      </c>
      <c r="P186" s="23"/>
      <c r="Q186" s="27"/>
    </row>
    <row r="187" spans="1:17" ht="22.5" customHeight="1">
      <c r="A187" s="16" t="s">
        <v>438</v>
      </c>
      <c r="B187" s="28">
        <v>44384</v>
      </c>
      <c r="C187" s="36">
        <v>15</v>
      </c>
      <c r="D187" s="36">
        <v>5</v>
      </c>
      <c r="E187" s="30" cm="1">
        <f t="array" ref="E187">IF(D187="","",D187-C187)</f>
        <v>-10</v>
      </c>
      <c r="F187" s="31" cm="1">
        <f t="array" ref="F187">IF(D187=0,"",(D187-C187)/C187)</f>
        <v>-0.66666666666666663</v>
      </c>
      <c r="G187" s="32">
        <v>1</v>
      </c>
      <c r="H187" s="10">
        <v>1</v>
      </c>
      <c r="I187" s="11" cm="1">
        <f t="array" ref="I187">IF(D187="","",(G187*C187)*0.00075)</f>
        <v>1.125E-2</v>
      </c>
      <c r="J187" s="11" cm="1">
        <f t="array" ref="J187">IF(D187="","",(G187*D187)*0.00075)</f>
        <v>3.7499999999999999E-3</v>
      </c>
      <c r="K187" s="33" cm="1">
        <f t="array" ref="K187">IF(D187="","",J187+I187)</f>
        <v>1.4999999999999999E-2</v>
      </c>
      <c r="L187" s="33" cm="1">
        <f t="array" ref="L187">IF(D187=0,0,(D187-C187)*G187)</f>
        <v>-10</v>
      </c>
      <c r="M187" s="12">
        <v>24.99625</v>
      </c>
      <c r="N187" s="34" cm="1">
        <f t="array" ref="N187">IFERROR((K187-J187)/J187,"–")</f>
        <v>3</v>
      </c>
      <c r="O187" s="33" cm="1">
        <f t="array" ref="O187">IF(D187=0,0,L187-K187)</f>
        <v>-10.015000000000001</v>
      </c>
      <c r="P187" s="11"/>
      <c r="Q187" s="35"/>
    </row>
    <row r="188" spans="1:17" ht="22.5" customHeight="1">
      <c r="A188" s="16" t="s">
        <v>77</v>
      </c>
      <c r="B188" s="17">
        <v>44384</v>
      </c>
      <c r="C188" s="37">
        <v>0.48</v>
      </c>
      <c r="D188" s="37">
        <v>0.48599999999999999</v>
      </c>
      <c r="E188" s="19" cm="1">
        <f t="array" ref="E188">IF(D188="","",D188-C188)</f>
        <v>6.0000000000000053E-3</v>
      </c>
      <c r="F188" s="20" cm="1">
        <f t="array" ref="F188">IF(D188=0,"",(D188-C188)/C188)</f>
        <v>1.2500000000000011E-2</v>
      </c>
      <c r="G188" s="21">
        <v>10428.821</v>
      </c>
      <c r="H188" s="22">
        <v>1</v>
      </c>
      <c r="I188" s="23" cm="1">
        <f t="array" ref="I188">IF(D188="","",(G188*C188)*0.00075)</f>
        <v>3.7543755599999997</v>
      </c>
      <c r="J188" s="23" cm="1">
        <f t="array" ref="J188">IF(D188="","",(G188*D188)*0.00075)</f>
        <v>3.8013052544999995</v>
      </c>
      <c r="K188" s="24" cm="1">
        <f t="array" ref="K188">IF(D188="","",J188+I188)</f>
        <v>7.5556808144999987</v>
      </c>
      <c r="L188" s="24" cm="1">
        <f t="array" ref="L188">IF(D188=0,0,(D188-C188)*G188)</f>
        <v>62.572926000000052</v>
      </c>
      <c r="M188" s="25">
        <v>4939.4598487454996</v>
      </c>
      <c r="N188" s="26" cm="1">
        <f t="array" ref="N188">IFERROR((K188-J188)/J188,"–")</f>
        <v>0.98765432098765427</v>
      </c>
      <c r="O188" s="24" cm="1">
        <f t="array" ref="O188">IF(D188=0,0,L188-K188)</f>
        <v>55.017245185500052</v>
      </c>
      <c r="P188" s="23"/>
      <c r="Q188" s="27"/>
    </row>
    <row r="189" spans="1:17" ht="22.5" customHeight="1">
      <c r="A189" s="16" t="s">
        <v>77</v>
      </c>
      <c r="B189" s="28">
        <v>44384</v>
      </c>
      <c r="C189" s="36">
        <v>0.48</v>
      </c>
      <c r="D189" s="36">
        <v>0.48499999999999999</v>
      </c>
      <c r="E189" s="30" cm="1">
        <f t="array" ref="E189">IF(D189="","",D189-C189)</f>
        <v>5.0000000000000044E-3</v>
      </c>
      <c r="F189" s="31" cm="1">
        <f t="array" ref="F189">IF(D189=0,"",(D189-C189)/C189)</f>
        <v>1.0416666666666676E-2</v>
      </c>
      <c r="G189" s="32">
        <v>5214.4110000000001</v>
      </c>
      <c r="H189" s="10">
        <v>1</v>
      </c>
      <c r="I189" s="11" cm="1">
        <f t="array" ref="I189">IF(D189="","",(G189*C189)*0.00075)</f>
        <v>1.8771879600000001</v>
      </c>
      <c r="J189" s="11" cm="1">
        <f t="array" ref="J189">IF(D189="","",(G189*D189)*0.00075)</f>
        <v>1.8967420012499998</v>
      </c>
      <c r="K189" s="33" cm="1">
        <f t="array" ref="K189">IF(D189="","",J189+I189)</f>
        <v>3.7739299612499999</v>
      </c>
      <c r="L189" s="33" cm="1">
        <f t="array" ref="L189">IF(D189=0,0,(D189-C189)*G189)</f>
        <v>26.072055000000024</v>
      </c>
      <c r="M189" s="12">
        <v>2474.94848299875</v>
      </c>
      <c r="N189" s="34" cm="1">
        <f t="array" ref="N189">IFERROR((K189-J189)/J189,"–")</f>
        <v>0.98969072164948468</v>
      </c>
      <c r="O189" s="33" cm="1">
        <f t="array" ref="O189">IF(D189=0,0,L189-K189)</f>
        <v>22.298125038750022</v>
      </c>
      <c r="P189" s="11"/>
      <c r="Q189" s="35"/>
    </row>
    <row r="190" spans="1:17" ht="22.5" customHeight="1">
      <c r="A190" s="16" t="s">
        <v>77</v>
      </c>
      <c r="B190" s="17">
        <v>44384</v>
      </c>
      <c r="C190" s="37">
        <v>0.48</v>
      </c>
      <c r="D190" s="37">
        <v>0.48299999999999998</v>
      </c>
      <c r="E190" s="19" cm="1">
        <f t="array" ref="E190">IF(D190="","",D190-C190)</f>
        <v>3.0000000000000027E-3</v>
      </c>
      <c r="F190" s="20" cm="1">
        <f t="array" ref="F190">IF(D190=0,"",(D190-C190)/C190)</f>
        <v>6.2500000000000056E-3</v>
      </c>
      <c r="G190" s="48">
        <v>5214.4110000000001</v>
      </c>
      <c r="H190" s="22">
        <v>1</v>
      </c>
      <c r="I190" s="23" cm="1">
        <f t="array" ref="I190">IF(D190="","",(G190*C190)*0.00075)</f>
        <v>1.8771879600000001</v>
      </c>
      <c r="J190" s="23" cm="1">
        <f t="array" ref="J190">IF(D190="","",(G190*D190)*0.00075)</f>
        <v>1.88892038475</v>
      </c>
      <c r="K190" s="24" cm="1">
        <f t="array" ref="K190">IF(D190="","",J190+I190)</f>
        <v>3.7661083447500001</v>
      </c>
      <c r="L190" s="24" cm="1">
        <f t="array" ref="L190">IF(D190=0,0,(D190-C190)*G190)</f>
        <v>15.643233000000015</v>
      </c>
      <c r="M190" s="25">
        <v>2485.3851266152501</v>
      </c>
      <c r="N190" s="26" cm="1">
        <f t="array" ref="N190">IFERROR((K190-J190)/J190,"–")</f>
        <v>0.9937888198757765</v>
      </c>
      <c r="O190" s="24" cm="1">
        <f t="array" ref="O190">IF(D190=0,0,L190-K190)</f>
        <v>11.877124655250014</v>
      </c>
      <c r="P190" s="23"/>
      <c r="Q190" s="27"/>
    </row>
    <row r="191" spans="1:17" ht="22.5" customHeight="1">
      <c r="A191" s="16" t="s">
        <v>51</v>
      </c>
      <c r="B191" s="28">
        <v>44384</v>
      </c>
      <c r="C191" s="36">
        <v>2.1789999999999998</v>
      </c>
      <c r="D191" s="36">
        <v>2.1819999999999999</v>
      </c>
      <c r="E191" s="30" cm="1">
        <f t="array" ref="E191">IF(D191="","",D191-C191)</f>
        <v>3.0000000000001137E-3</v>
      </c>
      <c r="F191" s="31" cm="1">
        <f t="array" ref="F191">IF(D191=0,"",(D191-C191)/C191)</f>
        <v>1.3767783386875235E-3</v>
      </c>
      <c r="G191" s="32">
        <v>1388.2729999999999</v>
      </c>
      <c r="H191" s="10">
        <v>1</v>
      </c>
      <c r="I191" s="11" cm="1">
        <f t="array" ref="I191">IF(D191="","",(G191*C191)*0.00075)</f>
        <v>2.2687851502499998</v>
      </c>
      <c r="J191" s="11" cm="1">
        <f t="array" ref="J191">IF(D191="","",(G191*D191)*0.00075)</f>
        <v>2.2719087644999996</v>
      </c>
      <c r="K191" s="33" cm="1">
        <f t="array" ref="K191">IF(D191="","",J191+I191)</f>
        <v>4.5406939147499994</v>
      </c>
      <c r="L191" s="33" cm="1">
        <f t="array" ref="L191">IF(D191=0,0,(D191-C191)*G191)</f>
        <v>4.1648190000001577</v>
      </c>
      <c r="M191" s="12">
        <v>3018.6101392354999</v>
      </c>
      <c r="N191" s="34" cm="1">
        <f t="array" ref="N191">IFERROR((K191-J191)/J191,"–")</f>
        <v>0.99862511457378567</v>
      </c>
      <c r="O191" s="33" cm="1">
        <f t="array" ref="O191">IF(D191=0,0,L191-K191)</f>
        <v>-0.37587491474984169</v>
      </c>
      <c r="P191" s="11"/>
      <c r="Q191" s="35"/>
    </row>
    <row r="192" spans="1:17" ht="22.5" customHeight="1">
      <c r="A192" s="16" t="s">
        <v>51</v>
      </c>
      <c r="B192" s="17">
        <v>44384</v>
      </c>
      <c r="C192" s="37">
        <v>2.1869999999999998</v>
      </c>
      <c r="D192" s="37">
        <v>2.1819999999999999</v>
      </c>
      <c r="E192" s="19" cm="1">
        <f t="array" ref="E192">IF(D192="","",D192-C192)</f>
        <v>-4.9999999999998934E-3</v>
      </c>
      <c r="F192" s="20" cm="1">
        <f t="array" ref="F192">IF(D192=0,"",(D192-C192)/C192)</f>
        <v>-2.2862368541380403E-3</v>
      </c>
      <c r="G192" s="21">
        <v>2074.7660000000001</v>
      </c>
      <c r="H192" s="22">
        <v>1</v>
      </c>
      <c r="I192" s="23" cm="1">
        <f t="array" ref="I192">IF(D192="","",(G192*C192)*0.00075)</f>
        <v>3.4031349314999999</v>
      </c>
      <c r="J192" s="23" cm="1">
        <f t="array" ref="J192">IF(D192="","",(G192*D192)*0.00075)</f>
        <v>3.3953545590000003</v>
      </c>
      <c r="K192" s="24" cm="1">
        <f t="array" ref="K192">IF(D192="","",J192+I192)</f>
        <v>6.7984894904999997</v>
      </c>
      <c r="L192" s="24" cm="1">
        <f t="array" ref="L192">IF(D192=0,0,(D192-C192)*G192)</f>
        <v>-10.37382999999978</v>
      </c>
      <c r="M192" s="25">
        <v>4544.4917174410002</v>
      </c>
      <c r="N192" s="26" cm="1">
        <f t="array" ref="N192">IFERROR((K192-J192)/J192,"–")</f>
        <v>1.0022914757103571</v>
      </c>
      <c r="O192" s="24" cm="1">
        <f t="array" ref="O192">IF(D192=0,0,L192-K192)</f>
        <v>-17.172319490499781</v>
      </c>
      <c r="P192" s="23"/>
      <c r="Q192" s="27"/>
    </row>
    <row r="193" spans="1:17" ht="22.5" customHeight="1">
      <c r="A193" s="16" t="s">
        <v>84</v>
      </c>
      <c r="B193" s="28">
        <v>44385</v>
      </c>
      <c r="C193" s="36">
        <v>0.15989999999999999</v>
      </c>
      <c r="D193" s="36">
        <v>0.1608</v>
      </c>
      <c r="E193" s="30" cm="1">
        <f t="array" ref="E193">IF(D193="","",D193-C193)</f>
        <v>9.000000000000119E-4</v>
      </c>
      <c r="F193" s="31" cm="1">
        <f t="array" ref="F193">IF(D193=0,"",(D193-C193)/C193)</f>
        <v>5.6285178236398494E-3</v>
      </c>
      <c r="G193" s="32">
        <v>37538.230000000003</v>
      </c>
      <c r="H193" s="10">
        <v>1</v>
      </c>
      <c r="I193" s="11" cm="1">
        <f t="array" ref="I193">IF(D193="","",(G193*C193)*0.00075)</f>
        <v>4.5017722327499996</v>
      </c>
      <c r="J193" s="11" cm="1">
        <f t="array" ref="J193">IF(D193="","",(G193*D193)*0.00075)</f>
        <v>4.5271105380000005</v>
      </c>
      <c r="K193" s="33" cm="1">
        <f t="array" ref="K193">IF(D193="","",J193+I193)</f>
        <v>9.0288827707500001</v>
      </c>
      <c r="L193" s="33" cm="1">
        <f t="array" ref="L193">IF(D193=0,0,(D193-C193)*G193)</f>
        <v>33.784407000000449</v>
      </c>
      <c r="M193" s="12">
        <v>5964.0514594619999</v>
      </c>
      <c r="N193" s="34" cm="1">
        <f t="array" ref="N193">IFERROR((K193-J193)/J193,"–")</f>
        <v>0.99440298507462666</v>
      </c>
      <c r="O193" s="33" cm="1">
        <f t="array" ref="O193">IF(D193=0,0,L193-K193)</f>
        <v>24.755524229250447</v>
      </c>
      <c r="P193" s="11"/>
      <c r="Q193" s="35"/>
    </row>
    <row r="194" spans="1:17" ht="22.5" customHeight="1">
      <c r="A194" s="16" t="s">
        <v>84</v>
      </c>
      <c r="B194" s="17">
        <v>44385</v>
      </c>
      <c r="C194" s="37">
        <v>0.15989999999999999</v>
      </c>
      <c r="D194" s="37">
        <v>0.1615</v>
      </c>
      <c r="E194" s="19" cm="1">
        <f t="array" ref="E194">IF(D194="","",D194-C194)</f>
        <v>1.6000000000000181E-3</v>
      </c>
      <c r="F194" s="20" cm="1">
        <f t="array" ref="F194">IF(D194=0,"",(D194-C194)/C194)</f>
        <v>1.0006253908693048E-2</v>
      </c>
      <c r="G194" s="21">
        <v>4829.83</v>
      </c>
      <c r="H194" s="22">
        <v>1</v>
      </c>
      <c r="I194" s="23" cm="1">
        <f t="array" ref="I194">IF(D194="","",(G194*C194)*0.00075)</f>
        <v>0.57921736275000002</v>
      </c>
      <c r="J194" s="23" cm="1">
        <f t="array" ref="J194">IF(D194="","",(G194*D194)*0.00075)</f>
        <v>0.58501315875000004</v>
      </c>
      <c r="K194" s="24" cm="1">
        <f t="array" ref="K194">IF(D194="","",J194+I194)</f>
        <v>1.1642305214999999</v>
      </c>
      <c r="L194" s="24" cm="1">
        <f t="array" ref="L194">IF(D194=0,0,(D194-C194)*G194)</f>
        <v>7.727728000000087</v>
      </c>
      <c r="M194" s="25">
        <v>763.97707584124998</v>
      </c>
      <c r="N194" s="26" cm="1">
        <f t="array" ref="N194">IFERROR((K194-J194)/J194,"–")</f>
        <v>0.99009287925696576</v>
      </c>
      <c r="O194" s="24" cm="1">
        <f t="array" ref="O194">IF(D194=0,0,L194-K194)</f>
        <v>6.5634974785000875</v>
      </c>
      <c r="P194" s="23"/>
      <c r="Q194" s="27"/>
    </row>
    <row r="195" spans="1:17" ht="22.5" customHeight="1">
      <c r="A195" s="16" t="s">
        <v>84</v>
      </c>
      <c r="B195" s="28">
        <v>44385</v>
      </c>
      <c r="C195" s="36">
        <v>0.15989999999999999</v>
      </c>
      <c r="D195" s="36">
        <v>0.16109999999999999</v>
      </c>
      <c r="E195" s="30" cm="1">
        <f t="array" ref="E195">IF(D195="","",D195-C195)</f>
        <v>1.2000000000000066E-3</v>
      </c>
      <c r="F195" s="31" cm="1">
        <f t="array" ref="F195">IF(D195=0,"",(D195-C195)/C195)</f>
        <v>7.5046904315197414E-3</v>
      </c>
      <c r="G195" s="32">
        <v>32708.41</v>
      </c>
      <c r="H195" s="10">
        <v>1</v>
      </c>
      <c r="I195" s="11" cm="1">
        <f t="array" ref="I195">IF(D195="","",(G195*C195)*0.00075)</f>
        <v>3.9225560692499997</v>
      </c>
      <c r="J195" s="11" cm="1">
        <f t="array" ref="J195">IF(D195="","",(G195*D195)*0.00075)</f>
        <v>3.9519936382499998</v>
      </c>
      <c r="K195" s="33" cm="1">
        <f t="array" ref="K195">IF(D195="","",J195+I195)</f>
        <v>7.8745497074999999</v>
      </c>
      <c r="L195" s="33" cm="1">
        <f t="array" ref="L195">IF(D195=0,0,(D195-C195)*G195)</f>
        <v>39.250092000000215</v>
      </c>
      <c r="M195" s="12">
        <v>5186.8726733617495</v>
      </c>
      <c r="N195" s="34" cm="1">
        <f t="array" ref="N195">IFERROR((K195-J195)/J195,"–")</f>
        <v>0.99255121042830552</v>
      </c>
      <c r="O195" s="33" cm="1">
        <f t="array" ref="O195">IF(D195=0,0,L195-K195)</f>
        <v>31.375542292500214</v>
      </c>
      <c r="P195" s="11"/>
      <c r="Q195" s="35"/>
    </row>
    <row r="196" spans="1:17" ht="22.5" customHeight="1">
      <c r="A196" s="16" t="s">
        <v>85</v>
      </c>
      <c r="B196" s="43">
        <v>44390</v>
      </c>
      <c r="C196" s="37">
        <v>1.4450000000000001</v>
      </c>
      <c r="D196" s="37">
        <v>1.472</v>
      </c>
      <c r="E196" s="19" cm="1">
        <f t="array" ref="E196">IF(D196="","",D196-C196)</f>
        <v>2.6999999999999913E-2</v>
      </c>
      <c r="F196" s="20" cm="1">
        <f t="array" ref="F196">IF(D196=0,"",(D196-C196)/C196)</f>
        <v>1.8685121107266375E-2</v>
      </c>
      <c r="G196" s="21">
        <v>2596.7730000000001</v>
      </c>
      <c r="H196" s="22">
        <v>1</v>
      </c>
      <c r="I196" s="23" cm="1">
        <f t="array" ref="I196">IF(D196="","",(G196*C196)*0.00075)</f>
        <v>2.8142527387500005</v>
      </c>
      <c r="J196" s="23" cm="1">
        <f t="array" ref="J196">IF(D196="","",(G196*D196)*0.00075)</f>
        <v>2.8668373920000003</v>
      </c>
      <c r="K196" s="24" cm="1">
        <f t="array" ref="K196">IF(D196="","",J196+I196)</f>
        <v>5.6810901307500004</v>
      </c>
      <c r="L196" s="24" cm="1">
        <f t="array" ref="L196">IF(D196=0,0,(D196-C196)*G196)</f>
        <v>70.112870999999771</v>
      </c>
      <c r="M196" s="25">
        <v>3679.3572766080001</v>
      </c>
      <c r="N196" s="26" cm="1">
        <f t="array" ref="N196">IFERROR((K196-J196)/J196,"–")</f>
        <v>0.98165760869565211</v>
      </c>
      <c r="O196" s="24" cm="1">
        <f t="array" ref="O196">IF(D196=0,0,L196-K196)</f>
        <v>64.431780869249764</v>
      </c>
      <c r="P196" s="23"/>
      <c r="Q196" s="27"/>
    </row>
    <row r="197" spans="1:17" ht="22.5" customHeight="1">
      <c r="A197" s="16" t="s">
        <v>85</v>
      </c>
      <c r="B197" s="42">
        <v>44390</v>
      </c>
      <c r="C197" s="36">
        <v>1.4450000000000001</v>
      </c>
      <c r="D197" s="36">
        <v>1.4750000000000001</v>
      </c>
      <c r="E197" s="30" cm="1">
        <f t="array" ref="E197">IF(D197="","",D197-C197)</f>
        <v>3.0000000000000027E-2</v>
      </c>
      <c r="F197" s="31" cm="1">
        <f t="array" ref="F197">IF(D197=0,"",(D197-C197)/C197)</f>
        <v>2.0761245674740501E-2</v>
      </c>
      <c r="G197" s="32">
        <v>2596.7730000000001</v>
      </c>
      <c r="H197" s="10">
        <v>1</v>
      </c>
      <c r="I197" s="11" cm="1">
        <f t="array" ref="I197">IF(D197="","",(G197*C197)*0.00075)</f>
        <v>2.8142527387500005</v>
      </c>
      <c r="J197" s="11" cm="1">
        <f t="array" ref="J197">IF(D197="","",(G197*D197)*0.00075)</f>
        <v>2.8726801312500005</v>
      </c>
      <c r="K197" s="33" cm="1">
        <f t="array" ref="K197">IF(D197="","",J197+I197)</f>
        <v>5.6869328700000015</v>
      </c>
      <c r="L197" s="33" cm="1">
        <f t="array" ref="L197">IF(D197=0,0,(D197-C197)*G197)</f>
        <v>77.90319000000008</v>
      </c>
      <c r="M197" s="12">
        <v>3671.5611148687499</v>
      </c>
      <c r="N197" s="34" cm="1">
        <f t="array" ref="N197">IFERROR((K197-J197)/J197,"–")</f>
        <v>0.97966101694915264</v>
      </c>
      <c r="O197" s="33" cm="1">
        <f t="array" ref="O197">IF(D197=0,0,L197-K197)</f>
        <v>72.216257130000074</v>
      </c>
      <c r="P197" s="11"/>
      <c r="Q197" s="35"/>
    </row>
    <row r="198" spans="1:17" ht="22.5" customHeight="1">
      <c r="A198" s="16" t="s">
        <v>86</v>
      </c>
      <c r="B198" s="43">
        <v>44390</v>
      </c>
      <c r="C198" s="37">
        <v>0.21775</v>
      </c>
      <c r="D198" s="37">
        <v>0.21829999999999999</v>
      </c>
      <c r="E198" s="19" cm="1">
        <f t="array" ref="E198">IF(D198="","",D198-C198)</f>
        <v>5.4999999999999494E-4</v>
      </c>
      <c r="F198" s="20" cm="1">
        <f t="array" ref="F198">IF(D198=0,"",(D198-C198)/C198)</f>
        <v>2.525832376578622E-3</v>
      </c>
      <c r="G198" s="21">
        <v>17221.8</v>
      </c>
      <c r="H198" s="22">
        <v>1</v>
      </c>
      <c r="I198" s="23" cm="1">
        <f t="array" ref="I198">IF(D198="","",(G198*C198)*0.00075)</f>
        <v>2.8125352124999998</v>
      </c>
      <c r="J198" s="23" cm="1">
        <f t="array" ref="J198">IF(D198="","",(G198*D198)*0.00075)</f>
        <v>2.8196392050000001</v>
      </c>
      <c r="K198" s="24" cm="1">
        <f t="array" ref="K198">IF(D198="","",J198+I198)</f>
        <v>5.6321744174999999</v>
      </c>
      <c r="L198" s="24" cm="1">
        <f t="array" ref="L198">IF(D198=0,0,(D198-C198)*G198)</f>
        <v>9.4719899999999129</v>
      </c>
      <c r="M198" s="25">
        <v>3737.755320795</v>
      </c>
      <c r="N198" s="26" cm="1">
        <f t="array" ref="N198">IFERROR((K198-J198)/J198,"–")</f>
        <v>0.99748053137883641</v>
      </c>
      <c r="O198" s="24" cm="1">
        <f t="array" ref="O198">IF(D198=0,0,L198-K198)</f>
        <v>3.8398155824999129</v>
      </c>
      <c r="P198" s="23"/>
      <c r="Q198" s="27"/>
    </row>
    <row r="199" spans="1:17" ht="22.5" customHeight="1">
      <c r="A199" s="16" t="s">
        <v>86</v>
      </c>
      <c r="B199" s="42">
        <v>44390</v>
      </c>
      <c r="C199" s="36">
        <v>0.21775</v>
      </c>
      <c r="D199" s="36">
        <v>0.21804999999999999</v>
      </c>
      <c r="E199" s="30" cm="1">
        <f t="array" ref="E199">IF(D199="","",D199-C199)</f>
        <v>2.9999999999999472E-4</v>
      </c>
      <c r="F199" s="31" cm="1">
        <f t="array" ref="F199">IF(D199=0,"",(D199-C199)/C199)</f>
        <v>1.3777267508610549E-3</v>
      </c>
      <c r="G199" s="32">
        <v>17221.8</v>
      </c>
      <c r="H199" s="10">
        <v>1</v>
      </c>
      <c r="I199" s="11" cm="1">
        <f t="array" ref="I199">IF(D199="","",(G199*C199)*0.00075)</f>
        <v>2.8125352124999998</v>
      </c>
      <c r="J199" s="11" cm="1">
        <f t="array" ref="J199">IF(D199="","",(G199*D199)*0.00075)</f>
        <v>2.8164101174999998</v>
      </c>
      <c r="K199" s="33" cm="1">
        <f t="array" ref="K199">IF(D199="","",J199+I199)</f>
        <v>5.6289453299999996</v>
      </c>
      <c r="L199" s="33" cm="1">
        <f t="array" ref="L199">IF(D199=0,0,(D199-C199)*G199)</f>
        <v>5.1665399999999089</v>
      </c>
      <c r="M199" s="12">
        <v>3742.0639998825</v>
      </c>
      <c r="N199" s="34" cm="1">
        <f t="array" ref="N199">IFERROR((K199-J199)/J199,"–")</f>
        <v>0.99862416876863103</v>
      </c>
      <c r="O199" s="33" cm="1">
        <f t="array" ref="O199">IF(D199=0,0,L199-K199)</f>
        <v>-0.46240533000009076</v>
      </c>
      <c r="P199" s="11"/>
      <c r="Q199" s="35"/>
    </row>
    <row r="200" spans="1:17" ht="22.5" customHeight="1">
      <c r="A200" s="16" t="s">
        <v>87</v>
      </c>
      <c r="B200" s="43">
        <v>44391</v>
      </c>
      <c r="C200" s="37">
        <v>0.73399999999999999</v>
      </c>
      <c r="D200" s="37">
        <v>0.74299999999999999</v>
      </c>
      <c r="E200" s="19" cm="1">
        <f t="array" ref="E200">IF(D200="","",D200-C200)</f>
        <v>9.000000000000008E-3</v>
      </c>
      <c r="F200" s="20" cm="1">
        <f t="array" ref="F200">IF(D200=0,"",(D200-C200)/C200)</f>
        <v>1.2261580381471401E-2</v>
      </c>
      <c r="G200" s="21">
        <v>5110.4409999999998</v>
      </c>
      <c r="H200" s="22">
        <v>1</v>
      </c>
      <c r="I200" s="23" cm="1">
        <f t="array" ref="I200">IF(D200="","",(G200*C200)*0.00075)</f>
        <v>2.8132977705000002</v>
      </c>
      <c r="J200" s="23" cm="1">
        <f t="array" ref="J200">IF(D200="","",(G200*D200)*0.00075)</f>
        <v>2.8477932472500003</v>
      </c>
      <c r="K200" s="24" cm="1">
        <f t="array" ref="K200">IF(D200="","",J200+I200)</f>
        <v>5.6610910177500005</v>
      </c>
      <c r="L200" s="24" cm="1">
        <f t="array" ref="L200">IF(D200=0,0,(D200-C200)*G200)</f>
        <v>45.993969000000043</v>
      </c>
      <c r="M200" s="25">
        <v>3702.2219317527502</v>
      </c>
      <c r="N200" s="26" cm="1">
        <f t="array" ref="N200">IFERROR((K200-J200)/J200,"–")</f>
        <v>0.98788694481830419</v>
      </c>
      <c r="O200" s="24" cm="1">
        <f t="array" ref="O200">IF(D200=0,0,L200-K200)</f>
        <v>40.332877982250039</v>
      </c>
      <c r="P200" s="23"/>
      <c r="Q200" s="27"/>
    </row>
    <row r="201" spans="1:17" ht="22.5" customHeight="1">
      <c r="A201" s="16" t="s">
        <v>88</v>
      </c>
      <c r="B201" s="42">
        <v>44391</v>
      </c>
      <c r="C201" s="36">
        <v>5.194E-2</v>
      </c>
      <c r="D201" s="36">
        <v>5.3220000000000003E-2</v>
      </c>
      <c r="E201" s="30" cm="1">
        <f t="array" ref="E201">IF(D201="","",D201-C201)</f>
        <v>1.2800000000000034E-3</v>
      </c>
      <c r="F201" s="31" cm="1">
        <f t="array" ref="F201">IF(D201=0,"",(D201-C201)/C201)</f>
        <v>2.4643819792067836E-2</v>
      </c>
      <c r="G201" s="32">
        <v>144416.4</v>
      </c>
      <c r="H201" s="10">
        <v>1</v>
      </c>
      <c r="I201" s="11" cm="1">
        <f t="array" ref="I201">IF(D201="","",(G201*C201)*0.00075)</f>
        <v>5.6257408619999998</v>
      </c>
      <c r="J201" s="11" cm="1">
        <f t="array" ref="J201">IF(D201="","",(G201*D201)*0.00075)</f>
        <v>5.7643806060000005</v>
      </c>
      <c r="K201" s="33" cm="1">
        <f t="array" ref="K201">IF(D201="","",J201+I201)</f>
        <v>11.390121468</v>
      </c>
      <c r="L201" s="33" cm="1">
        <f t="array" ref="L201">IF(D201=0,0,(D201-C201)*G201)</f>
        <v>184.85299200000048</v>
      </c>
      <c r="M201" s="12">
        <v>7310.3704433940002</v>
      </c>
      <c r="N201" s="34" cm="1">
        <f t="array" ref="N201">IFERROR((K201-J201)/J201,"–")</f>
        <v>0.97594889139421259</v>
      </c>
      <c r="O201" s="33" cm="1">
        <f t="array" ref="O201">IF(D201=0,0,L201-K201)</f>
        <v>173.46287053200049</v>
      </c>
      <c r="P201" s="11"/>
      <c r="Q201" s="35"/>
    </row>
    <row r="202" spans="1:17" ht="22.5" customHeight="1">
      <c r="A202" s="16" t="s">
        <v>88</v>
      </c>
      <c r="B202" s="43">
        <v>44391</v>
      </c>
      <c r="C202" s="37">
        <v>5.194E-2</v>
      </c>
      <c r="D202" s="37">
        <v>5.3900000000000003E-2</v>
      </c>
      <c r="E202" s="19" cm="1">
        <f t="array" ref="E202">IF(D202="","",D202-C202)</f>
        <v>1.9600000000000034E-3</v>
      </c>
      <c r="F202" s="20" cm="1">
        <f t="array" ref="F202">IF(D202=0,"",(D202-C202)/C202)</f>
        <v>3.7735849056603842E-2</v>
      </c>
      <c r="G202" s="21">
        <v>144416.4</v>
      </c>
      <c r="H202" s="22">
        <v>1</v>
      </c>
      <c r="I202" s="23" cm="1">
        <f t="array" ref="I202">IF(D202="","",(G202*C202)*0.00075)</f>
        <v>5.6257408619999998</v>
      </c>
      <c r="J202" s="23" cm="1">
        <f t="array" ref="J202">IF(D202="","",(G202*D202)*0.00075)</f>
        <v>5.8380329700000004</v>
      </c>
      <c r="K202" s="24" cm="1">
        <f t="array" ref="K202">IF(D202="","",J202+I202)</f>
        <v>11.463773832000001</v>
      </c>
      <c r="L202" s="24" cm="1">
        <f t="array" ref="L202">IF(D202=0,0,(D202-C202)*G202)</f>
        <v>283.05614400000047</v>
      </c>
      <c r="M202" s="25">
        <v>7212.0936390300003</v>
      </c>
      <c r="N202" s="26" cm="1">
        <f t="array" ref="N202">IFERROR((K202-J202)/J202,"–")</f>
        <v>0.96363636363636374</v>
      </c>
      <c r="O202" s="24" cm="1">
        <f t="array" ref="O202">IF(D202=0,0,L202-K202)</f>
        <v>271.59237016800046</v>
      </c>
      <c r="P202" s="23"/>
      <c r="Q202" s="27"/>
    </row>
    <row r="203" spans="1:17" ht="22.5" customHeight="1">
      <c r="A203" s="16" t="s">
        <v>80</v>
      </c>
      <c r="B203" s="42">
        <v>44391</v>
      </c>
      <c r="C203" s="36">
        <v>0.63</v>
      </c>
      <c r="D203" s="36">
        <v>0.63200000000000001</v>
      </c>
      <c r="E203" s="30" cm="1">
        <f t="array" ref="E203">IF(D203="","",D203-C203)</f>
        <v>2.0000000000000018E-3</v>
      </c>
      <c r="F203" s="31" cm="1">
        <f t="array" ref="F203">IF(D203=0,"",(D203-C203)/C203)</f>
        <v>3.1746031746031772E-3</v>
      </c>
      <c r="G203" s="32">
        <v>23809.523000000001</v>
      </c>
      <c r="H203" s="10">
        <v>1</v>
      </c>
      <c r="I203" s="11" cm="1">
        <f t="array" ref="I203">IF(D203="","",(G203*C203)*0.00075)</f>
        <v>11.2499996175</v>
      </c>
      <c r="J203" s="11" cm="1">
        <f t="array" ref="J203">IF(D203="","",(G203*D203)*0.00075)</f>
        <v>11.285713901999999</v>
      </c>
      <c r="K203" s="33" cm="1">
        <f t="array" ref="K203">IF(D203="","",J203+I203)</f>
        <v>22.5357135195</v>
      </c>
      <c r="L203" s="33" cm="1">
        <f t="array" ref="L203">IF(D203=0,0,(D203-C203)*G203)</f>
        <v>47.619046000000047</v>
      </c>
      <c r="M203" s="12">
        <v>14941.094730098001</v>
      </c>
      <c r="N203" s="34" cm="1">
        <f t="array" ref="N203">IFERROR((K203-J203)/J203,"–")</f>
        <v>0.99683544303797478</v>
      </c>
      <c r="O203" s="33" cm="1">
        <f t="array" ref="O203">IF(D203=0,0,L203-K203)</f>
        <v>25.083332480500047</v>
      </c>
      <c r="P203" s="11"/>
      <c r="Q203" s="35"/>
    </row>
    <row r="204" spans="1:17" ht="22.5" customHeight="1">
      <c r="A204" s="16" t="s">
        <v>79</v>
      </c>
      <c r="B204" s="43">
        <v>44393</v>
      </c>
      <c r="C204" s="37">
        <v>990.02</v>
      </c>
      <c r="D204" s="37">
        <v>1000</v>
      </c>
      <c r="E204" s="19" cm="1">
        <f t="array" ref="E204">IF(D204="","",D204-C204)</f>
        <v>9.9800000000000182</v>
      </c>
      <c r="F204" s="20" cm="1">
        <f t="array" ref="F204">IF(D204=0,"",(D204-C204)/C204)</f>
        <v>1.0080604432233711E-2</v>
      </c>
      <c r="G204" s="21">
        <v>6.0495289999999997</v>
      </c>
      <c r="H204" s="22">
        <v>1</v>
      </c>
      <c r="I204" s="23" cm="1">
        <f t="array" ref="I204">IF(D204="","",(G204*C204)*0.00075)</f>
        <v>4.4918660254349998</v>
      </c>
      <c r="J204" s="23" cm="1">
        <f t="array" ref="J204">IF(D204="","",(G204*D204)*0.00075)</f>
        <v>4.5371467499999998</v>
      </c>
      <c r="K204" s="24" cm="1">
        <f t="array" ref="K204">IF(D204="","",J204+I204)</f>
        <v>9.0290127754349996</v>
      </c>
      <c r="L204" s="24" cm="1">
        <f t="array" ref="L204">IF(D204=0,0,(D204-C204)*G204)</f>
        <v>60.374299420000106</v>
      </c>
      <c r="M204" s="25">
        <v>5924.2432544100002</v>
      </c>
      <c r="N204" s="26" cm="1">
        <f t="array" ref="N204">IFERROR((K204-J204)/J204,"–")</f>
        <v>0.99002000000000001</v>
      </c>
      <c r="O204" s="24" cm="1">
        <f t="array" ref="O204">IF(D204=0,0,L204-K204)</f>
        <v>51.345286644565107</v>
      </c>
      <c r="P204" s="23"/>
      <c r="Q204" s="27"/>
    </row>
    <row r="205" spans="1:17" ht="22.5" customHeight="1">
      <c r="A205" s="16" t="s">
        <v>79</v>
      </c>
      <c r="B205" s="42">
        <v>44393</v>
      </c>
      <c r="C205" s="36">
        <v>990.02</v>
      </c>
      <c r="D205" s="36">
        <v>995</v>
      </c>
      <c r="E205" s="30" cm="1">
        <f t="array" ref="E205">IF(D205="","",D205-C205)</f>
        <v>4.9800000000000182</v>
      </c>
      <c r="F205" s="31" cm="1">
        <f t="array" ref="F205">IF(D205=0,"",(D205-C205)/C205)</f>
        <v>5.0302014100725425E-3</v>
      </c>
      <c r="G205" s="32">
        <v>0.667543</v>
      </c>
      <c r="H205" s="10">
        <v>1</v>
      </c>
      <c r="I205" s="11" cm="1">
        <f t="array" ref="I205">IF(D205="","",(G205*C205)*0.00075)</f>
        <v>0.49566069064499996</v>
      </c>
      <c r="J205" s="11" cm="1">
        <f t="array" ref="J205">IF(D205="","",(G205*D205)*0.00075)</f>
        <v>0.49815396375000004</v>
      </c>
      <c r="K205" s="33" cm="1">
        <f t="array" ref="K205">IF(D205="","",J205+I205)</f>
        <v>0.99381465439499994</v>
      </c>
      <c r="L205" s="33" cm="1">
        <f t="array" ref="L205">IF(D205=0,0,(D205-C205)*G205)</f>
        <v>3.3243641400000121</v>
      </c>
      <c r="M205" s="12">
        <v>657.05840275624996</v>
      </c>
      <c r="N205" s="34" cm="1">
        <f t="array" ref="N205">IFERROR((K205-J205)/J205,"–")</f>
        <v>0.99499497487437161</v>
      </c>
      <c r="O205" s="33" cm="1">
        <f t="array" ref="O205">IF(D205=0,0,L205-K205)</f>
        <v>2.3305494856050122</v>
      </c>
      <c r="P205" s="11"/>
      <c r="Q205" s="35"/>
    </row>
    <row r="206" spans="1:17" ht="22.5" customHeight="1">
      <c r="A206" s="16" t="s">
        <v>79</v>
      </c>
      <c r="B206" s="43">
        <v>44393</v>
      </c>
      <c r="C206" s="37">
        <v>926.71</v>
      </c>
      <c r="D206" s="37">
        <v>999.15</v>
      </c>
      <c r="E206" s="19" cm="1">
        <f t="array" ref="E206">IF(D206="","",D206-C206)</f>
        <v>72.439999999999941</v>
      </c>
      <c r="F206" s="20" cm="1">
        <f t="array" ref="F206">IF(D206=0,"",(D206-C206)/C206)</f>
        <v>7.8169006485308168E-2</v>
      </c>
      <c r="G206" s="21">
        <v>3.2751739999999998</v>
      </c>
      <c r="H206" s="22">
        <v>1</v>
      </c>
      <c r="I206" s="23" cm="1">
        <f t="array" ref="I206">IF(D206="","",(G206*C206)*0.00075)</f>
        <v>2.2763523731550004</v>
      </c>
      <c r="J206" s="23" cm="1">
        <f t="array" ref="J206">IF(D206="","",(G206*D206)*0.00075)</f>
        <v>2.4542925765749999</v>
      </c>
      <c r="K206" s="24" cm="1">
        <f t="array" ref="K206">IF(D206="","",J206+I206)</f>
        <v>4.7306449497300003</v>
      </c>
      <c r="L206" s="24" cm="1">
        <f t="array" ref="L206">IF(D206=0,0,(D206-C206)*G206)</f>
        <v>237.25360455999979</v>
      </c>
      <c r="M206" s="25">
        <v>2795.4286004034302</v>
      </c>
      <c r="N206" s="26" cm="1">
        <f t="array" ref="N206">IFERROR((K206-J206)/J206,"–")</f>
        <v>0.92749837361757514</v>
      </c>
      <c r="O206" s="24" cm="1">
        <f t="array" ref="O206">IF(D206=0,0,L206-K206)</f>
        <v>232.52295961026979</v>
      </c>
      <c r="P206" s="23"/>
      <c r="Q206" s="27"/>
    </row>
    <row r="207" spans="1:17" ht="22.5" customHeight="1">
      <c r="A207" s="16" t="s">
        <v>79</v>
      </c>
      <c r="B207" s="42">
        <v>44393</v>
      </c>
      <c r="C207" s="36">
        <v>926.71</v>
      </c>
      <c r="D207" s="36">
        <v>995</v>
      </c>
      <c r="E207" s="30" cm="1">
        <f t="array" ref="E207">IF(D207="","",D207-C207)</f>
        <v>68.289999999999964</v>
      </c>
      <c r="F207" s="31" cm="1">
        <f t="array" ref="F207">IF(D207=0,"",(D207-C207)/C207)</f>
        <v>7.3690798631718624E-2</v>
      </c>
      <c r="G207" s="32">
        <v>2.1068120000000001</v>
      </c>
      <c r="H207" s="10">
        <v>1</v>
      </c>
      <c r="I207" s="11" cm="1">
        <f t="array" ref="I207">IF(D207="","",(G207*C207)*0.00075)</f>
        <v>1.4643028113900001</v>
      </c>
      <c r="J207" s="11" cm="1">
        <f t="array" ref="J207">IF(D207="","",(G207*D207)*0.00075)</f>
        <v>1.5722084549999999</v>
      </c>
      <c r="K207" s="33" cm="1">
        <f t="array" ref="K207">IF(D207="","",J207+I207)</f>
        <v>3.0365112663899998</v>
      </c>
      <c r="L207" s="33" cm="1">
        <f t="array" ref="L207">IF(D207=0,0,(D207-C207)*G207)</f>
        <v>143.87419147999992</v>
      </c>
      <c r="M207" s="12">
        <v>1806.9573485850001</v>
      </c>
      <c r="N207" s="34" cm="1">
        <f t="array" ref="N207">IFERROR((K207-J207)/J207,"–")</f>
        <v>0.9313668341708542</v>
      </c>
      <c r="O207" s="33" cm="1">
        <f t="array" ref="O207">IF(D207=0,0,L207-K207)</f>
        <v>140.83768021360993</v>
      </c>
      <c r="P207" s="11"/>
      <c r="Q207" s="35"/>
    </row>
    <row r="208" spans="1:17" ht="22.5" customHeight="1">
      <c r="A208" s="16" t="s">
        <v>64</v>
      </c>
      <c r="B208" s="43">
        <v>44394</v>
      </c>
      <c r="C208" s="37">
        <v>0.18145</v>
      </c>
      <c r="D208" s="37">
        <v>0.18182000000000001</v>
      </c>
      <c r="E208" s="19" cm="1">
        <f t="array" ref="E208">IF(D208="","",D208-C208)</f>
        <v>3.7000000000000921E-4</v>
      </c>
      <c r="F208" s="20" cm="1">
        <f t="array" ref="F208">IF(D208=0,"",(D208-C208)/C208)</f>
        <v>2.0391292367043772E-3</v>
      </c>
      <c r="G208" s="21">
        <v>19702.7</v>
      </c>
      <c r="H208" s="22">
        <v>1</v>
      </c>
      <c r="I208" s="23" cm="1">
        <f t="array" ref="I208">IF(D208="","",(G208*C208)*0.00075)</f>
        <v>2.6812911862500002</v>
      </c>
      <c r="J208" s="23" cm="1">
        <f t="array" ref="J208">IF(D208="","",(G208*D208)*0.00075)</f>
        <v>2.6867586855000001</v>
      </c>
      <c r="K208" s="24" cm="1">
        <f t="array" ref="K208">IF(D208="","",J208+I208)</f>
        <v>5.3680498717500003</v>
      </c>
      <c r="L208" s="24" cm="1">
        <f t="array" ref="L208">IF(D208=0,0,(D208-C208)*G208)</f>
        <v>7.289999000000182</v>
      </c>
      <c r="M208" s="25">
        <v>3565.0781573145</v>
      </c>
      <c r="N208" s="26" cm="1">
        <f t="array" ref="N208">IFERROR((K208-J208)/J208,"–")</f>
        <v>0.99796502034979651</v>
      </c>
      <c r="O208" s="24" cm="1">
        <f t="array" ref="O208">IF(D208=0,0,L208-K208)</f>
        <v>1.9219491282501817</v>
      </c>
      <c r="P208" s="23"/>
      <c r="Q208" s="27"/>
    </row>
    <row r="209" spans="1:17" ht="22.5" customHeight="1">
      <c r="A209" s="16" t="s">
        <v>51</v>
      </c>
      <c r="B209" s="42">
        <v>44395</v>
      </c>
      <c r="C209" s="36">
        <v>1.7030000000000001</v>
      </c>
      <c r="D209" s="36">
        <v>1.6890000000000001</v>
      </c>
      <c r="E209" s="30" cm="1">
        <f t="array" ref="E209">IF(D209="","",D209-C209)</f>
        <v>-1.4000000000000012E-2</v>
      </c>
      <c r="F209" s="31" cm="1">
        <f t="array" ref="F209">IF(D209=0,"",(D209-C209)/C209)</f>
        <v>-8.220786846741053E-3</v>
      </c>
      <c r="G209" s="32">
        <v>1467.9970000000001</v>
      </c>
      <c r="H209" s="10">
        <v>1</v>
      </c>
      <c r="I209" s="11" cm="1">
        <f t="array" ref="I209">IF(D209="","",(G209*C209)*0.00075)</f>
        <v>1.8749991682500002</v>
      </c>
      <c r="J209" s="11" cm="1">
        <f t="array" ref="J209">IF(D209="","",(G209*D209)*0.00075)</f>
        <v>1.8595851997500001</v>
      </c>
      <c r="K209" s="33" cm="1">
        <f t="array" ref="K209">IF(D209="","",J209+I209)</f>
        <v>3.7345843680000002</v>
      </c>
      <c r="L209" s="33" cm="1">
        <f t="array" ref="L209">IF(D209=0,0,(D209-C209)*G209)</f>
        <v>-20.55195800000002</v>
      </c>
      <c r="M209" s="12">
        <v>2518.69126380025</v>
      </c>
      <c r="N209" s="34" cm="1">
        <f t="array" ref="N209">IFERROR((K209-J209)/J209,"–")</f>
        <v>1.0082889283599763</v>
      </c>
      <c r="O209" s="33" cm="1">
        <f t="array" ref="O209">IF(D209=0,0,L209-K209)</f>
        <v>-24.286542368000021</v>
      </c>
      <c r="P209" s="11"/>
      <c r="Q209" s="35"/>
    </row>
    <row r="210" spans="1:17" ht="22.5" customHeight="1">
      <c r="A210" s="16" t="s">
        <v>438</v>
      </c>
      <c r="B210" s="43">
        <v>44396</v>
      </c>
      <c r="C210" s="37">
        <v>1</v>
      </c>
      <c r="D210" s="37">
        <v>113</v>
      </c>
      <c r="E210" s="19" cm="1">
        <f t="array" ref="E210">IF(D210="","",D210-C210)</f>
        <v>112</v>
      </c>
      <c r="F210" s="20" cm="1">
        <f t="array" ref="F210">IF(D210=0,"",(D210-C210)/C210)</f>
        <v>112</v>
      </c>
      <c r="G210" s="21">
        <v>1</v>
      </c>
      <c r="H210" s="22">
        <v>1</v>
      </c>
      <c r="I210" s="23" cm="1">
        <f t="array" ref="I210">IF(D210="","",(G210*C210)*0.00075)</f>
        <v>7.5000000000000002E-4</v>
      </c>
      <c r="J210" s="23" cm="1">
        <f t="array" ref="J210">IF(D210="","",(G210*D210)*0.00075)</f>
        <v>8.4750000000000006E-2</v>
      </c>
      <c r="K210" s="24" cm="1">
        <f t="array" ref="K210">IF(D210="","",J210+I210)</f>
        <v>8.5500000000000007E-2</v>
      </c>
      <c r="L210" s="24" cm="1">
        <f t="array" ref="L210">IF(D210=0,0,(D210-C210)*G210)</f>
        <v>112</v>
      </c>
      <c r="M210" s="25">
        <v>-111.08475</v>
      </c>
      <c r="N210" s="26" cm="1">
        <f t="array" ref="N210">IFERROR((K210-J210)/J210,"–")</f>
        <v>8.8495575221239006E-3</v>
      </c>
      <c r="O210" s="24" cm="1">
        <f t="array" ref="O210">IF(D210=0,0,L210-K210)</f>
        <v>111.9145</v>
      </c>
      <c r="P210" s="23"/>
      <c r="Q210" s="27"/>
    </row>
    <row r="211" spans="1:17" ht="22.5" customHeight="1">
      <c r="A211" s="16" t="s">
        <v>59</v>
      </c>
      <c r="B211" s="42">
        <v>44398</v>
      </c>
      <c r="C211" s="36">
        <v>18.858000000000001</v>
      </c>
      <c r="D211" s="36">
        <v>18.759</v>
      </c>
      <c r="E211" s="30" cm="1">
        <f t="array" ref="E211">IF(D211="","",D211-C211)</f>
        <v>-9.9000000000000199E-2</v>
      </c>
      <c r="F211" s="31" cm="1">
        <f t="array" ref="F211">IF(D211=0,"",(D211-C211)/C211)</f>
        <v>-5.2497613744829884E-3</v>
      </c>
      <c r="G211" s="32">
        <v>378.36599999999999</v>
      </c>
      <c r="H211" s="10">
        <v>1</v>
      </c>
      <c r="I211" s="11" cm="1">
        <f t="array" ref="I211">IF(D211="","",(G211*C211)*0.00075)</f>
        <v>5.3514195210000004</v>
      </c>
      <c r="J211" s="11" cm="1">
        <f t="array" ref="J211">IF(D211="","",(G211*D211)*0.00075)</f>
        <v>5.3233258454999994</v>
      </c>
      <c r="K211" s="33" cm="1">
        <f t="array" ref="K211">IF(D211="","",J211+I211)</f>
        <v>10.6747453665</v>
      </c>
      <c r="L211" s="33" cm="1">
        <f t="array" ref="L211">IF(D211=0,0,(D211-C211)*G211)</f>
        <v>-37.458234000000076</v>
      </c>
      <c r="M211" s="12">
        <v>7167.3609361545005</v>
      </c>
      <c r="N211" s="34" cm="1">
        <f t="array" ref="N211">IFERROR((K211-J211)/J211,"–")</f>
        <v>1.0052774668159286</v>
      </c>
      <c r="O211" s="33" cm="1">
        <f t="array" ref="O211">IF(D211=0,0,L211-K211)</f>
        <v>-48.132979366500074</v>
      </c>
      <c r="P211" s="11"/>
      <c r="Q211" s="35"/>
    </row>
    <row r="212" spans="1:17" ht="22.5" customHeight="1">
      <c r="A212" s="16" t="s">
        <v>89</v>
      </c>
      <c r="B212" s="43">
        <v>44398</v>
      </c>
      <c r="C212" s="37">
        <v>6.4839999999999995E-2</v>
      </c>
      <c r="D212" s="37">
        <v>6.6299999999999998E-2</v>
      </c>
      <c r="E212" s="19" cm="1">
        <f t="array" ref="E212">IF(D212="","",D212-C212)</f>
        <v>1.460000000000003E-3</v>
      </c>
      <c r="F212" s="20" cm="1">
        <f t="array" ref="F212">IF(D212=0,"",(D212-C212)/C212)</f>
        <v>2.2516964836520714E-2</v>
      </c>
      <c r="G212" s="21">
        <v>107963.7</v>
      </c>
      <c r="H212" s="22">
        <v>1</v>
      </c>
      <c r="I212" s="23" cm="1">
        <f t="array" ref="I212">IF(D212="","",(G212*C212)*0.00075)</f>
        <v>5.2502747310000002</v>
      </c>
      <c r="J212" s="23" cm="1">
        <f t="array" ref="J212">IF(D212="","",(G212*D212)*0.00075)</f>
        <v>5.3684949824999997</v>
      </c>
      <c r="K212" s="24" cm="1">
        <f t="array" ref="K212">IF(D212="","",J212+I212)</f>
        <v>10.618769713500001</v>
      </c>
      <c r="L212" s="24" cm="1">
        <f t="array" ref="L212">IF(D212=0,0,(D212-C212)*G212)</f>
        <v>157.62700200000032</v>
      </c>
      <c r="M212" s="25">
        <v>6837.3708110175003</v>
      </c>
      <c r="N212" s="26" cm="1">
        <f t="array" ref="N212">IFERROR((K212-J212)/J212,"–")</f>
        <v>0.9779788838612371</v>
      </c>
      <c r="O212" s="24" cm="1">
        <f t="array" ref="O212">IF(D212=0,0,L212-K212)</f>
        <v>147.00823228650032</v>
      </c>
      <c r="P212" s="23"/>
      <c r="Q212" s="27"/>
    </row>
    <row r="213" spans="1:17" ht="22.5" customHeight="1">
      <c r="A213" s="16" t="s">
        <v>89</v>
      </c>
      <c r="B213" s="42">
        <v>44398</v>
      </c>
      <c r="C213" s="36">
        <v>6.4839999999999995E-2</v>
      </c>
      <c r="D213" s="36">
        <v>6.6850000000000007E-2</v>
      </c>
      <c r="E213" s="30" cm="1">
        <f t="array" ref="E213">IF(D213="","",D213-C213)</f>
        <v>2.0100000000000118E-3</v>
      </c>
      <c r="F213" s="31" cm="1">
        <f t="array" ref="F213">IF(D213=0,"",(D213-C213)/C213)</f>
        <v>3.0999383096853978E-2</v>
      </c>
      <c r="G213" s="32">
        <v>1512.5</v>
      </c>
      <c r="H213" s="10">
        <v>1</v>
      </c>
      <c r="I213" s="11" cm="1">
        <f t="array" ref="I213">IF(D213="","",(G213*C213)*0.00075)</f>
        <v>7.3552875000000004E-2</v>
      </c>
      <c r="J213" s="11" cm="1">
        <f t="array" ref="J213">IF(D213="","",(G213*D213)*0.00075)</f>
        <v>7.5832968750000007E-2</v>
      </c>
      <c r="K213" s="33" cm="1">
        <f t="array" ref="K213">IF(D213="","",J213+I213)</f>
        <v>0.14938584375000002</v>
      </c>
      <c r="L213" s="33" cm="1">
        <f t="array" ref="L213">IF(D213=0,0,(D213-C213)*G213)</f>
        <v>3.040125000000018</v>
      </c>
      <c r="M213" s="12">
        <v>94.95454203125</v>
      </c>
      <c r="N213" s="34" cm="1">
        <f t="array" ref="N213">IFERROR((K213-J213)/J213,"–")</f>
        <v>0.96993268511593134</v>
      </c>
      <c r="O213" s="33" cm="1">
        <f t="array" ref="O213">IF(D213=0,0,L213-K213)</f>
        <v>2.8907391562500178</v>
      </c>
      <c r="P213" s="11"/>
      <c r="Q213" s="35"/>
    </row>
    <row r="214" spans="1:17" ht="22.5" customHeight="1">
      <c r="A214" s="16" t="s">
        <v>89</v>
      </c>
      <c r="B214" s="43">
        <v>44398</v>
      </c>
      <c r="C214" s="37">
        <v>6.4839999999999995E-2</v>
      </c>
      <c r="D214" s="37">
        <v>6.651E-2</v>
      </c>
      <c r="E214" s="19" cm="1">
        <f t="array" ref="E214">IF(D214="","",D214-C214)</f>
        <v>1.6700000000000048E-3</v>
      </c>
      <c r="F214" s="20" cm="1">
        <f t="array" ref="F214">IF(D214=0,"",(D214-C214)/C214)</f>
        <v>2.5755706354102483E-2</v>
      </c>
      <c r="G214" s="21">
        <v>106451.3</v>
      </c>
      <c r="H214" s="22">
        <v>1</v>
      </c>
      <c r="I214" s="23" cm="1">
        <f t="array" ref="I214">IF(D214="","",(G214*C214)*0.00075)</f>
        <v>5.1767267189999995</v>
      </c>
      <c r="J214" s="23" cm="1">
        <f t="array" ref="J214">IF(D214="","",(G214*D214)*0.00075)</f>
        <v>5.31005697225</v>
      </c>
      <c r="K214" s="24" cm="1">
        <f t="array" ref="K214">IF(D214="","",J214+I214)</f>
        <v>10.48678369125</v>
      </c>
      <c r="L214" s="24" cm="1">
        <f t="array" ref="L214">IF(D214=0,0,(D214-C214)*G214)</f>
        <v>177.77367100000052</v>
      </c>
      <c r="M214" s="25">
        <v>6719.2185640277503</v>
      </c>
      <c r="N214" s="26" cm="1">
        <f t="array" ref="N214">IFERROR((K214-J214)/J214,"–")</f>
        <v>0.97489099383551359</v>
      </c>
      <c r="O214" s="24" cm="1">
        <f t="array" ref="O214">IF(D214=0,0,L214-K214)</f>
        <v>167.28688730875052</v>
      </c>
      <c r="P214" s="23"/>
      <c r="Q214" s="27"/>
    </row>
    <row r="215" spans="1:17" ht="22.5" customHeight="1">
      <c r="A215" s="16" t="s">
        <v>67</v>
      </c>
      <c r="B215" s="42">
        <v>44398</v>
      </c>
      <c r="C215" s="36">
        <v>0.37308999999999998</v>
      </c>
      <c r="D215" s="36">
        <v>0.377</v>
      </c>
      <c r="E215" s="30" cm="1">
        <f t="array" ref="E215">IF(D215="","",D215-C215)</f>
        <v>3.9100000000000246E-3</v>
      </c>
      <c r="F215" s="31" cm="1">
        <f t="array" ref="F215">IF(D215=0,"",(D215-C215)/C215)</f>
        <v>1.0480045029349553E-2</v>
      </c>
      <c r="G215" s="32">
        <v>9756</v>
      </c>
      <c r="H215" s="10">
        <v>1</v>
      </c>
      <c r="I215" s="11" cm="1">
        <f t="array" ref="I215">IF(D215="","",(G215*C215)*0.00075)</f>
        <v>2.72989953</v>
      </c>
      <c r="J215" s="11" cm="1">
        <f t="array" ref="J215">IF(D215="","",(G215*D215)*0.00075)</f>
        <v>2.7585090000000001</v>
      </c>
      <c r="K215" s="33" cm="1">
        <f t="array" ref="K215">IF(D215="","",J215+I215)</f>
        <v>5.4884085300000001</v>
      </c>
      <c r="L215" s="33" cm="1">
        <f t="array" ref="L215">IF(D215=0,0,(D215-C215)*G215)</f>
        <v>38.145960000000237</v>
      </c>
      <c r="M215" s="12">
        <v>3598.9615709999998</v>
      </c>
      <c r="N215" s="34" cm="1">
        <f t="array" ref="N215">IFERROR((K215-J215)/J215,"–")</f>
        <v>0.98962864721485411</v>
      </c>
      <c r="O215" s="33" cm="1">
        <f t="array" ref="O215">IF(D215=0,0,L215-K215)</f>
        <v>32.657551470000236</v>
      </c>
      <c r="P215" s="11"/>
      <c r="Q215" s="35"/>
    </row>
    <row r="216" spans="1:17" ht="22.5" customHeight="1">
      <c r="A216" s="16" t="s">
        <v>90</v>
      </c>
      <c r="B216" s="43">
        <v>44398</v>
      </c>
      <c r="C216" s="37">
        <v>2.9850000000000002E-2</v>
      </c>
      <c r="D216" s="37">
        <v>3.0339999999999999E-2</v>
      </c>
      <c r="E216" s="19" cm="1">
        <f t="array" ref="E216">IF(D216="","",D216-C216)</f>
        <v>4.8999999999999738E-4</v>
      </c>
      <c r="F216" s="20" cm="1">
        <f t="array" ref="F216">IF(D216=0,"",(D216-C216)/C216)</f>
        <v>1.6415410385259541E-2</v>
      </c>
      <c r="G216" s="21">
        <v>122283</v>
      </c>
      <c r="H216" s="22">
        <v>1</v>
      </c>
      <c r="I216" s="23" cm="1">
        <f t="array" ref="I216">IF(D216="","",(G216*C216)*0.00075)</f>
        <v>2.7376106625000003</v>
      </c>
      <c r="J216" s="23" cm="1">
        <f t="array" ref="J216">IF(D216="","",(G216*D216)*0.00075)</f>
        <v>2.7825496649999999</v>
      </c>
      <c r="K216" s="24" cm="1">
        <f t="array" ref="K216">IF(D216="","",J216+I216)</f>
        <v>5.5201603275000002</v>
      </c>
      <c r="L216" s="24" cm="1">
        <f t="array" ref="L216">IF(D216=0,0,(D216-C216)*G216)</f>
        <v>59.918669999999679</v>
      </c>
      <c r="M216" s="25">
        <v>3587.4463303349999</v>
      </c>
      <c r="N216" s="26" cm="1">
        <f t="array" ref="N216">IFERROR((K216-J216)/J216,"–")</f>
        <v>0.98384970336189859</v>
      </c>
      <c r="O216" s="24" cm="1">
        <f t="array" ref="O216">IF(D216=0,0,L216-K216)</f>
        <v>54.398509672499678</v>
      </c>
      <c r="P216" s="23"/>
      <c r="Q216" s="27"/>
    </row>
    <row r="217" spans="1:17" ht="22.5" customHeight="1">
      <c r="A217" s="16" t="s">
        <v>59</v>
      </c>
      <c r="B217" s="42">
        <v>44398</v>
      </c>
      <c r="C217" s="36">
        <v>22.143999999999998</v>
      </c>
      <c r="D217" s="36">
        <v>22.257000000000001</v>
      </c>
      <c r="E217" s="30" cm="1">
        <f t="array" ref="E217">IF(D217="","",D217-C217)</f>
        <v>0.1130000000000031</v>
      </c>
      <c r="F217" s="31" cm="1">
        <f t="array" ref="F217">IF(D217=0,"",(D217-C217)/C217)</f>
        <v>5.1029624277458049E-3</v>
      </c>
      <c r="G217" s="32">
        <v>165.511</v>
      </c>
      <c r="H217" s="10">
        <v>1</v>
      </c>
      <c r="I217" s="11" cm="1">
        <f t="array" ref="I217">IF(D217="","",(G217*C217)*0.00075)</f>
        <v>2.7488066879999997</v>
      </c>
      <c r="J217" s="11" cm="1">
        <f t="array" ref="J217">IF(D217="","",(G217*D217)*0.00075)</f>
        <v>2.76283374525</v>
      </c>
      <c r="K217" s="33" cm="1">
        <f t="array" ref="K217">IF(D217="","",J217+I217)</f>
        <v>5.5116404332499993</v>
      </c>
      <c r="L217" s="33" cm="1">
        <f t="array" ref="L217">IF(D217=0,0,(D217-C217)*G217)</f>
        <v>18.702743000000513</v>
      </c>
      <c r="M217" s="12">
        <v>3643.6100072547501</v>
      </c>
      <c r="N217" s="34" cm="1">
        <f t="array" ref="N217">IFERROR((K217-J217)/J217,"–")</f>
        <v>0.99492294559015115</v>
      </c>
      <c r="O217" s="33" cm="1">
        <f t="array" ref="O217">IF(D217=0,0,L217-K217)</f>
        <v>13.191102566750514</v>
      </c>
      <c r="P217" s="11"/>
      <c r="Q217" s="35"/>
    </row>
    <row r="218" spans="1:17" ht="22.5" customHeight="1">
      <c r="A218" s="16" t="s">
        <v>59</v>
      </c>
      <c r="B218" s="43">
        <v>44399</v>
      </c>
      <c r="C218" s="37">
        <v>20.783999999999999</v>
      </c>
      <c r="D218" s="37">
        <v>20.7</v>
      </c>
      <c r="E218" s="19" cm="1">
        <f t="array" ref="E218">IF(D218="","",D218-C218)</f>
        <v>-8.3999999999999631E-2</v>
      </c>
      <c r="F218" s="20" cm="1">
        <f t="array" ref="F218">IF(D218=0,"",(D218-C218)/C218)</f>
        <v>-4.0415704387990583E-3</v>
      </c>
      <c r="G218" s="21">
        <v>96.227000000000004</v>
      </c>
      <c r="H218" s="22">
        <v>1</v>
      </c>
      <c r="I218" s="23" cm="1">
        <f t="array" ref="I218">IF(D218="","",(G218*C218)*0.00075)</f>
        <v>1.4999864760000001</v>
      </c>
      <c r="J218" s="23" cm="1">
        <f t="array" ref="J218">IF(D218="","",(G218*D218)*0.00075)</f>
        <v>1.4939241750000001</v>
      </c>
      <c r="K218" s="24" cm="1">
        <f t="array" ref="K218">IF(D218="","",J218+I218)</f>
        <v>2.9939106510000002</v>
      </c>
      <c r="L218" s="24" cm="1">
        <f t="array" ref="L218">IF(D218=0,0,(D218-C218)*G218)</f>
        <v>-8.0830679999999653</v>
      </c>
      <c r="M218" s="25">
        <v>2006.5711118249999</v>
      </c>
      <c r="N218" s="26" cm="1">
        <f t="array" ref="N218">IFERROR((K218-J218)/J218,"–")</f>
        <v>1.0040579710144928</v>
      </c>
      <c r="O218" s="24" cm="1">
        <f t="array" ref="O218">IF(D218=0,0,L218-K218)</f>
        <v>-11.076978650999965</v>
      </c>
      <c r="P218" s="23"/>
      <c r="Q218" s="27"/>
    </row>
    <row r="219" spans="1:17" ht="22.5" customHeight="1">
      <c r="A219" s="16" t="s">
        <v>63</v>
      </c>
      <c r="B219" s="42">
        <v>44399</v>
      </c>
      <c r="C219" s="36">
        <v>0.14029</v>
      </c>
      <c r="D219" s="36">
        <v>0.14099999999999999</v>
      </c>
      <c r="E219" s="30" cm="1">
        <f t="array" ref="E219">IF(D219="","",D219-C219)</f>
        <v>7.0999999999998842E-4</v>
      </c>
      <c r="F219" s="31" cm="1">
        <f t="array" ref="F219">IF(D219=0,"",(D219-C219)/C219)</f>
        <v>5.0609451849738998E-3</v>
      </c>
      <c r="G219" s="32">
        <v>19381.2</v>
      </c>
      <c r="H219" s="10">
        <v>1</v>
      </c>
      <c r="I219" s="11" cm="1">
        <f t="array" ref="I219">IF(D219="","",(G219*C219)*0.00075)</f>
        <v>2.0392414110000003</v>
      </c>
      <c r="J219" s="11" cm="1">
        <f t="array" ref="J219">IF(D219="","",(G219*D219)*0.00075)</f>
        <v>2.0495619</v>
      </c>
      <c r="K219" s="33" cm="1">
        <f t="array" ref="K219">IF(D219="","",J219+I219)</f>
        <v>4.0888033110000004</v>
      </c>
      <c r="L219" s="33" cm="1">
        <f t="array" ref="L219">IF(D219=0,0,(D219-C219)*G219)</f>
        <v>13.760651999999777</v>
      </c>
      <c r="M219" s="12">
        <v>2703.1783341</v>
      </c>
      <c r="N219" s="34" cm="1">
        <f t="array" ref="N219">IFERROR((K219-J219)/J219,"–")</f>
        <v>0.99496453900709236</v>
      </c>
      <c r="O219" s="33" cm="1">
        <f t="array" ref="O219">IF(D219=0,0,L219-K219)</f>
        <v>9.671848688999777</v>
      </c>
      <c r="P219" s="11"/>
      <c r="Q219" s="35"/>
    </row>
    <row r="220" spans="1:17" ht="22.5" customHeight="1">
      <c r="A220" s="16" t="s">
        <v>63</v>
      </c>
      <c r="B220" s="43">
        <v>44399</v>
      </c>
      <c r="C220" s="37">
        <v>0.13957</v>
      </c>
      <c r="D220" s="37">
        <v>0.14099999999999999</v>
      </c>
      <c r="E220" s="19" cm="1">
        <f t="array" ref="E220">IF(D220="","",D220-C220)</f>
        <v>1.4299999999999868E-3</v>
      </c>
      <c r="F220" s="20" cm="1">
        <f t="array" ref="F220">IF(D220=0,"",(D220-C220)/C220)</f>
        <v>1.0245754818370615E-2</v>
      </c>
      <c r="G220" s="21">
        <v>25974.400000000001</v>
      </c>
      <c r="H220" s="22">
        <v>1</v>
      </c>
      <c r="I220" s="23" cm="1">
        <f t="array" ref="I220">IF(D220="","",(G220*C220)*0.00075)</f>
        <v>2.7189352560000004</v>
      </c>
      <c r="J220" s="23" cm="1">
        <f t="array" ref="J220">IF(D220="","",(G220*D220)*0.00075)</f>
        <v>2.7467927999999997</v>
      </c>
      <c r="K220" s="24" cm="1">
        <f t="array" ref="K220">IF(D220="","",J220+I220)</f>
        <v>5.4657280559999997</v>
      </c>
      <c r="L220" s="24" cm="1">
        <f t="array" ref="L220">IF(D220=0,0,(D220-C220)*G220)</f>
        <v>37.143391999999658</v>
      </c>
      <c r="M220" s="25">
        <v>3585.3568231999998</v>
      </c>
      <c r="N220" s="26" cm="1">
        <f t="array" ref="N220">IFERROR((K220-J220)/J220,"–")</f>
        <v>0.98985815602836891</v>
      </c>
      <c r="O220" s="24" cm="1">
        <f t="array" ref="O220">IF(D220=0,0,L220-K220)</f>
        <v>31.677663943999658</v>
      </c>
      <c r="P220" s="23"/>
      <c r="Q220" s="27"/>
    </row>
    <row r="221" spans="1:17" ht="22.5" customHeight="1">
      <c r="A221" s="16" t="s">
        <v>20</v>
      </c>
      <c r="B221" s="42">
        <v>44399</v>
      </c>
      <c r="C221" s="36">
        <v>1.3688000000000001E-2</v>
      </c>
      <c r="D221" s="36">
        <v>1.3592E-2</v>
      </c>
      <c r="E221" s="30" cm="1">
        <f t="array" ref="E221">IF(D221="","",D221-C221)</f>
        <v>-9.6000000000000599E-5</v>
      </c>
      <c r="F221" s="31" cm="1">
        <f t="array" ref="F221">IF(D221=0,"",(D221-C221)/C221)</f>
        <v>-7.0134424313267529E-3</v>
      </c>
      <c r="G221" s="32">
        <v>531565</v>
      </c>
      <c r="H221" s="10">
        <v>1</v>
      </c>
      <c r="I221" s="11" cm="1">
        <f t="array" ref="I221">IF(D221="","",(G221*C221)*0.00075)</f>
        <v>5.457046290000001</v>
      </c>
      <c r="J221" s="11" cm="1">
        <f t="array" ref="J221">IF(D221="","",(G221*D221)*0.00075)</f>
        <v>5.4187736099999997</v>
      </c>
      <c r="K221" s="33" cm="1">
        <f t="array" ref="K221">IF(D221="","",J221+I221)</f>
        <v>10.8758199</v>
      </c>
      <c r="L221" s="33" cm="1">
        <f t="array" ref="L221">IF(D221=0,0,(D221-C221)*G221)</f>
        <v>-51.030240000000319</v>
      </c>
      <c r="M221" s="12">
        <v>7321.6731863900004</v>
      </c>
      <c r="N221" s="34" cm="1">
        <f t="array" ref="N221">IFERROR((K221-J221)/J221,"–")</f>
        <v>1.0070629782224838</v>
      </c>
      <c r="O221" s="33" cm="1">
        <f t="array" ref="O221">IF(D221=0,0,L221-K221)</f>
        <v>-61.906059900000315</v>
      </c>
      <c r="P221" s="11"/>
      <c r="Q221" s="35"/>
    </row>
    <row r="222" spans="1:17" ht="22.5" customHeight="1">
      <c r="A222" s="16" t="s">
        <v>63</v>
      </c>
      <c r="B222" s="43">
        <v>44400</v>
      </c>
      <c r="C222" s="37">
        <v>0.13661000000000001</v>
      </c>
      <c r="D222" s="37">
        <v>0.15204000000000001</v>
      </c>
      <c r="E222" s="19" cm="1">
        <f t="array" ref="E222">IF(D222="","",D222-C222)</f>
        <v>1.5429999999999999E-2</v>
      </c>
      <c r="F222" s="20" cm="1">
        <f t="array" ref="F222">IF(D222=0,"",(D222-C222)/C222)</f>
        <v>0.11294927164922039</v>
      </c>
      <c r="G222" s="21">
        <v>14641.2</v>
      </c>
      <c r="H222" s="22">
        <v>1</v>
      </c>
      <c r="I222" s="23" cm="1">
        <f t="array" ref="I222">IF(D222="","",(G222*C222)*0.00075)</f>
        <v>1.5001007490000002</v>
      </c>
      <c r="J222" s="23" cm="1">
        <f t="array" ref="J222">IF(D222="","",(G222*D222)*0.00075)</f>
        <v>1.6695360360000002</v>
      </c>
      <c r="K222" s="24" cm="1">
        <f t="array" ref="K222">IF(D222="","",J222+I222)</f>
        <v>3.1696367850000007</v>
      </c>
      <c r="L222" s="24" cm="1">
        <f t="array" ref="L222">IF(D222=0,0,(D222-C222)*G222)</f>
        <v>225.91371599999999</v>
      </c>
      <c r="M222" s="25">
        <v>1772.5510799640001</v>
      </c>
      <c r="N222" s="26" cm="1">
        <f t="array" ref="N222">IFERROR((K222-J222)/J222,"–")</f>
        <v>0.89851354906603542</v>
      </c>
      <c r="O222" s="24" cm="1">
        <f t="array" ref="O222">IF(D222=0,0,L222-K222)</f>
        <v>222.744079215</v>
      </c>
      <c r="P222" s="23"/>
      <c r="Q222" s="27"/>
    </row>
    <row r="223" spans="1:17" ht="22.5" customHeight="1">
      <c r="A223" s="16" t="s">
        <v>33</v>
      </c>
      <c r="B223" s="42">
        <v>44400</v>
      </c>
      <c r="C223" s="36">
        <v>2.967E-4</v>
      </c>
      <c r="D223" s="36">
        <v>2.9839999999999999E-4</v>
      </c>
      <c r="E223" s="30" cm="1">
        <f t="array" ref="E223">IF(D223="","",D223-C223)</f>
        <v>1.6999999999999871E-6</v>
      </c>
      <c r="F223" s="31" cm="1">
        <f t="array" ref="F223">IF(D223=0,"",(D223-C223)/C223)</f>
        <v>5.7296932928883959E-3</v>
      </c>
      <c r="G223" s="32">
        <v>24436839</v>
      </c>
      <c r="H223" s="10">
        <v>1</v>
      </c>
      <c r="I223" s="11" cm="1">
        <f t="array" ref="I223">IF(D223="","",(G223*C223)*0.00075)</f>
        <v>5.4378075984750005</v>
      </c>
      <c r="J223" s="11" cm="1">
        <f t="array" ref="J223">IF(D223="","",(G223*D223)*0.00075)</f>
        <v>5.4689645682000005</v>
      </c>
      <c r="K223" s="33" cm="1">
        <f t="array" ref="K223">IF(D223="","",J223+I223)</f>
        <v>10.906772166675001</v>
      </c>
      <c r="L223" s="33" cm="1">
        <f t="array" ref="L223">IF(D223=0,0,(D223-C223)*G223)</f>
        <v>41.542626299999682</v>
      </c>
      <c r="M223" s="12">
        <v>7203.3985404318</v>
      </c>
      <c r="N223" s="34" cm="1">
        <f t="array" ref="N223">IFERROR((K223-J223)/J223,"–")</f>
        <v>0.99430294906166217</v>
      </c>
      <c r="O223" s="33" cm="1">
        <f t="array" ref="O223">IF(D223=0,0,L223-K223)</f>
        <v>30.635854133324681</v>
      </c>
      <c r="P223" s="11"/>
      <c r="Q223" s="35"/>
    </row>
    <row r="224" spans="1:17" ht="22.5" customHeight="1">
      <c r="A224" s="16" t="s">
        <v>33</v>
      </c>
      <c r="B224" s="43">
        <v>44400</v>
      </c>
      <c r="C224" s="37">
        <v>2.967E-4</v>
      </c>
      <c r="D224" s="37">
        <v>2.987E-4</v>
      </c>
      <c r="E224" s="19" cm="1">
        <f t="array" ref="E224">IF(D224="","",D224-C224)</f>
        <v>1.9999999999999944E-6</v>
      </c>
      <c r="F224" s="20" cm="1">
        <f t="array" ref="F224">IF(D224=0,"",(D224-C224)/C224)</f>
        <v>6.740815638692263E-3</v>
      </c>
      <c r="G224" s="21">
        <v>24436839</v>
      </c>
      <c r="H224" s="22">
        <v>1</v>
      </c>
      <c r="I224" s="23" cm="1">
        <f t="array" ref="I224">IF(D224="","",(G224*C224)*0.00075)</f>
        <v>5.4378075984750005</v>
      </c>
      <c r="J224" s="23" cm="1">
        <f t="array" ref="J224">IF(D224="","",(G224*D224)*0.00075)</f>
        <v>5.4744628569750002</v>
      </c>
      <c r="K224" s="24" cm="1">
        <f t="array" ref="K224">IF(D224="","",J224+I224)</f>
        <v>10.912270455450001</v>
      </c>
      <c r="L224" s="24" cm="1">
        <f t="array" ref="L224">IF(D224=0,0,(D224-C224)*G224)</f>
        <v>48.873677999999863</v>
      </c>
      <c r="M224" s="25">
        <v>7196.0619904430296</v>
      </c>
      <c r="N224" s="26" cm="1">
        <f t="array" ref="N224">IFERROR((K224-J224)/J224,"–")</f>
        <v>0.99330431871442926</v>
      </c>
      <c r="O224" s="24" cm="1">
        <f t="array" ref="O224">IF(D224=0,0,L224-K224)</f>
        <v>37.961407544549864</v>
      </c>
      <c r="P224" s="23"/>
      <c r="Q224" s="27"/>
    </row>
    <row r="225" spans="1:17" ht="22.5" customHeight="1">
      <c r="A225" s="16" t="s">
        <v>91</v>
      </c>
      <c r="B225" s="42">
        <v>44401</v>
      </c>
      <c r="C225" s="36">
        <v>0.21790000000000001</v>
      </c>
      <c r="D225" s="36">
        <v>0.21920000000000001</v>
      </c>
      <c r="E225" s="30" cm="1">
        <f t="array" ref="E225">IF(D225="","",D225-C225)</f>
        <v>1.2999999999999956E-3</v>
      </c>
      <c r="F225" s="31" cm="1">
        <f t="array" ref="F225">IF(D225=0,"",(D225-C225)/C225)</f>
        <v>5.9660394676456889E-3</v>
      </c>
      <c r="G225" s="32">
        <v>33278.89</v>
      </c>
      <c r="H225" s="10">
        <v>1</v>
      </c>
      <c r="I225" s="11" cm="1">
        <f t="array" ref="I225">IF(D225="","",(G225*C225)*0.00075)</f>
        <v>5.4386025982500001</v>
      </c>
      <c r="J225" s="11" cm="1">
        <f t="array" ref="J225">IF(D225="","",(G225*D225)*0.00075)</f>
        <v>5.4710495159999999</v>
      </c>
      <c r="K225" s="33" cm="1">
        <f t="array" ref="K225">IF(D225="","",J225+I225)</f>
        <v>10.909652114250001</v>
      </c>
      <c r="L225" s="33" cm="1">
        <f t="array" ref="L225">IF(D225=0,0,(D225-C225)*G225)</f>
        <v>43.262556999999852</v>
      </c>
      <c r="M225" s="12">
        <v>7202.7365244840003</v>
      </c>
      <c r="N225" s="34" cm="1">
        <f t="array" ref="N225">IFERROR((K225-J225)/J225,"–")</f>
        <v>0.99406934306569361</v>
      </c>
      <c r="O225" s="33" cm="1">
        <f t="array" ref="O225">IF(D225=0,0,L225-K225)</f>
        <v>32.352904885749851</v>
      </c>
      <c r="P225" s="11"/>
      <c r="Q225" s="35"/>
    </row>
    <row r="226" spans="1:17" ht="22.5" customHeight="1">
      <c r="A226" s="16" t="s">
        <v>92</v>
      </c>
      <c r="B226" s="43">
        <v>44402</v>
      </c>
      <c r="C226" s="37">
        <v>4.1340000000000002E-2</v>
      </c>
      <c r="D226" s="37">
        <v>4.4119999999999999E-2</v>
      </c>
      <c r="E226" s="19" cm="1">
        <f t="array" ref="E226">IF(D226="","",D226-C226)</f>
        <v>2.7799999999999978E-3</v>
      </c>
      <c r="F226" s="20" cm="1">
        <f t="array" ref="F226">IF(D226=0,"",(D226-C226)/C226)</f>
        <v>6.7247218190614355E-2</v>
      </c>
      <c r="G226" s="21">
        <v>175392.6</v>
      </c>
      <c r="H226" s="22">
        <v>1</v>
      </c>
      <c r="I226" s="23" cm="1">
        <f t="array" ref="I226">IF(D226="","",(G226*C226)*0.00075)</f>
        <v>5.4380475630000005</v>
      </c>
      <c r="J226" s="23" cm="1">
        <f t="array" ref="J226">IF(D226="","",(G226*D226)*0.00075)</f>
        <v>5.803741134</v>
      </c>
      <c r="K226" s="24" cm="1">
        <f t="array" ref="K226">IF(D226="","",J226+I226)</f>
        <v>11.241788697</v>
      </c>
      <c r="L226" s="24" cm="1">
        <f t="array" ref="L226">IF(D226=0,0,(D226-C226)*G226)</f>
        <v>487.59142799999961</v>
      </c>
      <c r="M226" s="25">
        <v>6757.334914866</v>
      </c>
      <c r="N226" s="26" cm="1">
        <f t="array" ref="N226">IFERROR((K226-J226)/J226,"–")</f>
        <v>0.93699002719854951</v>
      </c>
      <c r="O226" s="24" cm="1">
        <f t="array" ref="O226">IF(D226=0,0,L226-K226)</f>
        <v>476.34963930299961</v>
      </c>
      <c r="P226" s="23"/>
      <c r="Q226" s="27"/>
    </row>
    <row r="227" spans="1:17" ht="22.5" customHeight="1">
      <c r="A227" s="16" t="s">
        <v>92</v>
      </c>
      <c r="B227" s="42">
        <v>44402</v>
      </c>
      <c r="C227" s="36">
        <v>4.1340000000000002E-2</v>
      </c>
      <c r="D227" s="36">
        <v>4.3999999999999997E-2</v>
      </c>
      <c r="E227" s="30" cm="1">
        <f t="array" ref="E227">IF(D227="","",D227-C227)</f>
        <v>2.6599999999999957E-3</v>
      </c>
      <c r="F227" s="31" cm="1">
        <f t="array" ref="F227">IF(D227=0,"",(D227-C227)/C227)</f>
        <v>6.4344460570875561E-2</v>
      </c>
      <c r="G227" s="32">
        <v>175392.7</v>
      </c>
      <c r="H227" s="10">
        <v>1</v>
      </c>
      <c r="I227" s="11" cm="1">
        <f t="array" ref="I227">IF(D227="","",(G227*C227)*0.00075)</f>
        <v>5.4380506635000003</v>
      </c>
      <c r="J227" s="11" cm="1">
        <f t="array" ref="J227">IF(D227="","",(G227*D227)*0.00075)</f>
        <v>5.7879591000000001</v>
      </c>
      <c r="K227" s="33" cm="1">
        <f t="array" ref="K227">IF(D227="","",J227+I227)</f>
        <v>11.2260097635</v>
      </c>
      <c r="L227" s="33" cm="1">
        <f t="array" ref="L227">IF(D227=0,0,(D227-C227)*G227)</f>
        <v>466.54458199999925</v>
      </c>
      <c r="M227" s="12">
        <v>6778.4016769</v>
      </c>
      <c r="N227" s="34" cm="1">
        <f t="array" ref="N227">IFERROR((K227-J227)/J227,"–")</f>
        <v>0.93954545454545457</v>
      </c>
      <c r="O227" s="33" cm="1">
        <f t="array" ref="O227">IF(D227=0,0,L227-K227)</f>
        <v>455.31857223649928</v>
      </c>
      <c r="P227" s="11"/>
      <c r="Q227" s="35"/>
    </row>
    <row r="228" spans="1:17" ht="22.5" customHeight="1">
      <c r="A228" s="16" t="s">
        <v>93</v>
      </c>
      <c r="B228" s="43">
        <v>44403</v>
      </c>
      <c r="C228" s="37">
        <v>3.3696999999999999</v>
      </c>
      <c r="D228" s="37">
        <v>3.6595</v>
      </c>
      <c r="E228" s="19" cm="1">
        <f t="array" ref="E228">IF(D228="","",D228-C228)</f>
        <v>0.28980000000000006</v>
      </c>
      <c r="F228" s="20" cm="1">
        <f t="array" ref="F228">IF(D228=0,"",(D228-C228)/C228)</f>
        <v>8.6001721221473745E-2</v>
      </c>
      <c r="G228" s="21">
        <v>1142.56</v>
      </c>
      <c r="H228" s="22">
        <v>1</v>
      </c>
      <c r="I228" s="23" cm="1">
        <f t="array" ref="I228">IF(D228="","",(G228*C228)*0.00075)</f>
        <v>2.8875633239999998</v>
      </c>
      <c r="J228" s="23" cm="1">
        <f t="array" ref="J228">IF(D228="","",(G228*D228)*0.00075)</f>
        <v>3.1358987399999996</v>
      </c>
      <c r="K228" s="24" cm="1">
        <f t="array" ref="K228">IF(D228="","",J228+I228)</f>
        <v>6.0234620639999994</v>
      </c>
      <c r="L228" s="24" cm="1">
        <f t="array" ref="L228">IF(D228=0,0,(D228-C228)*G228)</f>
        <v>331.11388800000003</v>
      </c>
      <c r="M228" s="25">
        <v>3515.8346452599999</v>
      </c>
      <c r="N228" s="26" cm="1">
        <f t="array" ref="N228">IFERROR((K228-J228)/J228,"–")</f>
        <v>0.92080885366853404</v>
      </c>
      <c r="O228" s="24" cm="1">
        <f t="array" ref="O228">IF(D228=0,0,L228-K228)</f>
        <v>325.09042593600003</v>
      </c>
      <c r="P228" s="23"/>
      <c r="Q228" s="27"/>
    </row>
    <row r="229" spans="1:17" ht="22.5" customHeight="1">
      <c r="A229" s="16" t="s">
        <v>93</v>
      </c>
      <c r="B229" s="42">
        <v>44403</v>
      </c>
      <c r="C229" s="36">
        <v>3.3696999999999999</v>
      </c>
      <c r="D229" s="36">
        <v>3.6901000000000002</v>
      </c>
      <c r="E229" s="30" cm="1">
        <f t="array" ref="E229">IF(D229="","",D229-C229)</f>
        <v>0.32040000000000024</v>
      </c>
      <c r="F229" s="31" cm="1">
        <f t="array" ref="F229">IF(D229=0,"",(D229-C229)/C229)</f>
        <v>9.5082648306971024E-2</v>
      </c>
      <c r="G229" s="32">
        <v>3427.69</v>
      </c>
      <c r="H229" s="10">
        <v>1</v>
      </c>
      <c r="I229" s="11" cm="1">
        <f t="array" ref="I229">IF(D229="","",(G229*C229)*0.00075)</f>
        <v>8.6627152447500002</v>
      </c>
      <c r="J229" s="11" cm="1">
        <f t="array" ref="J229">IF(D229="","",(G229*D229)*0.00075)</f>
        <v>9.4863891517500019</v>
      </c>
      <c r="K229" s="33" cm="1">
        <f t="array" ref="K229">IF(D229="","",J229+I229)</f>
        <v>18.1491043965</v>
      </c>
      <c r="L229" s="33" cm="1">
        <f t="array" ref="L229">IF(D229=0,0,(D229-C229)*G229)</f>
        <v>1098.2318760000007</v>
      </c>
      <c r="M229" s="12">
        <v>10442.5687278483</v>
      </c>
      <c r="N229" s="34" cm="1">
        <f t="array" ref="N229">IFERROR((K229-J229)/J229,"–")</f>
        <v>0.91317308474025061</v>
      </c>
      <c r="O229" s="33" cm="1">
        <f t="array" ref="O229">IF(D229=0,0,L229-K229)</f>
        <v>1080.0827716035008</v>
      </c>
      <c r="P229" s="11"/>
      <c r="Q229" s="35"/>
    </row>
    <row r="230" spans="1:17" ht="22.5" customHeight="1">
      <c r="A230" s="16" t="s">
        <v>94</v>
      </c>
      <c r="B230" s="43">
        <v>44403</v>
      </c>
      <c r="C230" s="37">
        <v>2.2867000000000002</v>
      </c>
      <c r="D230" s="37">
        <v>2.3016000000000001</v>
      </c>
      <c r="E230" s="19" cm="1">
        <f t="array" ref="E230">IF(D230="","",D230-C230)</f>
        <v>1.4899999999999913E-2</v>
      </c>
      <c r="F230" s="20" cm="1">
        <f t="array" ref="F230">IF(D230=0,"",(D230-C230)/C230)</f>
        <v>6.5159400008745847E-3</v>
      </c>
      <c r="G230" s="21">
        <v>6559.73</v>
      </c>
      <c r="H230" s="22">
        <v>1</v>
      </c>
      <c r="I230" s="23" cm="1">
        <f t="array" ref="I230">IF(D230="","",(G230*C230)*0.00075)</f>
        <v>11.250100943250001</v>
      </c>
      <c r="J230" s="23" cm="1">
        <f t="array" ref="J230">IF(D230="","",(G230*D230)*0.00075)</f>
        <v>11.323405926</v>
      </c>
      <c r="K230" s="24" cm="1">
        <f t="array" ref="K230">IF(D230="","",J230+I230)</f>
        <v>22.57350686925</v>
      </c>
      <c r="L230" s="24" cm="1">
        <f t="array" ref="L230">IF(D230=0,0,(D230-C230)*G230)</f>
        <v>97.739976999999428</v>
      </c>
      <c r="M230" s="25">
        <v>14891.071208074</v>
      </c>
      <c r="N230" s="26" cm="1">
        <f t="array" ref="N230">IFERROR((K230-J230)/J230,"–")</f>
        <v>0.99352624261383393</v>
      </c>
      <c r="O230" s="24" cm="1">
        <f t="array" ref="O230">IF(D230=0,0,L230-K230)</f>
        <v>75.166470130749431</v>
      </c>
      <c r="P230" s="23"/>
      <c r="Q230" s="27"/>
    </row>
    <row r="231" spans="1:17" ht="22.5" customHeight="1">
      <c r="A231" s="16" t="s">
        <v>94</v>
      </c>
      <c r="B231" s="42">
        <v>44403</v>
      </c>
      <c r="C231" s="36">
        <v>2.3214000000000001</v>
      </c>
      <c r="D231" s="36">
        <v>2.3224999999999998</v>
      </c>
      <c r="E231" s="30" cm="1">
        <f t="array" ref="E231">IF(D231="","",D231-C231)</f>
        <v>1.0999999999996568E-3</v>
      </c>
      <c r="F231" s="31" cm="1">
        <f t="array" ref="F231">IF(D231=0,"",(D231-C231)/C231)</f>
        <v>4.7385198587044747E-4</v>
      </c>
      <c r="G231" s="32">
        <v>5200.8100000000004</v>
      </c>
      <c r="H231" s="10">
        <v>1</v>
      </c>
      <c r="I231" s="11" cm="1">
        <f t="array" ref="I231">IF(D231="","",(G231*C231)*0.00075)</f>
        <v>9.0548702505000023</v>
      </c>
      <c r="J231" s="11" cm="1">
        <f t="array" ref="J231">IF(D231="","",(G231*D231)*0.00075)</f>
        <v>9.0591609187499991</v>
      </c>
      <c r="K231" s="33" cm="1">
        <f t="array" ref="K231">IF(D231="","",J231+I231)</f>
        <v>18.114031169250001</v>
      </c>
      <c r="L231" s="33" cm="1">
        <f t="array" ref="L231">IF(D231=0,0,(D231-C231)*G231)</f>
        <v>5.7208909999982156</v>
      </c>
      <c r="M231" s="12">
        <v>12058.3802820813</v>
      </c>
      <c r="N231" s="34" cm="1">
        <f t="array" ref="N231">IFERROR((K231-J231)/J231,"–")</f>
        <v>0.99952637244348796</v>
      </c>
      <c r="O231" s="33" cm="1">
        <f t="array" ref="O231">IF(D231=0,0,L231-K231)</f>
        <v>-12.393140169251787</v>
      </c>
      <c r="P231" s="11"/>
      <c r="Q231" s="35"/>
    </row>
    <row r="232" spans="1:17" ht="22.5" customHeight="1">
      <c r="A232" s="16" t="s">
        <v>90</v>
      </c>
      <c r="B232" s="43">
        <v>44403</v>
      </c>
      <c r="C232" s="37">
        <v>3.542E-2</v>
      </c>
      <c r="D232" s="37">
        <v>3.5069999999999997E-2</v>
      </c>
      <c r="E232" s="19" cm="1">
        <f t="array" ref="E232">IF(D232="","",D232-C232)</f>
        <v>-3.5000000000000309E-4</v>
      </c>
      <c r="F232" s="20" cm="1">
        <f t="array" ref="F232">IF(D232=0,"",(D232-C232)/C232)</f>
        <v>-9.8814229249012727E-3</v>
      </c>
      <c r="G232" s="21">
        <v>237899</v>
      </c>
      <c r="H232" s="22">
        <v>1</v>
      </c>
      <c r="I232" s="23" cm="1">
        <f t="array" ref="I232">IF(D232="","",(G232*C232)*0.00075)</f>
        <v>6.3197869349999998</v>
      </c>
      <c r="J232" s="23" cm="1">
        <f t="array" ref="J232">IF(D232="","",(G232*D232)*0.00075)</f>
        <v>6.2573384474999987</v>
      </c>
      <c r="K232" s="24" cm="1">
        <f t="array" ref="K232">IF(D232="","",J232+I232)</f>
        <v>12.577125382499998</v>
      </c>
      <c r="L232" s="24" cm="1">
        <f t="array" ref="L232">IF(D232=0,0,(D232-C232)*G232)</f>
        <v>-83.264650000000728</v>
      </c>
      <c r="M232" s="25">
        <v>8503.3898915525006</v>
      </c>
      <c r="N232" s="26" cm="1">
        <f t="array" ref="N232">IFERROR((K232-J232)/J232,"–")</f>
        <v>1.0099800399201599</v>
      </c>
      <c r="O232" s="24" cm="1">
        <f t="array" ref="O232">IF(D232=0,0,L232-K232)</f>
        <v>-95.841775382500728</v>
      </c>
      <c r="P232" s="23"/>
      <c r="Q232" s="27"/>
    </row>
    <row r="233" spans="1:17" ht="22.5" customHeight="1">
      <c r="A233" s="16" t="s">
        <v>95</v>
      </c>
      <c r="B233" s="42">
        <v>44404</v>
      </c>
      <c r="C233" s="36">
        <v>0.33810000000000001</v>
      </c>
      <c r="D233" s="36">
        <v>0.34449999999999997</v>
      </c>
      <c r="E233" s="30" cm="1">
        <f t="array" ref="E233">IF(D233="","",D233-C233)</f>
        <v>6.3999999999999613E-3</v>
      </c>
      <c r="F233" s="31" cm="1">
        <f t="array" ref="F233">IF(D233=0,"",(D233-C233)/C233)</f>
        <v>1.8929310854776577E-2</v>
      </c>
      <c r="G233" s="32">
        <v>12349.06</v>
      </c>
      <c r="H233" s="10">
        <v>1</v>
      </c>
      <c r="I233" s="11" cm="1">
        <f t="array" ref="I233">IF(D233="","",(G233*C233)*0.00075)</f>
        <v>3.1314128895</v>
      </c>
      <c r="J233" s="11" cm="1">
        <f t="array" ref="J233">IF(D233="","",(G233*D233)*0.00075)</f>
        <v>3.1906883774999999</v>
      </c>
      <c r="K233" s="33" cm="1">
        <f t="array" ref="K233">IF(D233="","",J233+I233)</f>
        <v>6.3221012669999999</v>
      </c>
      <c r="L233" s="33" cm="1">
        <f t="array" ref="L233">IF(D233=0,0,(D233-C233)*G233)</f>
        <v>79.033983999999521</v>
      </c>
      <c r="M233" s="12">
        <v>4092.9925136225002</v>
      </c>
      <c r="N233" s="34" cm="1">
        <f t="array" ref="N233">IFERROR((K233-J233)/J233,"–")</f>
        <v>0.98142235123367205</v>
      </c>
      <c r="O233" s="33" cm="1">
        <f t="array" ref="O233">IF(D233=0,0,L233-K233)</f>
        <v>72.711882732999527</v>
      </c>
      <c r="P233" s="11"/>
      <c r="Q233" s="35"/>
    </row>
    <row r="234" spans="1:17" ht="22.5" customHeight="1">
      <c r="A234" s="16" t="s">
        <v>96</v>
      </c>
      <c r="B234" s="43">
        <v>44404</v>
      </c>
      <c r="C234" s="37">
        <v>8.319E-2</v>
      </c>
      <c r="D234" s="37">
        <v>8.8499999999999995E-2</v>
      </c>
      <c r="E234" s="19" cm="1">
        <f t="array" ref="E234">IF(D234="","",D234-C234)</f>
        <v>5.3099999999999953E-3</v>
      </c>
      <c r="F234" s="20" cm="1">
        <f t="array" ref="F234">IF(D234=0,"",(D234-C234)/C234)</f>
        <v>6.3829787234042493E-2</v>
      </c>
      <c r="G234" s="21">
        <v>100382.2</v>
      </c>
      <c r="H234" s="22">
        <v>1</v>
      </c>
      <c r="I234" s="23" cm="1">
        <f t="array" ref="I234">IF(D234="","",(G234*C234)*0.00075)</f>
        <v>6.2630964134999996</v>
      </c>
      <c r="J234" s="23" cm="1">
        <f t="array" ref="J234">IF(D234="","",(G234*D234)*0.00075)</f>
        <v>6.6628685249999995</v>
      </c>
      <c r="K234" s="24" cm="1">
        <f t="array" ref="K234">IF(D234="","",J234+I234)</f>
        <v>12.925964938499998</v>
      </c>
      <c r="L234" s="24" cm="1">
        <f t="array" ref="L234">IF(D234=0,0,(D234-C234)*G234)</f>
        <v>533.02948199999946</v>
      </c>
      <c r="M234" s="25">
        <v>7811.1028674749996</v>
      </c>
      <c r="N234" s="26" cm="1">
        <f t="array" ref="N234">IFERROR((K234-J234)/J234,"–")</f>
        <v>0.93999999999999984</v>
      </c>
      <c r="O234" s="24" cm="1">
        <f t="array" ref="O234">IF(D234=0,0,L234-K234)</f>
        <v>520.10351706149947</v>
      </c>
      <c r="P234" s="23"/>
      <c r="Q234" s="27"/>
    </row>
    <row r="235" spans="1:17" ht="22.5" customHeight="1">
      <c r="A235" s="16" t="s">
        <v>96</v>
      </c>
      <c r="B235" s="42">
        <v>44404</v>
      </c>
      <c r="C235" s="36">
        <v>8.319E-2</v>
      </c>
      <c r="D235" s="36">
        <v>8.9499999999999996E-2</v>
      </c>
      <c r="E235" s="30" cm="1">
        <f t="array" ref="E235">IF(D235="","",D235-C235)</f>
        <v>6.3099999999999962E-3</v>
      </c>
      <c r="F235" s="31" cm="1">
        <f t="array" ref="F235">IF(D235=0,"",(D235-C235)/C235)</f>
        <v>7.5850462796009085E-2</v>
      </c>
      <c r="G235" s="32">
        <v>100382.2</v>
      </c>
      <c r="H235" s="10">
        <v>1</v>
      </c>
      <c r="I235" s="11" cm="1">
        <f t="array" ref="I235">IF(D235="","",(G235*C235)*0.00075)</f>
        <v>6.2630964134999996</v>
      </c>
      <c r="J235" s="11" cm="1">
        <f t="array" ref="J235">IF(D235="","",(G235*D235)*0.00075)</f>
        <v>6.7381551749999993</v>
      </c>
      <c r="K235" s="33" cm="1">
        <f t="array" ref="K235">IF(D235="","",J235+I235)</f>
        <v>13.001251588499999</v>
      </c>
      <c r="L235" s="33" cm="1">
        <f t="array" ref="L235">IF(D235=0,0,(D235-C235)*G235)</f>
        <v>633.41168199999959</v>
      </c>
      <c r="M235" s="12">
        <v>7710.6453808249998</v>
      </c>
      <c r="N235" s="34" cm="1">
        <f t="array" ref="N235">IFERROR((K235-J235)/J235,"–")</f>
        <v>0.92949720670391067</v>
      </c>
      <c r="O235" s="33" cm="1">
        <f t="array" ref="O235">IF(D235=0,0,L235-K235)</f>
        <v>620.41043041149953</v>
      </c>
      <c r="P235" s="11"/>
      <c r="Q235" s="35"/>
    </row>
    <row r="236" spans="1:17" ht="22.5" customHeight="1">
      <c r="A236" s="16" t="s">
        <v>97</v>
      </c>
      <c r="B236" s="43">
        <v>44405</v>
      </c>
      <c r="C236" s="37">
        <v>8.1039999999999992</v>
      </c>
      <c r="D236" s="37">
        <v>8.23</v>
      </c>
      <c r="E236" s="19" cm="1">
        <f t="array" ref="E236">IF(D236="","",D236-C236)</f>
        <v>0.12600000000000122</v>
      </c>
      <c r="F236" s="20" cm="1">
        <f t="array" ref="F236">IF(D236=0,"",(D236-C236)/C236)</f>
        <v>1.5547877591313083E-2</v>
      </c>
      <c r="G236" s="21">
        <v>1110.5999999999999</v>
      </c>
      <c r="H236" s="22">
        <v>1</v>
      </c>
      <c r="I236" s="23" cm="1">
        <f t="array" ref="I236">IF(D236="","",(G236*C236)*0.00075)</f>
        <v>6.7502267999999992</v>
      </c>
      <c r="J236" s="23" cm="1">
        <f t="array" ref="J236">IF(D236="","",(G236*D236)*0.00075)</f>
        <v>6.8551785000000001</v>
      </c>
      <c r="K236" s="24" cm="1">
        <f t="array" ref="K236">IF(D236="","",J236+I236)</f>
        <v>13.605405299999999</v>
      </c>
      <c r="L236" s="24" cm="1">
        <f t="array" ref="L236">IF(D236=0,0,(D236-C236)*G236)</f>
        <v>139.93560000000136</v>
      </c>
      <c r="M236" s="25">
        <v>8853.5116214999998</v>
      </c>
      <c r="N236" s="26" cm="1">
        <f t="array" ref="N236">IFERROR((K236-J236)/J236,"–")</f>
        <v>0.98469015795868764</v>
      </c>
      <c r="O236" s="24" cm="1">
        <f t="array" ref="O236">IF(D236=0,0,L236-K236)</f>
        <v>126.33019470000136</v>
      </c>
      <c r="P236" s="23"/>
      <c r="Q236" s="27"/>
    </row>
    <row r="237" spans="1:17" ht="22.5" customHeight="1">
      <c r="A237" s="16" t="s">
        <v>97</v>
      </c>
      <c r="B237" s="42">
        <v>44405</v>
      </c>
      <c r="C237" s="36">
        <v>8.1039999999999992</v>
      </c>
      <c r="D237" s="36">
        <v>8.2260000000000009</v>
      </c>
      <c r="E237" s="30" cm="1">
        <f t="array" ref="E237">IF(D237="","",D237-C237)</f>
        <v>0.12200000000000166</v>
      </c>
      <c r="F237" s="31" cm="1">
        <f t="array" ref="F237">IF(D237=0,"",(D237-C237)/C237)</f>
        <v>1.5054294175715903E-2</v>
      </c>
      <c r="G237" s="32">
        <v>1110.7</v>
      </c>
      <c r="H237" s="10">
        <v>1</v>
      </c>
      <c r="I237" s="11" cm="1">
        <f t="array" ref="I237">IF(D237="","",(G237*C237)*0.00075)</f>
        <v>6.7508345999999992</v>
      </c>
      <c r="J237" s="11" cm="1">
        <f t="array" ref="J237">IF(D237="","",(G237*D237)*0.00075)</f>
        <v>6.8524636500000007</v>
      </c>
      <c r="K237" s="33" cm="1">
        <f t="array" ref="K237">IF(D237="","",J237+I237)</f>
        <v>13.60329825</v>
      </c>
      <c r="L237" s="33" cm="1">
        <f t="array" ref="L237">IF(D237=0,0,(D237-C237)*G237)</f>
        <v>135.50540000000186</v>
      </c>
      <c r="M237" s="12">
        <v>8858.7549363500002</v>
      </c>
      <c r="N237" s="34" cm="1">
        <f t="array" ref="N237">IFERROR((K237-J237)/J237,"–")</f>
        <v>0.98516897641624102</v>
      </c>
      <c r="O237" s="33" cm="1">
        <f t="array" ref="O237">IF(D237=0,0,L237-K237)</f>
        <v>121.90210175000186</v>
      </c>
      <c r="P237" s="11"/>
      <c r="Q237" s="35"/>
    </row>
    <row r="238" spans="1:17" ht="22.5" customHeight="1">
      <c r="A238" s="16" t="s">
        <v>51</v>
      </c>
      <c r="B238" s="43">
        <v>44405</v>
      </c>
      <c r="C238" s="37">
        <v>1.7989999999999999</v>
      </c>
      <c r="D238" s="37">
        <v>1.8049999999999999</v>
      </c>
      <c r="E238" s="19" cm="1">
        <f t="array" ref="E238">IF(D238="","",D238-C238)</f>
        <v>6.0000000000000053E-3</v>
      </c>
      <c r="F238" s="20" cm="1">
        <f t="array" ref="F238">IF(D238=0,"",(D238-C238)/C238)</f>
        <v>3.3351862145636494E-3</v>
      </c>
      <c r="G238" s="21">
        <v>2533.4070000000002</v>
      </c>
      <c r="H238" s="22">
        <v>1</v>
      </c>
      <c r="I238" s="23" cm="1">
        <f t="array" ref="I238">IF(D238="","",(G238*C238)*0.00075)</f>
        <v>3.4181993947500002</v>
      </c>
      <c r="J238" s="23" cm="1">
        <f t="array" ref="J238">IF(D238="","",(G238*D238)*0.00075)</f>
        <v>3.4295997262500002</v>
      </c>
      <c r="K238" s="24" cm="1">
        <f t="array" ref="K238">IF(D238="","",J238+I238)</f>
        <v>6.8477991210000004</v>
      </c>
      <c r="L238" s="24" cm="1">
        <f t="array" ref="L238">IF(D238=0,0,(D238-C238)*G238)</f>
        <v>15.200442000000015</v>
      </c>
      <c r="M238" s="25">
        <v>4538.96915127375</v>
      </c>
      <c r="N238" s="26" cm="1">
        <f t="array" ref="N238">IFERROR((K238-J238)/J238,"–")</f>
        <v>0.99667590027700836</v>
      </c>
      <c r="O238" s="24" cm="1">
        <f t="array" ref="O238">IF(D238=0,0,L238-K238)</f>
        <v>8.3526428790000153</v>
      </c>
      <c r="P238" s="23"/>
      <c r="Q238" s="27"/>
    </row>
    <row r="239" spans="1:17" ht="22.5" customHeight="1">
      <c r="A239" s="16" t="s">
        <v>51</v>
      </c>
      <c r="B239" s="42">
        <v>44405</v>
      </c>
      <c r="C239" s="36">
        <v>1.802</v>
      </c>
      <c r="D239" s="36">
        <v>1.8049999999999999</v>
      </c>
      <c r="E239" s="30" cm="1">
        <f t="array" ref="E239">IF(D239="","",D239-C239)</f>
        <v>2.9999999999998916E-3</v>
      </c>
      <c r="F239" s="31" cm="1">
        <f t="array" ref="F239">IF(D239=0,"",(D239-C239)/C239)</f>
        <v>1.664816870144224E-3</v>
      </c>
      <c r="G239" s="32">
        <v>3795.8820000000001</v>
      </c>
      <c r="H239" s="10">
        <v>1</v>
      </c>
      <c r="I239" s="11" cm="1">
        <f t="array" ref="I239">IF(D239="","",(G239*C239)*0.00075)</f>
        <v>5.1301345230000006</v>
      </c>
      <c r="J239" s="11" cm="1">
        <f t="array" ref="J239">IF(D239="","",(G239*D239)*0.00075)</f>
        <v>5.1386752575000001</v>
      </c>
      <c r="K239" s="33" cm="1">
        <f t="array" ref="K239">IF(D239="","",J239+I239)</f>
        <v>10.2688097805</v>
      </c>
      <c r="L239" s="33" cm="1">
        <f t="array" ref="L239">IF(D239=0,0,(D239-C239)*G239)</f>
        <v>11.387645999999588</v>
      </c>
      <c r="M239" s="12">
        <v>6823.6530427424996</v>
      </c>
      <c r="N239" s="34" cm="1">
        <f t="array" ref="N239">IFERROR((K239-J239)/J239,"–")</f>
        <v>0.99833795013850413</v>
      </c>
      <c r="O239" s="33" cm="1">
        <f t="array" ref="O239">IF(D239=0,0,L239-K239)</f>
        <v>1.1188362194995882</v>
      </c>
      <c r="P239" s="11"/>
      <c r="Q239" s="35"/>
    </row>
    <row r="240" spans="1:17" ht="22.5" customHeight="1">
      <c r="A240" s="16" t="s">
        <v>43</v>
      </c>
      <c r="B240" s="43">
        <v>44406</v>
      </c>
      <c r="C240" s="37">
        <v>0.61929999999999996</v>
      </c>
      <c r="D240" s="37">
        <v>0.63400000000000001</v>
      </c>
      <c r="E240" s="19" cm="1">
        <f t="array" ref="E240">IF(D240="","",D240-C240)</f>
        <v>1.4700000000000046E-2</v>
      </c>
      <c r="F240" s="20" cm="1">
        <f t="array" ref="F240">IF(D240=0,"",(D240-C240)/C240)</f>
        <v>2.3736476667204985E-2</v>
      </c>
      <c r="G240" s="21">
        <v>14775.53</v>
      </c>
      <c r="H240" s="22">
        <v>1</v>
      </c>
      <c r="I240" s="23" cm="1">
        <f t="array" ref="I240">IF(D240="","",(G240*C240)*0.00075)</f>
        <v>6.8628642967499998</v>
      </c>
      <c r="J240" s="23" cm="1">
        <f t="array" ref="J240">IF(D240="","",(G240*D240)*0.00075)</f>
        <v>7.0257645150000005</v>
      </c>
      <c r="K240" s="24" cm="1">
        <f t="array" ref="K240">IF(D240="","",J240+I240)</f>
        <v>13.888628811749999</v>
      </c>
      <c r="L240" s="24" cm="1">
        <f t="array" ref="L240">IF(D240=0,0,(D240-C240)*G240)</f>
        <v>217.2002910000007</v>
      </c>
      <c r="M240" s="25">
        <v>8926.2596734849994</v>
      </c>
      <c r="N240" s="26" cm="1">
        <f t="array" ref="N240">IFERROR((K240-J240)/J240,"–")</f>
        <v>0.97681388012618275</v>
      </c>
      <c r="O240" s="24" cm="1">
        <f t="array" ref="O240">IF(D240=0,0,L240-K240)</f>
        <v>203.31166218825069</v>
      </c>
      <c r="P240" s="23"/>
      <c r="Q240" s="27"/>
    </row>
    <row r="241" spans="1:17" ht="22.5" customHeight="1">
      <c r="A241" s="16" t="s">
        <v>43</v>
      </c>
      <c r="B241" s="42">
        <v>44406</v>
      </c>
      <c r="C241" s="36">
        <v>0.61929999999999996</v>
      </c>
      <c r="D241" s="36">
        <v>0.625</v>
      </c>
      <c r="E241" s="30" cm="1">
        <f t="array" ref="E241">IF(D241="","",D241-C241)</f>
        <v>5.7000000000000384E-3</v>
      </c>
      <c r="F241" s="31" cm="1">
        <f t="array" ref="F241">IF(D241=0,"",(D241-C241)/C241)</f>
        <v>9.2039399321815572E-3</v>
      </c>
      <c r="G241" s="32">
        <v>14775.53</v>
      </c>
      <c r="H241" s="10">
        <v>1</v>
      </c>
      <c r="I241" s="11" cm="1">
        <f t="array" ref="I241">IF(D241="","",(G241*C241)*0.00075)</f>
        <v>6.8628642967499998</v>
      </c>
      <c r="J241" s="11" cm="1">
        <f t="array" ref="J241">IF(D241="","",(G241*D241)*0.00075)</f>
        <v>6.9260296875000007</v>
      </c>
      <c r="K241" s="33" cm="1">
        <f t="array" ref="K241">IF(D241="","",J241+I241)</f>
        <v>13.78889398425</v>
      </c>
      <c r="L241" s="33" cm="1">
        <f t="array" ref="L241">IF(D241=0,0,(D241-C241)*G241)</f>
        <v>84.220521000000574</v>
      </c>
      <c r="M241" s="12">
        <v>9059.3391783125007</v>
      </c>
      <c r="N241" s="34" cm="1">
        <f t="array" ref="N241">IFERROR((K241-J241)/J241,"–")</f>
        <v>0.99087999999999987</v>
      </c>
      <c r="O241" s="33" cm="1">
        <f t="array" ref="O241">IF(D241=0,0,L241-K241)</f>
        <v>70.431627015750578</v>
      </c>
      <c r="P241" s="11"/>
      <c r="Q241" s="35"/>
    </row>
    <row r="242" spans="1:17" ht="22.5" customHeight="1">
      <c r="A242" s="16" t="s">
        <v>98</v>
      </c>
      <c r="B242" s="43">
        <v>44406</v>
      </c>
      <c r="C242" s="37">
        <v>0.93369999999999997</v>
      </c>
      <c r="D242" s="37">
        <v>0.94699999999999995</v>
      </c>
      <c r="E242" s="19" cm="1">
        <f t="array" ref="E242">IF(D242="","",D242-C242)</f>
        <v>1.3299999999999979E-2</v>
      </c>
      <c r="F242" s="20" cm="1">
        <f t="array" ref="F242">IF(D242=0,"",(D242-C242)/C242)</f>
        <v>1.4244403984149062E-2</v>
      </c>
      <c r="G242" s="21">
        <v>9907.33</v>
      </c>
      <c r="H242" s="22">
        <v>1</v>
      </c>
      <c r="I242" s="23" cm="1">
        <f t="array" ref="I242">IF(D242="","",(G242*C242)*0.00075)</f>
        <v>6.9378555157499999</v>
      </c>
      <c r="J242" s="23" cm="1">
        <f t="array" ref="J242">IF(D242="","",(G242*D242)*0.00075)</f>
        <v>7.0366811325</v>
      </c>
      <c r="K242" s="24" cm="1">
        <f t="array" ref="K242">IF(D242="","",J242+I242)</f>
        <v>13.97453664825</v>
      </c>
      <c r="L242" s="24" cm="1">
        <f t="array" ref="L242">IF(D242=0,0,(D242-C242)*G242)</f>
        <v>131.76748899999978</v>
      </c>
      <c r="M242" s="25">
        <v>9111.6698508674999</v>
      </c>
      <c r="N242" s="26" cm="1">
        <f t="array" ref="N242">IFERROR((K242-J242)/J242,"–")</f>
        <v>0.98595564941921854</v>
      </c>
      <c r="O242" s="24" cm="1">
        <f t="array" ref="O242">IF(D242=0,0,L242-K242)</f>
        <v>117.79295235174979</v>
      </c>
      <c r="P242" s="23"/>
      <c r="Q242" s="27"/>
    </row>
    <row r="243" spans="1:17" ht="22.5" customHeight="1">
      <c r="A243" s="16" t="s">
        <v>98</v>
      </c>
      <c r="B243" s="42">
        <v>44406</v>
      </c>
      <c r="C243" s="36">
        <v>0.93369999999999997</v>
      </c>
      <c r="D243" s="36">
        <v>0.95499999999999996</v>
      </c>
      <c r="E243" s="30" cm="1">
        <f t="array" ref="E243">IF(D243="","",D243-C243)</f>
        <v>2.1299999999999986E-2</v>
      </c>
      <c r="F243" s="31" cm="1">
        <f t="array" ref="F243">IF(D243=0,"",(D243-C243)/C243)</f>
        <v>2.2812466531005663E-2</v>
      </c>
      <c r="G243" s="32">
        <v>9907.33</v>
      </c>
      <c r="H243" s="10">
        <v>1</v>
      </c>
      <c r="I243" s="11" cm="1">
        <f t="array" ref="I243">IF(D243="","",(G243*C243)*0.00075)</f>
        <v>6.9378555157499999</v>
      </c>
      <c r="J243" s="11" cm="1">
        <f t="array" ref="J243">IF(D243="","",(G243*D243)*0.00075)</f>
        <v>7.0961251125000002</v>
      </c>
      <c r="K243" s="33" cm="1">
        <f t="array" ref="K243">IF(D243="","",J243+I243)</f>
        <v>14.033980628249999</v>
      </c>
      <c r="L243" s="33" cm="1">
        <f t="array" ref="L243">IF(D243=0,0,(D243-C243)*G243)</f>
        <v>211.02612899999986</v>
      </c>
      <c r="M243" s="12">
        <v>9032.3517668874993</v>
      </c>
      <c r="N243" s="34" cm="1">
        <f t="array" ref="N243">IFERROR((K243-J243)/J243,"–")</f>
        <v>0.97769633507853382</v>
      </c>
      <c r="O243" s="33" cm="1">
        <f t="array" ref="O243">IF(D243=0,0,L243-K243)</f>
        <v>196.99214837174986</v>
      </c>
      <c r="P243" s="11"/>
      <c r="Q243" s="35"/>
    </row>
    <row r="244" spans="1:17" ht="22.5" customHeight="1">
      <c r="A244" s="16" t="s">
        <v>99</v>
      </c>
      <c r="B244" s="43">
        <v>44406</v>
      </c>
      <c r="C244" s="37">
        <v>0.1774</v>
      </c>
      <c r="D244" s="37">
        <v>0.17810000000000001</v>
      </c>
      <c r="E244" s="19" cm="1">
        <f t="array" ref="E244">IF(D244="","",D244-C244)</f>
        <v>7.0000000000000617E-4</v>
      </c>
      <c r="F244" s="20" cm="1">
        <f t="array" ref="F244">IF(D244=0,"",(D244-C244)/C244)</f>
        <v>3.9458850056370131E-3</v>
      </c>
      <c r="G244" s="21">
        <v>52153.69</v>
      </c>
      <c r="H244" s="22">
        <v>1</v>
      </c>
      <c r="I244" s="23" cm="1">
        <f t="array" ref="I244">IF(D244="","",(G244*C244)*0.00075)</f>
        <v>6.9390484545</v>
      </c>
      <c r="J244" s="23" cm="1">
        <f t="array" ref="J244">IF(D244="","",(G244*D244)*0.00075)</f>
        <v>6.9664291417500008</v>
      </c>
      <c r="K244" s="24" cm="1">
        <f t="array" ref="K244">IF(D244="","",J244+I244)</f>
        <v>13.905477596250002</v>
      </c>
      <c r="L244" s="24" cm="1">
        <f t="array" ref="L244">IF(D244=0,0,(D244-C244)*G244)</f>
        <v>36.507583000000324</v>
      </c>
      <c r="M244" s="25">
        <v>9208.5905938582491</v>
      </c>
      <c r="N244" s="26" cm="1">
        <f t="array" ref="N244">IFERROR((K244-J244)/J244,"–")</f>
        <v>0.99606962380685005</v>
      </c>
      <c r="O244" s="24" cm="1">
        <f t="array" ref="O244">IF(D244=0,0,L244-K244)</f>
        <v>22.602105403750322</v>
      </c>
      <c r="P244" s="23"/>
      <c r="Q244" s="27"/>
    </row>
    <row r="245" spans="1:17" ht="22.5" customHeight="1">
      <c r="A245" s="16" t="s">
        <v>99</v>
      </c>
      <c r="B245" s="42">
        <v>44406</v>
      </c>
      <c r="C245" s="36">
        <v>0.1774</v>
      </c>
      <c r="D245" s="36">
        <v>0.1782</v>
      </c>
      <c r="E245" s="30" cm="1">
        <f t="array" ref="E245">IF(D245="","",D245-C245)</f>
        <v>7.9999999999999516E-4</v>
      </c>
      <c r="F245" s="31" cm="1">
        <f t="array" ref="F245">IF(D245=0,"",(D245-C245)/C245)</f>
        <v>4.5095828635850913E-3</v>
      </c>
      <c r="G245" s="32">
        <v>52153.69</v>
      </c>
      <c r="H245" s="10">
        <v>1</v>
      </c>
      <c r="I245" s="11" cm="1">
        <f t="array" ref="I245">IF(D245="","",(G245*C245)*0.00075)</f>
        <v>6.9390484545</v>
      </c>
      <c r="J245" s="11" cm="1">
        <f t="array" ref="J245">IF(D245="","",(G245*D245)*0.00075)</f>
        <v>6.9703406685000004</v>
      </c>
      <c r="K245" s="33" cm="1">
        <f t="array" ref="K245">IF(D245="","",J245+I245)</f>
        <v>13.909389123</v>
      </c>
      <c r="L245" s="33" cm="1">
        <f t="array" ref="L245">IF(D245=0,0,(D245-C245)*G245)</f>
        <v>41.722951999999751</v>
      </c>
      <c r="M245" s="12">
        <v>9203.3713133314996</v>
      </c>
      <c r="N245" s="34" cm="1">
        <f t="array" ref="N245">IFERROR((K245-J245)/J245,"–")</f>
        <v>0.99551066217732875</v>
      </c>
      <c r="O245" s="33" cm="1">
        <f t="array" ref="O245">IF(D245=0,0,L245-K245)</f>
        <v>27.81356287699975</v>
      </c>
      <c r="P245" s="11"/>
      <c r="Q245" s="35"/>
    </row>
    <row r="246" spans="1:17" ht="22.5" customHeight="1">
      <c r="A246" s="16" t="s">
        <v>99</v>
      </c>
      <c r="B246" s="43">
        <v>44406</v>
      </c>
      <c r="C246" s="37">
        <v>0.1792</v>
      </c>
      <c r="D246" s="37">
        <v>0.17949999999999999</v>
      </c>
      <c r="E246" s="19" cm="1">
        <f t="array" ref="E246">IF(D246="","",D246-C246)</f>
        <v>2.9999999999999472E-4</v>
      </c>
      <c r="F246" s="20" cm="1">
        <f t="array" ref="F246">IF(D246=0,"",(D246-C246)/C246)</f>
        <v>1.6741071428571135E-3</v>
      </c>
      <c r="G246" s="21">
        <v>43777.1</v>
      </c>
      <c r="H246" s="22">
        <v>1</v>
      </c>
      <c r="I246" s="23" cm="1">
        <f t="array" ref="I246">IF(D246="","",(G246*C246)*0.00075)</f>
        <v>5.8836422400000004</v>
      </c>
      <c r="J246" s="23" cm="1">
        <f t="array" ref="J246">IF(D246="","",(G246*D246)*0.00075)</f>
        <v>5.8934920874999994</v>
      </c>
      <c r="K246" s="24" cm="1">
        <f t="array" ref="K246">IF(D246="","",J246+I246)</f>
        <v>11.777134327500001</v>
      </c>
      <c r="L246" s="24" cm="1">
        <f t="array" ref="L246">IF(D246=0,0,(D246-C246)*G246)</f>
        <v>13.133129999999769</v>
      </c>
      <c r="M246" s="25">
        <v>7825.8296979124998</v>
      </c>
      <c r="N246" s="26" cm="1">
        <f t="array" ref="N246">IFERROR((K246-J246)/J246,"–")</f>
        <v>0.99832869080779973</v>
      </c>
      <c r="O246" s="24" cm="1">
        <f t="array" ref="O246">IF(D246=0,0,L246-K246)</f>
        <v>1.3559956724997679</v>
      </c>
      <c r="P246" s="23"/>
      <c r="Q246" s="27"/>
    </row>
    <row r="247" spans="1:17" ht="22.5" customHeight="1">
      <c r="A247" s="16" t="s">
        <v>100</v>
      </c>
      <c r="B247" s="42">
        <v>44406</v>
      </c>
      <c r="C247" s="36">
        <v>0.71709999999999996</v>
      </c>
      <c r="D247" s="36">
        <v>0.72050000000000003</v>
      </c>
      <c r="E247" s="30" cm="1">
        <f t="array" ref="E247">IF(D247="","",D247-C247)</f>
        <v>3.4000000000000696E-3</v>
      </c>
      <c r="F247" s="31" cm="1">
        <f t="array" ref="F247">IF(D247=0,"",(D247-C247)/C247)</f>
        <v>4.7413192023428672E-3</v>
      </c>
      <c r="G247" s="32">
        <v>12899.21</v>
      </c>
      <c r="H247" s="10">
        <v>1</v>
      </c>
      <c r="I247" s="11" cm="1">
        <f t="array" ref="I247">IF(D247="","",(G247*C247)*0.00075)</f>
        <v>6.9375176182499985</v>
      </c>
      <c r="J247" s="11" cm="1">
        <f t="array" ref="J247">IF(D247="","",(G247*D247)*0.00075)</f>
        <v>6.9704106037499995</v>
      </c>
      <c r="K247" s="33" cm="1">
        <f t="array" ref="K247">IF(D247="","",J247+I247)</f>
        <v>13.907928221999999</v>
      </c>
      <c r="L247" s="33" cm="1">
        <f t="array" ref="L247">IF(D247=0,0,(D247-C247)*G247)</f>
        <v>43.857314000000898</v>
      </c>
      <c r="M247" s="12">
        <v>9199.1957663962494</v>
      </c>
      <c r="N247" s="34" cm="1">
        <f t="array" ref="N247">IFERROR((K247-J247)/J247,"–")</f>
        <v>0.99528105482303952</v>
      </c>
      <c r="O247" s="33" cm="1">
        <f t="array" ref="O247">IF(D247=0,0,L247-K247)</f>
        <v>29.949385778000899</v>
      </c>
      <c r="P247" s="11"/>
      <c r="Q247" s="35"/>
    </row>
    <row r="248" spans="1:17" ht="22.5" customHeight="1">
      <c r="A248" s="16" t="s">
        <v>100</v>
      </c>
      <c r="B248" s="43">
        <v>44406</v>
      </c>
      <c r="C248" s="37">
        <v>0.71709999999999996</v>
      </c>
      <c r="D248" s="37">
        <v>0.72009999999999996</v>
      </c>
      <c r="E248" s="19" cm="1">
        <f t="array" ref="E248">IF(D248="","",D248-C248)</f>
        <v>3.0000000000000027E-3</v>
      </c>
      <c r="F248" s="20" cm="1">
        <f t="array" ref="F248">IF(D248=0,"",(D248-C248)/C248)</f>
        <v>4.1835169432436238E-3</v>
      </c>
      <c r="G248" s="21">
        <v>12899.21</v>
      </c>
      <c r="H248" s="22">
        <v>1</v>
      </c>
      <c r="I248" s="23" cm="1">
        <f t="array" ref="I248">IF(D248="","",(G248*C248)*0.00075)</f>
        <v>6.9375176182499985</v>
      </c>
      <c r="J248" s="23" cm="1">
        <f t="array" ref="J248">IF(D248="","",(G248*D248)*0.00075)</f>
        <v>6.9665408407499996</v>
      </c>
      <c r="K248" s="24" cm="1">
        <f t="array" ref="K248">IF(D248="","",J248+I248)</f>
        <v>13.904058458999998</v>
      </c>
      <c r="L248" s="24" cm="1">
        <f t="array" ref="L248">IF(D248=0,0,(D248-C248)*G248)</f>
        <v>38.697630000000032</v>
      </c>
      <c r="M248" s="25">
        <v>9204.3593201592503</v>
      </c>
      <c r="N248" s="26" cm="1">
        <f t="array" ref="N248">IFERROR((K248-J248)/J248,"–")</f>
        <v>0.99583391195667248</v>
      </c>
      <c r="O248" s="24" cm="1">
        <f t="array" ref="O248">IF(D248=0,0,L248-K248)</f>
        <v>24.793571541000034</v>
      </c>
      <c r="P248" s="23"/>
      <c r="Q248" s="27"/>
    </row>
    <row r="249" spans="1:17" ht="22.5" customHeight="1">
      <c r="A249" s="16" t="s">
        <v>16</v>
      </c>
      <c r="B249" s="42">
        <v>44408</v>
      </c>
      <c r="C249" s="36">
        <v>0.46677999999999997</v>
      </c>
      <c r="D249" s="36">
        <v>0.45600000000000002</v>
      </c>
      <c r="E249" s="30" cm="1">
        <f t="array" ref="E249">IF(D249="","",D249-C249)</f>
        <v>-1.0779999999999956E-2</v>
      </c>
      <c r="F249" s="31" cm="1">
        <f t="array" ref="F249">IF(D249=0,"",(D249-C249)/C249)</f>
        <v>-2.3094391362097684E-2</v>
      </c>
      <c r="G249" s="32">
        <v>5593.8</v>
      </c>
      <c r="H249" s="10">
        <v>1</v>
      </c>
      <c r="I249" s="11" cm="1">
        <f t="array" ref="I249">IF(D249="","",(G249*C249)*0.00075)</f>
        <v>1.9583054729999998</v>
      </c>
      <c r="J249" s="11" cm="1">
        <f t="array" ref="J249">IF(D249="","",(G249*D249)*0.00075)</f>
        <v>1.9130796000000001</v>
      </c>
      <c r="K249" s="33" cm="1">
        <f t="array" ref="K249">IF(D249="","",J249+I249)</f>
        <v>3.8713850729999999</v>
      </c>
      <c r="L249" s="33" cm="1">
        <f t="array" ref="L249">IF(D249=0,0,(D249-C249)*G249)</f>
        <v>-60.301163999999758</v>
      </c>
      <c r="M249" s="12">
        <v>2669.4620484000002</v>
      </c>
      <c r="N249" s="34" cm="1">
        <f t="array" ref="N249">IFERROR((K249-J249)/J249,"–")</f>
        <v>1.0236403508771927</v>
      </c>
      <c r="O249" s="33" cm="1">
        <f t="array" ref="O249">IF(D249=0,0,L249-K249)</f>
        <v>-64.172549072999757</v>
      </c>
      <c r="P249" s="11"/>
      <c r="Q249" s="35"/>
    </row>
    <row r="250" spans="1:17" ht="22.5" customHeight="1">
      <c r="A250" s="16" t="s">
        <v>16</v>
      </c>
      <c r="B250" s="43">
        <v>44408</v>
      </c>
      <c r="C250" s="37">
        <v>0.46677999999999997</v>
      </c>
      <c r="D250" s="37">
        <v>0.45404</v>
      </c>
      <c r="E250" s="19" cm="1">
        <f t="array" ref="E250">IF(D250="","",D250-C250)</f>
        <v>-1.2739999999999974E-2</v>
      </c>
      <c r="F250" s="20" cm="1">
        <f t="array" ref="F250">IF(D250=0,"",(D250-C250)/C250)</f>
        <v>-2.7293371609751864E-2</v>
      </c>
      <c r="G250" s="21">
        <v>14862.6</v>
      </c>
      <c r="H250" s="22">
        <v>1</v>
      </c>
      <c r="I250" s="23" cm="1">
        <f t="array" ref="I250">IF(D250="","",(G250*C250)*0.00075)</f>
        <v>5.2031733209999995</v>
      </c>
      <c r="J250" s="23" cm="1">
        <f t="array" ref="J250">IF(D250="","",(G250*D250)*0.00075)</f>
        <v>5.0611611780000008</v>
      </c>
      <c r="K250" s="24" cm="1">
        <f t="array" ref="K250">IF(D250="","",J250+I250)</f>
        <v>10.264334499</v>
      </c>
      <c r="L250" s="24" cm="1">
        <f t="array" ref="L250">IF(D250=0,0,(D250-C250)*G250)</f>
        <v>-189.3495239999996</v>
      </c>
      <c r="M250" s="25">
        <v>7121.8527908220003</v>
      </c>
      <c r="N250" s="26" cm="1">
        <f t="array" ref="N250">IFERROR((K250-J250)/J250,"–")</f>
        <v>1.0280592018324375</v>
      </c>
      <c r="O250" s="24" cm="1">
        <f t="array" ref="O250">IF(D250=0,0,L250-K250)</f>
        <v>-199.6138584989996</v>
      </c>
      <c r="P250" s="23"/>
      <c r="Q250" s="27"/>
    </row>
    <row r="251" spans="1:17" ht="22.5" customHeight="1">
      <c r="A251" s="16" t="s">
        <v>16</v>
      </c>
      <c r="B251" s="42">
        <v>44408</v>
      </c>
      <c r="C251" s="36">
        <v>0.46677999999999997</v>
      </c>
      <c r="D251" s="36">
        <v>0.45500000000000002</v>
      </c>
      <c r="E251" s="30" cm="1">
        <f t="array" ref="E251">IF(D251="","",D251-C251)</f>
        <v>-1.1779999999999957E-2</v>
      </c>
      <c r="F251" s="31" cm="1">
        <f t="array" ref="F251">IF(D251=0,"",(D251-C251)/C251)</f>
        <v>-2.5236728223145717E-2</v>
      </c>
      <c r="G251" s="32">
        <v>4954.3</v>
      </c>
      <c r="H251" s="10">
        <v>1</v>
      </c>
      <c r="I251" s="11" cm="1">
        <f t="array" ref="I251">IF(D251="","",(G251*C251)*0.00075)</f>
        <v>1.7344261155</v>
      </c>
      <c r="J251" s="11" cm="1">
        <f t="array" ref="J251">IF(D251="","",(G251*D251)*0.00075)</f>
        <v>1.6906548750000001</v>
      </c>
      <c r="K251" s="33" cm="1">
        <f t="array" ref="K251">IF(D251="","",J251+I251)</f>
        <v>3.4250809905000001</v>
      </c>
      <c r="L251" s="33" cm="1">
        <f t="array" ref="L251">IF(D251=0,0,(D251-C251)*G251)</f>
        <v>-58.361653999999788</v>
      </c>
      <c r="M251" s="12">
        <v>2369.239153125</v>
      </c>
      <c r="N251" s="34" cm="1">
        <f t="array" ref="N251">IFERROR((K251-J251)/J251,"–")</f>
        <v>1.0258901098901099</v>
      </c>
      <c r="O251" s="33" cm="1">
        <f t="array" ref="O251">IF(D251=0,0,L251-K251)</f>
        <v>-61.786734990499788</v>
      </c>
      <c r="P251" s="11"/>
      <c r="Q251" s="35"/>
    </row>
    <row r="252" spans="1:17" ht="22.5" customHeight="1">
      <c r="A252" s="16" t="s">
        <v>16</v>
      </c>
      <c r="B252" s="43">
        <v>44408</v>
      </c>
      <c r="C252" s="37">
        <v>0.46677999999999997</v>
      </c>
      <c r="D252" s="37">
        <v>0.45500000000000002</v>
      </c>
      <c r="E252" s="19" cm="1">
        <f t="array" ref="E252">IF(D252="","",D252-C252)</f>
        <v>-1.1779999999999957E-2</v>
      </c>
      <c r="F252" s="20" cm="1">
        <f t="array" ref="F252">IF(D252=0,"",(D252-C252)/C252)</f>
        <v>-2.5236728223145717E-2</v>
      </c>
      <c r="G252" s="21">
        <v>9327.9</v>
      </c>
      <c r="H252" s="22">
        <v>1</v>
      </c>
      <c r="I252" s="23" cm="1">
        <f t="array" ref="I252">IF(D252="","",(G252*C252)*0.00075)</f>
        <v>3.2655578714999995</v>
      </c>
      <c r="J252" s="23" cm="1">
        <f t="array" ref="J252">IF(D252="","",(G252*D252)*0.00075)</f>
        <v>3.1831458749999997</v>
      </c>
      <c r="K252" s="24" cm="1">
        <f t="array" ref="K252">IF(D252="","",J252+I252)</f>
        <v>6.4487037464999997</v>
      </c>
      <c r="L252" s="24" cm="1">
        <f t="array" ref="L252">IF(D252=0,0,(D252-C252)*G252)</f>
        <v>-109.8826619999996</v>
      </c>
      <c r="M252" s="25">
        <v>4460.7766781250002</v>
      </c>
      <c r="N252" s="26" cm="1">
        <f t="array" ref="N252">IFERROR((K252-J252)/J252,"–")</f>
        <v>1.0258901098901101</v>
      </c>
      <c r="O252" s="24" cm="1">
        <f t="array" ref="O252">IF(D252=0,0,L252-K252)</f>
        <v>-116.3313657464996</v>
      </c>
      <c r="P252" s="23"/>
      <c r="Q252" s="27"/>
    </row>
    <row r="253" spans="1:17" ht="22.5" customHeight="1">
      <c r="A253" s="16" t="s">
        <v>16</v>
      </c>
      <c r="B253" s="42">
        <v>44408</v>
      </c>
      <c r="C253" s="36">
        <v>0.46677999999999997</v>
      </c>
      <c r="D253" s="36">
        <v>0.45300000000000001</v>
      </c>
      <c r="E253" s="30" cm="1">
        <f t="array" ref="E253">IF(D253="","",D253-C253)</f>
        <v>-1.3779999999999959E-2</v>
      </c>
      <c r="F253" s="31" cm="1">
        <f t="array" ref="F253">IF(D253=0,"",(D253-C253)/C253)</f>
        <v>-2.9521401945241783E-2</v>
      </c>
      <c r="G253" s="32">
        <v>4895.2</v>
      </c>
      <c r="H253" s="10">
        <v>1</v>
      </c>
      <c r="I253" s="11" cm="1">
        <f t="array" ref="I253">IF(D253="","",(G253*C253)*0.00075)</f>
        <v>1.713736092</v>
      </c>
      <c r="J253" s="11" cm="1">
        <f t="array" ref="J253">IF(D253="","",(G253*D253)*0.00075)</f>
        <v>1.6631442000000001</v>
      </c>
      <c r="K253" s="33" cm="1">
        <f t="array" ref="K253">IF(D253="","",J253+I253)</f>
        <v>3.3768802920000001</v>
      </c>
      <c r="L253" s="33" cm="1">
        <f t="array" ref="L253">IF(D253=0,0,(D253-C253)*G253)</f>
        <v>-67.455855999999798</v>
      </c>
      <c r="M253" s="12">
        <v>2350.7741678000002</v>
      </c>
      <c r="N253" s="34" cm="1">
        <f t="array" ref="N253">IFERROR((K253-J253)/J253,"–")</f>
        <v>1.0304194260485651</v>
      </c>
      <c r="O253" s="33" cm="1">
        <f t="array" ref="O253">IF(D253=0,0,L253-K253)</f>
        <v>-70.832736291999794</v>
      </c>
      <c r="P253" s="11"/>
      <c r="Q253" s="35"/>
    </row>
    <row r="254" spans="1:17" ht="22.5" customHeight="1">
      <c r="A254" s="16" t="s">
        <v>101</v>
      </c>
      <c r="B254" s="43">
        <v>44408</v>
      </c>
      <c r="C254" s="37">
        <v>0.14474999999999999</v>
      </c>
      <c r="D254" s="37">
        <v>0.14501</v>
      </c>
      <c r="E254" s="19" cm="1">
        <f t="array" ref="E254">IF(D254="","",D254-C254)</f>
        <v>2.6000000000001022E-4</v>
      </c>
      <c r="F254" s="20" cm="1">
        <f t="array" ref="F254">IF(D254=0,"",(D254-C254)/C254)</f>
        <v>1.7962003454232141E-3</v>
      </c>
      <c r="G254" s="21">
        <v>63561.4</v>
      </c>
      <c r="H254" s="22">
        <v>1</v>
      </c>
      <c r="I254" s="23" cm="1">
        <f t="array" ref="I254">IF(D254="","",(G254*C254)*0.00075)</f>
        <v>6.9003844874999993</v>
      </c>
      <c r="J254" s="23" cm="1">
        <f t="array" ref="J254">IF(D254="","",(G254*D254)*0.00075)</f>
        <v>6.9127789605000007</v>
      </c>
      <c r="K254" s="24" cm="1">
        <f t="array" ref="K254">IF(D254="","",J254+I254)</f>
        <v>13.813163448000001</v>
      </c>
      <c r="L254" s="24" cm="1">
        <f t="array" ref="L254">IF(D254=0,0,(D254-C254)*G254)</f>
        <v>16.525964000000648</v>
      </c>
      <c r="M254" s="25">
        <v>9177.0739070394993</v>
      </c>
      <c r="N254" s="26" cm="1">
        <f t="array" ref="N254">IFERROR((K254-J254)/J254,"–")</f>
        <v>0.998207020205503</v>
      </c>
      <c r="O254" s="24" cm="1">
        <f t="array" ref="O254">IF(D254=0,0,L254-K254)</f>
        <v>2.7128005520006475</v>
      </c>
      <c r="P254" s="23"/>
      <c r="Q254" s="27"/>
    </row>
    <row r="255" spans="1:17" ht="22.5" customHeight="1">
      <c r="A255" s="16" t="s">
        <v>101</v>
      </c>
      <c r="B255" s="42">
        <v>44408</v>
      </c>
      <c r="C255" s="36">
        <v>0.14474999999999999</v>
      </c>
      <c r="D255" s="36">
        <v>0.14817</v>
      </c>
      <c r="E255" s="30" cm="1">
        <f t="array" ref="E255">IF(D255="","",D255-C255)</f>
        <v>3.4200000000000064E-3</v>
      </c>
      <c r="F255" s="31" cm="1">
        <f t="array" ref="F255">IF(D255=0,"",(D255-C255)/C255)</f>
        <v>2.3626943005181394E-2</v>
      </c>
      <c r="G255" s="32">
        <v>63561.4</v>
      </c>
      <c r="H255" s="10">
        <v>1</v>
      </c>
      <c r="I255" s="11" cm="1">
        <f t="array" ref="I255">IF(D255="","",(G255*C255)*0.00075)</f>
        <v>6.9003844874999993</v>
      </c>
      <c r="J255" s="11" cm="1">
        <f t="array" ref="J255">IF(D255="","",(G255*D255)*0.00075)</f>
        <v>7.0634194784999993</v>
      </c>
      <c r="K255" s="33" cm="1">
        <f t="array" ref="K255">IF(D255="","",J255+I255)</f>
        <v>13.963803965999999</v>
      </c>
      <c r="L255" s="33" cm="1">
        <f t="array" ref="L255">IF(D255=0,0,(D255-C255)*G255)</f>
        <v>217.37998800000042</v>
      </c>
      <c r="M255" s="12">
        <v>8976.0692425215002</v>
      </c>
      <c r="N255" s="34" cm="1">
        <f t="array" ref="N255">IFERROR((K255-J255)/J255,"–")</f>
        <v>0.97691840453533108</v>
      </c>
      <c r="O255" s="33" cm="1">
        <f t="array" ref="O255">IF(D255=0,0,L255-K255)</f>
        <v>203.41618403400042</v>
      </c>
      <c r="P255" s="11"/>
      <c r="Q255" s="35"/>
    </row>
    <row r="256" spans="1:17" ht="22.5" customHeight="1">
      <c r="A256" s="16" t="s">
        <v>101</v>
      </c>
      <c r="B256" s="43">
        <v>44408</v>
      </c>
      <c r="C256" s="37">
        <v>0.14649999999999999</v>
      </c>
      <c r="D256" s="37">
        <v>0.14817</v>
      </c>
      <c r="E256" s="19" cm="1">
        <f t="array" ref="E256">IF(D256="","",D256-C256)</f>
        <v>1.6700000000000048E-3</v>
      </c>
      <c r="F256" s="20" cm="1">
        <f t="array" ref="F256">IF(D256=0,"",(D256-C256)/C256)</f>
        <v>1.1399317406143378E-2</v>
      </c>
      <c r="G256" s="21">
        <v>15728.1</v>
      </c>
      <c r="H256" s="22">
        <v>1</v>
      </c>
      <c r="I256" s="23" cm="1">
        <f t="array" ref="I256">IF(D256="","",(G256*C256)*0.00075)</f>
        <v>1.7281249875000002</v>
      </c>
      <c r="J256" s="23" cm="1">
        <f t="array" ref="J256">IF(D256="","",(G256*D256)*0.00075)</f>
        <v>1.7478244327500001</v>
      </c>
      <c r="K256" s="24" cm="1">
        <f t="array" ref="K256">IF(D256="","",J256+I256)</f>
        <v>3.4759494202500001</v>
      </c>
      <c r="L256" s="24" cm="1">
        <f t="array" ref="L256">IF(D256=0,0,(D256-C256)*G256)</f>
        <v>26.265927000000076</v>
      </c>
      <c r="M256" s="25">
        <v>2276.1528985672498</v>
      </c>
      <c r="N256" s="26" cm="1">
        <f t="array" ref="N256">IFERROR((K256-J256)/J256,"–")</f>
        <v>0.98872916244853881</v>
      </c>
      <c r="O256" s="24" cm="1">
        <f t="array" ref="O256">IF(D256=0,0,L256-K256)</f>
        <v>22.789977579750076</v>
      </c>
      <c r="P256" s="44" t="s">
        <v>428</v>
      </c>
      <c r="Q256" s="41"/>
    </row>
    <row r="257" spans="1:17" ht="22.5" customHeight="1">
      <c r="A257" s="7"/>
      <c r="B257" s="8"/>
      <c r="C257" s="36"/>
      <c r="D257" s="36"/>
      <c r="E257" s="8" t="str" cm="1">
        <f t="array" ref="E257">IF(D257="","",D257-C257)</f>
        <v/>
      </c>
      <c r="F257" s="8" t="str" cm="1">
        <f t="array" ref="F257">IF(D257=0,"",(D257-C257)/C257)</f>
        <v/>
      </c>
      <c r="G257" s="32"/>
      <c r="H257" s="10">
        <v>1</v>
      </c>
      <c r="I257" s="8" t="str" cm="1">
        <f t="array" ref="I257">IF(D257="","",(G257*C257)*0.00075)</f>
        <v/>
      </c>
      <c r="J257" s="8" t="str" cm="1">
        <f t="array" ref="J257">IF(D257="","",(G257*D257)*0.00075)</f>
        <v/>
      </c>
      <c r="K257" s="8" t="str" cm="1">
        <f t="array" ref="K257">IF(D257="","",J257+I257)</f>
        <v/>
      </c>
      <c r="L257" s="33" cm="1">
        <f t="array" ref="L257">IF(D257=0,0,(D257-C257)*G257)</f>
        <v>0</v>
      </c>
      <c r="M257" s="45" t="s">
        <v>13</v>
      </c>
      <c r="N257" s="13" t="str" cm="1">
        <f t="array" ref="N257">IFERROR((K257-J257)/J257,"–")</f>
        <v>–</v>
      </c>
      <c r="O257" s="33" cm="1">
        <f t="array" ref="O257">IF(D257=0,0,L257-K257)</f>
        <v>0</v>
      </c>
      <c r="P257" s="11" cm="1">
        <f t="array" ref="P257">SUM(O165:O256)</f>
        <v>6241.0472474582966</v>
      </c>
      <c r="Q257" s="35"/>
    </row>
    <row r="258" spans="1:17" ht="22.5" customHeight="1">
      <c r="A258" s="16" t="s">
        <v>43</v>
      </c>
      <c r="B258" s="17">
        <v>44409</v>
      </c>
      <c r="C258" s="37">
        <v>0.71779999999999999</v>
      </c>
      <c r="D258" s="37">
        <v>0.71060000000000001</v>
      </c>
      <c r="E258" s="19" cm="1">
        <f t="array" ref="E258">IF(D258="","",D258-C258)</f>
        <v>-7.1999999999999842E-3</v>
      </c>
      <c r="F258" s="20" cm="1">
        <f t="array" ref="F258">IF(D258=0,"",(D258-C258)/C258)</f>
        <v>-1.0030649205906916E-2</v>
      </c>
      <c r="G258" s="21">
        <v>20899.54</v>
      </c>
      <c r="H258" s="22">
        <v>1</v>
      </c>
      <c r="I258" s="23" cm="1">
        <f t="array" ref="I258">IF(D258="","",(G258*C258)*0.00075)</f>
        <v>11.251267359</v>
      </c>
      <c r="J258" s="23" cm="1">
        <f t="array" ref="J258">IF(D258="","",(G258*D258)*0.00075)</f>
        <v>11.138409843000002</v>
      </c>
      <c r="K258" s="24" cm="1">
        <f t="array" ref="K258">IF(D258="","",J258+I258)</f>
        <v>22.389677202000001</v>
      </c>
      <c r="L258" s="24" cm="1">
        <f t="array" ref="L258">IF(D258=0,0,(D258-C258)*G258)</f>
        <v>-150.47668799999968</v>
      </c>
      <c r="M258" s="25">
        <v>15141.028090157</v>
      </c>
      <c r="N258" s="26" cm="1">
        <f t="array" ref="N258">IFERROR((K258-J258)/J258,"–")</f>
        <v>1.0101322825781029</v>
      </c>
      <c r="O258" s="24" cm="1">
        <f t="array" ref="O258">IF(D258=0,0,L258-K258)</f>
        <v>-172.86636520199968</v>
      </c>
      <c r="P258" s="23"/>
      <c r="Q258" s="27"/>
    </row>
    <row r="259" spans="1:17" ht="22.5" customHeight="1">
      <c r="A259" s="16" t="s">
        <v>20</v>
      </c>
      <c r="B259" s="28">
        <v>44409</v>
      </c>
      <c r="C259" s="36">
        <v>1.6490000000000001E-2</v>
      </c>
      <c r="D259" s="36">
        <v>1.6E-2</v>
      </c>
      <c r="E259" s="30" cm="1">
        <f t="array" ref="E259">IF(D259="","",D259-C259)</f>
        <v>-4.9000000000000085E-4</v>
      </c>
      <c r="F259" s="31" cm="1">
        <f t="array" ref="F259">IF(D259=0,"",(D259-C259)/C259)</f>
        <v>-2.9714978775015211E-2</v>
      </c>
      <c r="G259" s="32">
        <v>1084624.2</v>
      </c>
      <c r="H259" s="10">
        <v>1</v>
      </c>
      <c r="I259" s="11" cm="1">
        <f t="array" ref="I259">IF(D259="","",(G259*C259)*0.00075)</f>
        <v>13.414089793500001</v>
      </c>
      <c r="J259" s="11" cm="1">
        <f t="array" ref="J259">IF(D259="","",(G259*D259)*0.00075)</f>
        <v>13.015490399999999</v>
      </c>
      <c r="K259" s="33" cm="1">
        <f t="array" ref="K259">IF(D259="","",J259+I259)</f>
        <v>26.429580193500001</v>
      </c>
      <c r="L259" s="33" cm="1">
        <f t="array" ref="L259">IF(D259=0,0,(D259-C259)*G259)</f>
        <v>-531.46585800000094</v>
      </c>
      <c r="M259" s="12">
        <v>18403.903425600001</v>
      </c>
      <c r="N259" s="34" cm="1">
        <f t="array" ref="N259">IFERROR((K259-J259)/J259,"–")</f>
        <v>1.0306250000000003</v>
      </c>
      <c r="O259" s="33" cm="1">
        <f t="array" ref="O259">IF(D259=0,0,L259-K259)</f>
        <v>-557.89543819350092</v>
      </c>
      <c r="P259" s="11"/>
      <c r="Q259" s="35"/>
    </row>
    <row r="260" spans="1:17" ht="22.5" customHeight="1">
      <c r="A260" s="16" t="s">
        <v>102</v>
      </c>
      <c r="B260" s="17">
        <v>44410</v>
      </c>
      <c r="C260" s="37">
        <v>12.646000000000001</v>
      </c>
      <c r="D260" s="37">
        <v>12.88</v>
      </c>
      <c r="E260" s="19" cm="1">
        <f t="array" ref="E260">IF(D260="","",D260-C260)</f>
        <v>0.23399999999999999</v>
      </c>
      <c r="F260" s="20" cm="1">
        <f t="array" ref="F260">IF(D260=0,"",(D260-C260)/C260)</f>
        <v>1.8503874743001737E-2</v>
      </c>
      <c r="G260" s="21">
        <v>204.47200000000001</v>
      </c>
      <c r="H260" s="22">
        <v>1</v>
      </c>
      <c r="I260" s="23" cm="1">
        <f t="array" ref="I260">IF(D260="","",(G260*C260)*0.00075)</f>
        <v>1.9393146840000004</v>
      </c>
      <c r="J260" s="23" cm="1">
        <f t="array" ref="J260">IF(D260="","",(G260*D260)*0.00075)</f>
        <v>1.9751995200000001</v>
      </c>
      <c r="K260" s="24" cm="1">
        <f t="array" ref="K260">IF(D260="","",J260+I260)</f>
        <v>3.9145142040000005</v>
      </c>
      <c r="L260" s="24" cm="1">
        <f t="array" ref="L260">IF(D260=0,0,(D260-C260)*G260)</f>
        <v>47.846448000000002</v>
      </c>
      <c r="M260" s="25">
        <v>2535.9312644800002</v>
      </c>
      <c r="N260" s="26" cm="1">
        <f t="array" ref="N260">IFERROR((K260-J260)/J260,"–")</f>
        <v>0.98183229813664608</v>
      </c>
      <c r="O260" s="24" cm="1">
        <f t="array" ref="O260">IF(D260=0,0,L260-K260)</f>
        <v>43.931933796000003</v>
      </c>
      <c r="P260" s="23"/>
      <c r="Q260" s="27"/>
    </row>
    <row r="261" spans="1:17" ht="22.5" customHeight="1">
      <c r="A261" s="16" t="s">
        <v>102</v>
      </c>
      <c r="B261" s="28">
        <v>44410</v>
      </c>
      <c r="C261" s="36">
        <v>12.646000000000001</v>
      </c>
      <c r="D261" s="36">
        <v>13.053000000000001</v>
      </c>
      <c r="E261" s="30" cm="1">
        <f t="array" ref="E261">IF(D261="","",D261-C261)</f>
        <v>0.40700000000000003</v>
      </c>
      <c r="F261" s="31" cm="1">
        <f t="array" ref="F261">IF(D261=0,"",(D261-C261)/C261)</f>
        <v>3.218408983077653E-2</v>
      </c>
      <c r="G261" s="32">
        <v>589.71400000000006</v>
      </c>
      <c r="H261" s="10">
        <v>1</v>
      </c>
      <c r="I261" s="11" cm="1">
        <f t="array" ref="I261">IF(D261="","",(G261*C261)*0.00075)</f>
        <v>5.5931424330000006</v>
      </c>
      <c r="J261" s="11" cm="1">
        <f t="array" ref="J261">IF(D261="","",(G261*D261)*0.00075)</f>
        <v>5.7731526315000012</v>
      </c>
      <c r="K261" s="33" cm="1">
        <f t="array" ref="K261">IF(D261="","",J261+I261)</f>
        <v>11.366295064500001</v>
      </c>
      <c r="L261" s="33" cm="1">
        <f t="array" ref="L261">IF(D261=0,0,(D261-C261)*G261)</f>
        <v>240.01359800000003</v>
      </c>
      <c r="M261" s="12">
        <v>7211.7364933685003</v>
      </c>
      <c r="N261" s="34" cm="1">
        <f t="array" ref="N261">IFERROR((K261-J261)/J261,"–")</f>
        <v>0.96881942848387315</v>
      </c>
      <c r="O261" s="33" cm="1">
        <f t="array" ref="O261">IF(D261=0,0,L261-K261)</f>
        <v>228.64730293550002</v>
      </c>
      <c r="P261" s="11"/>
      <c r="Q261" s="35"/>
    </row>
    <row r="262" spans="1:17" ht="22.5" customHeight="1">
      <c r="A262" s="16" t="s">
        <v>102</v>
      </c>
      <c r="B262" s="17">
        <v>44410</v>
      </c>
      <c r="C262" s="37">
        <v>12.646000000000001</v>
      </c>
      <c r="D262" s="37">
        <v>13.154</v>
      </c>
      <c r="E262" s="19" cm="1">
        <f t="array" ref="E262">IF(D262="","",D262-C262)</f>
        <v>0.50799999999999912</v>
      </c>
      <c r="F262" s="20" cm="1">
        <f t="array" ref="F262">IF(D262=0,"",(D262-C262)/C262)</f>
        <v>4.0170804997627638E-2</v>
      </c>
      <c r="G262" s="21">
        <v>589.71400000000006</v>
      </c>
      <c r="H262" s="22">
        <v>1</v>
      </c>
      <c r="I262" s="23" cm="1">
        <f t="array" ref="I262">IF(D262="","",(G262*C262)*0.00075)</f>
        <v>5.5931424330000006</v>
      </c>
      <c r="J262" s="23" cm="1">
        <f t="array" ref="J262">IF(D262="","",(G262*D262)*0.00075)</f>
        <v>5.8178234670000002</v>
      </c>
      <c r="K262" s="24" cm="1">
        <f t="array" ref="K262">IF(D262="","",J262+I262)</f>
        <v>11.410965900000001</v>
      </c>
      <c r="L262" s="24" cm="1">
        <f t="array" ref="L262">IF(D262=0,0,(D262-C262)*G262)</f>
        <v>299.57471199999952</v>
      </c>
      <c r="M262" s="25">
        <v>7152.130708533</v>
      </c>
      <c r="N262" s="26" cm="1">
        <f t="array" ref="N262">IFERROR((K262-J262)/J262,"–")</f>
        <v>0.96138056864832</v>
      </c>
      <c r="O262" s="24" cm="1">
        <f t="array" ref="O262">IF(D262=0,0,L262-K262)</f>
        <v>288.16374609999951</v>
      </c>
      <c r="P262" s="23"/>
      <c r="Q262" s="27"/>
    </row>
    <row r="263" spans="1:17" ht="22.5" customHeight="1">
      <c r="A263" s="16" t="s">
        <v>39</v>
      </c>
      <c r="B263" s="28">
        <v>44410</v>
      </c>
      <c r="C263" s="36">
        <v>2.4877E-2</v>
      </c>
      <c r="D263" s="36">
        <v>2.5221E-2</v>
      </c>
      <c r="E263" s="30" cm="1">
        <f t="array" ref="E263">IF(D263="","",D263-C263)</f>
        <v>3.4400000000000056E-4</v>
      </c>
      <c r="F263" s="31" cm="1">
        <f t="array" ref="F263">IF(D263=0,"",(D263-C263)/C263)</f>
        <v>1.3828033926920471E-2</v>
      </c>
      <c r="G263" s="32">
        <v>739653</v>
      </c>
      <c r="H263" s="10">
        <v>1</v>
      </c>
      <c r="I263" s="11" cm="1">
        <f t="array" ref="I263">IF(D263="","",(G263*C263)*0.00075)</f>
        <v>13.80026076075</v>
      </c>
      <c r="J263" s="11" cm="1">
        <f t="array" ref="J263">IF(D263="","",(G263*D263)*0.00075)</f>
        <v>13.991091234750002</v>
      </c>
      <c r="K263" s="33" cm="1">
        <f t="array" ref="K263">IF(D263="","",J263+I263)</f>
        <v>27.791351995500001</v>
      </c>
      <c r="L263" s="33" cm="1">
        <f t="array" ref="L263">IF(D263=0,0,(D263-C263)*G263)</f>
        <v>254.44063200000042</v>
      </c>
      <c r="M263" s="12">
        <v>18131.915957765301</v>
      </c>
      <c r="N263" s="34" cm="1">
        <f t="array" ref="N263">IFERROR((K263-J263)/J263,"–")</f>
        <v>0.9863605725387572</v>
      </c>
      <c r="O263" s="33" cm="1">
        <f t="array" ref="O263">IF(D263=0,0,L263-K263)</f>
        <v>226.64928000450041</v>
      </c>
      <c r="P263" s="11"/>
      <c r="Q263" s="35"/>
    </row>
    <row r="264" spans="1:17" ht="22.5" customHeight="1">
      <c r="A264" s="16" t="s">
        <v>55</v>
      </c>
      <c r="B264" s="17">
        <v>44410</v>
      </c>
      <c r="C264" s="37">
        <v>7.5789999999999996E-2</v>
      </c>
      <c r="D264" s="37">
        <v>8.0629999999999993E-2</v>
      </c>
      <c r="E264" s="19" cm="1">
        <f t="array" ref="E264">IF(D264="","",D264-C264)</f>
        <v>4.8399999999999971E-3</v>
      </c>
      <c r="F264" s="20" cm="1">
        <f t="array" ref="F264">IF(D264=0,"",(D264-C264)/C264)</f>
        <v>6.3860667634252508E-2</v>
      </c>
      <c r="G264" s="21">
        <v>246758.6</v>
      </c>
      <c r="H264" s="22">
        <v>1</v>
      </c>
      <c r="I264" s="23" cm="1">
        <f t="array" ref="I264">IF(D264="","",(G264*C264)*0.00075)</f>
        <v>14.026375720500001</v>
      </c>
      <c r="J264" s="23" cm="1">
        <f t="array" ref="J264">IF(D264="","",(G264*D264)*0.00075)</f>
        <v>14.9221094385</v>
      </c>
      <c r="K264" s="24" cm="1">
        <f t="array" ref="K264">IF(D264="","",J264+I264)</f>
        <v>28.948485159000001</v>
      </c>
      <c r="L264" s="24" cm="1">
        <f t="array" ref="L264">IF(D264=0,0,(D264-C264)*G264)</f>
        <v>1194.3116239999993</v>
      </c>
      <c r="M264" s="25">
        <v>17492.600560561499</v>
      </c>
      <c r="N264" s="26" cm="1">
        <f t="array" ref="N264">IFERROR((K264-J264)/J264,"–")</f>
        <v>0.93997271487039569</v>
      </c>
      <c r="O264" s="24" cm="1">
        <f t="array" ref="O264">IF(D264=0,0,L264-K264)</f>
        <v>1165.3631388409992</v>
      </c>
      <c r="P264" s="23"/>
      <c r="Q264" s="27"/>
    </row>
    <row r="265" spans="1:17" ht="22.5" customHeight="1">
      <c r="A265" s="16" t="s">
        <v>28</v>
      </c>
      <c r="B265" s="28">
        <v>44412</v>
      </c>
      <c r="C265" s="36">
        <v>0.57889999999999997</v>
      </c>
      <c r="D265" s="36">
        <v>0.56499999999999995</v>
      </c>
      <c r="E265" s="30" cm="1">
        <f t="array" ref="E265">IF(D265="","",D265-C265)</f>
        <v>-1.3900000000000023E-2</v>
      </c>
      <c r="F265" s="31" cm="1">
        <f t="array" ref="F265">IF(D265=0,"",(D265-C265)/C265)</f>
        <v>-2.4011055449991405E-2</v>
      </c>
      <c r="G265" s="32">
        <v>34206.1</v>
      </c>
      <c r="H265" s="10">
        <v>1</v>
      </c>
      <c r="I265" s="11" cm="1">
        <f t="array" ref="I265">IF(D265="","",(G265*C265)*0.00075)</f>
        <v>14.851433467499998</v>
      </c>
      <c r="J265" s="11" cm="1">
        <f t="array" ref="J265">IF(D265="","",(G265*D265)*0.00075)</f>
        <v>14.494834874999999</v>
      </c>
      <c r="K265" s="33" cm="1">
        <f t="array" ref="K265">IF(D265="","",J265+I265)</f>
        <v>29.346268342499997</v>
      </c>
      <c r="L265" s="33" cm="1">
        <f t="array" ref="L265">IF(D265=0,0,(D265-C265)*G265)</f>
        <v>-475.46479000000079</v>
      </c>
      <c r="M265" s="12">
        <v>20262.881245125001</v>
      </c>
      <c r="N265" s="34" cm="1">
        <f t="array" ref="N265">IFERROR((K265-J265)/J265,"–")</f>
        <v>1.0246017699115044</v>
      </c>
      <c r="O265" s="33" cm="1">
        <f t="array" ref="O265">IF(D265=0,0,L265-K265)</f>
        <v>-504.81105834250081</v>
      </c>
      <c r="P265" s="11"/>
      <c r="Q265" s="35"/>
    </row>
    <row r="266" spans="1:17" ht="22.5" customHeight="1">
      <c r="A266" s="16" t="s">
        <v>63</v>
      </c>
      <c r="B266" s="17">
        <v>44412</v>
      </c>
      <c r="C266" s="37">
        <v>0.18007999999999999</v>
      </c>
      <c r="D266" s="37">
        <v>0.18015</v>
      </c>
      <c r="E266" s="19" cm="1">
        <f t="array" ref="E266">IF(D266="","",D266-C266)</f>
        <v>7.0000000000014495E-5</v>
      </c>
      <c r="F266" s="20" cm="1">
        <f t="array" ref="F266">IF(D266=0,"",(D266-C266)/C266)</f>
        <v>3.8871612616622888E-4</v>
      </c>
      <c r="G266" s="21">
        <v>10411.5</v>
      </c>
      <c r="H266" s="22">
        <v>1</v>
      </c>
      <c r="I266" s="23" cm="1">
        <f t="array" ref="I266">IF(D266="","",(G266*C266)*0.00075)</f>
        <v>1.40617719</v>
      </c>
      <c r="J266" s="23" cm="1">
        <f t="array" ref="J266">IF(D266="","",(G266*D266)*0.00075)</f>
        <v>1.4067237937499999</v>
      </c>
      <c r="K266" s="24" cm="1">
        <f t="array" ref="K266">IF(D266="","",J266+I266)</f>
        <v>2.8129009837499996</v>
      </c>
      <c r="L266" s="24" cm="1">
        <f t="array" ref="L266">IF(D266=0,0,(D266-C266)*G266)</f>
        <v>0.72880500000015092</v>
      </c>
      <c r="M266" s="25">
        <v>1872.7673912062501</v>
      </c>
      <c r="N266" s="26" cm="1">
        <f t="array" ref="N266">IFERROR((K266-J266)/J266,"–")</f>
        <v>0.99961143491534821</v>
      </c>
      <c r="O266" s="24" cm="1">
        <f t="array" ref="O266">IF(D266=0,0,L266-K266)</f>
        <v>-2.0840959837498487</v>
      </c>
      <c r="P266" s="23"/>
      <c r="Q266" s="27"/>
    </row>
    <row r="267" spans="1:17" ht="22.5" customHeight="1">
      <c r="A267" s="16" t="s">
        <v>63</v>
      </c>
      <c r="B267" s="28">
        <v>44412</v>
      </c>
      <c r="C267" s="36">
        <v>0.18007999999999999</v>
      </c>
      <c r="D267" s="36">
        <v>0.18010000000000001</v>
      </c>
      <c r="E267" s="30" cm="1">
        <f t="array" ref="E267">IF(D267="","",D267-C267)</f>
        <v>2.0000000000020002E-5</v>
      </c>
      <c r="F267" s="31" cm="1">
        <f t="array" ref="F267">IF(D267=0,"",(D267-C267)/C267)</f>
        <v>1.1106175033329632E-4</v>
      </c>
      <c r="G267" s="32">
        <v>47550</v>
      </c>
      <c r="H267" s="10">
        <v>1</v>
      </c>
      <c r="I267" s="11" cm="1">
        <f t="array" ref="I267">IF(D267="","",(G267*C267)*0.00075)</f>
        <v>6.4221029999999999</v>
      </c>
      <c r="J267" s="11" cm="1">
        <f t="array" ref="J267">IF(D267="","",(G267*D267)*0.00075)</f>
        <v>6.4228162500000012</v>
      </c>
      <c r="K267" s="33" cm="1">
        <f t="array" ref="K267">IF(D267="","",J267+I267)</f>
        <v>12.84491925</v>
      </c>
      <c r="L267" s="33" cm="1">
        <f t="array" ref="L267">IF(D267=0,0,(D267-C267)*G267)</f>
        <v>0.95100000000095108</v>
      </c>
      <c r="M267" s="12">
        <v>8555.4301837500007</v>
      </c>
      <c r="N267" s="34" cm="1">
        <f t="array" ref="N267">IFERROR((K267-J267)/J267,"–")</f>
        <v>0.99988895058300908</v>
      </c>
      <c r="O267" s="33" cm="1">
        <f t="array" ref="O267">IF(D267=0,0,L267-K267)</f>
        <v>-11.893919249999049</v>
      </c>
      <c r="P267" s="11"/>
      <c r="Q267" s="35"/>
    </row>
    <row r="268" spans="1:17" ht="22.5" customHeight="1">
      <c r="A268" s="16" t="s">
        <v>63</v>
      </c>
      <c r="B268" s="17">
        <v>44412</v>
      </c>
      <c r="C268" s="37">
        <v>0.18007999999999999</v>
      </c>
      <c r="D268" s="37">
        <v>0.17999000000000001</v>
      </c>
      <c r="E268" s="19" cm="1">
        <f t="array" ref="E268">IF(D268="","",D268-C268)</f>
        <v>-8.9999999999978986E-5</v>
      </c>
      <c r="F268" s="20" cm="1">
        <f t="array" ref="F268">IF(D268=0,"",(D268-C268)/C268)</f>
        <v>-4.9977787649921692E-4</v>
      </c>
      <c r="G268" s="21">
        <v>47550</v>
      </c>
      <c r="H268" s="22">
        <v>1</v>
      </c>
      <c r="I268" s="23" cm="1">
        <f t="array" ref="I268">IF(D268="","",(G268*C268)*0.00075)</f>
        <v>6.4221029999999999</v>
      </c>
      <c r="J268" s="23" cm="1">
        <f t="array" ref="J268">IF(D268="","",(G268*D268)*0.00075)</f>
        <v>6.4188933750000015</v>
      </c>
      <c r="K268" s="24" cm="1">
        <f t="array" ref="K268">IF(D268="","",J268+I268)</f>
        <v>12.840996375000001</v>
      </c>
      <c r="L268" s="24" cm="1">
        <f t="array" ref="L268">IF(D268=0,0,(D268-C268)*G268)</f>
        <v>-4.2794999999990004</v>
      </c>
      <c r="M268" s="25">
        <v>8560.6646066249996</v>
      </c>
      <c r="N268" s="26" cm="1">
        <f t="array" ref="N268">IFERROR((K268-J268)/J268,"–")</f>
        <v>1.0005000277793208</v>
      </c>
      <c r="O268" s="24" cm="1">
        <f t="array" ref="O268">IF(D268=0,0,L268-K268)</f>
        <v>-17.120496374999</v>
      </c>
      <c r="P268" s="23"/>
      <c r="Q268" s="27"/>
    </row>
    <row r="269" spans="1:17" ht="22.5" customHeight="1">
      <c r="A269" s="16" t="s">
        <v>30</v>
      </c>
      <c r="B269" s="28">
        <v>44412</v>
      </c>
      <c r="C269" s="36">
        <v>39282.31</v>
      </c>
      <c r="D269" s="36">
        <v>39277.230000000003</v>
      </c>
      <c r="E269" s="30" cm="1">
        <f t="array" ref="E269">IF(D269="","",D269-C269)</f>
        <v>-5.0799999999944703</v>
      </c>
      <c r="F269" s="31" cm="1">
        <f t="array" ref="F269">IF(D269=0,"",(D269-C269)/C269)</f>
        <v>-1.2932029710051345E-4</v>
      </c>
      <c r="G269" s="32">
        <v>0.491315</v>
      </c>
      <c r="H269" s="10">
        <v>1</v>
      </c>
      <c r="I269" s="11" cm="1">
        <f t="array" ref="I269">IF(D269="","",(G269*C269)*0.00075)</f>
        <v>14.4749911032375</v>
      </c>
      <c r="J269" s="11" cm="1">
        <f t="array" ref="J269">IF(D269="","",(G269*D269)*0.00075)</f>
        <v>14.473119193087502</v>
      </c>
      <c r="K269" s="33" cm="1">
        <f t="array" ref="K269">IF(D269="","",J269+I269)</f>
        <v>28.948110296325002</v>
      </c>
      <c r="L269" s="33" cm="1">
        <f t="array" ref="L269">IF(D269=0,0,(D269-C269)*G269)</f>
        <v>-2.4958801999972833</v>
      </c>
      <c r="M269" s="12">
        <v>19288.010898656899</v>
      </c>
      <c r="N269" s="34" cm="1">
        <f t="array" ref="N269">IFERROR((K269-J269)/J269,"–")</f>
        <v>1.0001293370230027</v>
      </c>
      <c r="O269" s="33" cm="1">
        <f t="array" ref="O269">IF(D269=0,0,L269-K269)</f>
        <v>-31.443990496322286</v>
      </c>
      <c r="P269" s="11"/>
      <c r="Q269" s="35"/>
    </row>
    <row r="270" spans="1:17" ht="22.5" customHeight="1">
      <c r="A270" s="16" t="s">
        <v>62</v>
      </c>
      <c r="B270" s="17">
        <v>44412</v>
      </c>
      <c r="C270" s="37">
        <v>0.18870000000000001</v>
      </c>
      <c r="D270" s="37">
        <v>0.19189999999999999</v>
      </c>
      <c r="E270" s="19" cm="1">
        <f t="array" ref="E270">IF(D270="","",D270-C270)</f>
        <v>3.1999999999999806E-3</v>
      </c>
      <c r="F270" s="20" cm="1">
        <f t="array" ref="F270">IF(D270=0,"",(D270-C270)/C270)</f>
        <v>1.6958134605193326E-2</v>
      </c>
      <c r="G270" s="21">
        <v>28646.51</v>
      </c>
      <c r="H270" s="22">
        <v>1</v>
      </c>
      <c r="I270" s="23" cm="1">
        <f t="array" ref="I270">IF(D270="","",(G270*C270)*0.00075)</f>
        <v>4.0541973277499999</v>
      </c>
      <c r="J270" s="23" cm="1">
        <f t="array" ref="J270">IF(D270="","",(G270*D270)*0.00075)</f>
        <v>4.1229489517499998</v>
      </c>
      <c r="K270" s="24" cm="1">
        <f t="array" ref="K270">IF(D270="","",J270+I270)</f>
        <v>8.1771462795000005</v>
      </c>
      <c r="L270" s="24" cm="1">
        <f t="array" ref="L270">IF(D270=0,0,(D270-C270)*G270)</f>
        <v>91.668831999999441</v>
      </c>
      <c r="M270" s="25">
        <v>5309.8046560482499</v>
      </c>
      <c r="N270" s="26" cm="1">
        <f t="array" ref="N270">IFERROR((K270-J270)/J270,"–")</f>
        <v>0.98332464825429933</v>
      </c>
      <c r="O270" s="24" cm="1">
        <f t="array" ref="O270">IF(D270=0,0,L270-K270)</f>
        <v>83.491685720499447</v>
      </c>
      <c r="P270" s="23"/>
      <c r="Q270" s="27"/>
    </row>
    <row r="271" spans="1:17" ht="22.5" customHeight="1">
      <c r="A271" s="16" t="s">
        <v>62</v>
      </c>
      <c r="B271" s="28">
        <v>44412</v>
      </c>
      <c r="C271" s="36">
        <v>0.18870000000000001</v>
      </c>
      <c r="D271" s="36">
        <v>0.1905</v>
      </c>
      <c r="E271" s="30" cm="1">
        <f t="array" ref="E271">IF(D271="","",D271-C271)</f>
        <v>1.799999999999996E-3</v>
      </c>
      <c r="F271" s="31" cm="1">
        <f t="array" ref="F271">IF(D271=0,"",(D271-C271)/C271)</f>
        <v>9.5389507154212821E-3</v>
      </c>
      <c r="G271" s="32">
        <v>51146.99</v>
      </c>
      <c r="H271" s="10">
        <v>1</v>
      </c>
      <c r="I271" s="11" cm="1">
        <f t="array" ref="I271">IF(D271="","",(G271*C271)*0.00075)</f>
        <v>7.238577759750001</v>
      </c>
      <c r="J271" s="11" cm="1">
        <f t="array" ref="J271">IF(D271="","",(G271*D271)*0.00075)</f>
        <v>7.3076261962500002</v>
      </c>
      <c r="K271" s="33" cm="1">
        <f t="array" ref="K271">IF(D271="","",J271+I271)</f>
        <v>14.546203956000001</v>
      </c>
      <c r="L271" s="33" cm="1">
        <f t="array" ref="L271">IF(D271=0,0,(D271-C271)*G271)</f>
        <v>92.064581999999788</v>
      </c>
      <c r="M271" s="12">
        <v>9552.0648048037492</v>
      </c>
      <c r="N271" s="34" cm="1">
        <f t="array" ref="N271">IFERROR((K271-J271)/J271,"–")</f>
        <v>0.99055118110236229</v>
      </c>
      <c r="O271" s="33" cm="1">
        <f t="array" ref="O271">IF(D271=0,0,L271-K271)</f>
        <v>77.518378043999789</v>
      </c>
      <c r="P271" s="11"/>
      <c r="Q271" s="35"/>
    </row>
    <row r="272" spans="1:17" ht="22.5" customHeight="1">
      <c r="A272" s="16" t="s">
        <v>62</v>
      </c>
      <c r="B272" s="17">
        <v>44412</v>
      </c>
      <c r="C272" s="37">
        <v>0.18870000000000001</v>
      </c>
      <c r="D272" s="37">
        <v>0.19040000000000001</v>
      </c>
      <c r="E272" s="19" cm="1">
        <f t="array" ref="E272">IF(D272="","",D272-C272)</f>
        <v>1.7000000000000071E-3</v>
      </c>
      <c r="F272" s="20" cm="1">
        <f t="array" ref="F272">IF(D272=0,"",(D272-C272)/C272)</f>
        <v>9.0090090090090454E-3</v>
      </c>
      <c r="G272" s="21">
        <v>22500.48</v>
      </c>
      <c r="H272" s="22">
        <v>1</v>
      </c>
      <c r="I272" s="23" cm="1">
        <f t="array" ref="I272">IF(D272="","",(G272*C272)*0.00075)</f>
        <v>3.1843804320000006</v>
      </c>
      <c r="J272" s="23" cm="1">
        <f t="array" ref="J272">IF(D272="","",(G272*D272)*0.00075)</f>
        <v>3.2130685440000004</v>
      </c>
      <c r="K272" s="24" cm="1">
        <f t="array" ref="K272">IF(D272="","",J272+I272)</f>
        <v>6.3974489760000015</v>
      </c>
      <c r="L272" s="24" cm="1">
        <f t="array" ref="L272">IF(D272=0,0,(D272-C272)*G272)</f>
        <v>38.250816000000157</v>
      </c>
      <c r="M272" s="25">
        <v>4204.3766914560001</v>
      </c>
      <c r="N272" s="26" cm="1">
        <f t="array" ref="N272">IFERROR((K272-J272)/J272,"–")</f>
        <v>0.99107142857142883</v>
      </c>
      <c r="O272" s="24" cm="1">
        <f t="array" ref="O272">IF(D272=0,0,L272-K272)</f>
        <v>31.853367024000157</v>
      </c>
      <c r="P272" s="23"/>
      <c r="Q272" s="27"/>
    </row>
    <row r="273" spans="1:17" ht="22.5" customHeight="1">
      <c r="A273" s="16" t="s">
        <v>103</v>
      </c>
      <c r="B273" s="28">
        <v>44412</v>
      </c>
      <c r="C273" s="36">
        <v>0.30570000000000003</v>
      </c>
      <c r="D273" s="36">
        <v>0.30209999999999998</v>
      </c>
      <c r="E273" s="30" cm="1">
        <f t="array" ref="E273">IF(D273="","",D273-C273)</f>
        <v>-3.6000000000000476E-3</v>
      </c>
      <c r="F273" s="31" cm="1">
        <f t="array" ref="F273">IF(D273=0,"",(D273-C273)/C273)</f>
        <v>-1.1776251226692991E-2</v>
      </c>
      <c r="G273" s="32">
        <v>63803</v>
      </c>
      <c r="H273" s="10">
        <v>1</v>
      </c>
      <c r="I273" s="11" cm="1">
        <f t="array" ref="I273">IF(D273="","",(G273*C273)*0.00075)</f>
        <v>14.628432825000003</v>
      </c>
      <c r="J273" s="11" cm="1">
        <f t="array" ref="J273">IF(D273="","",(G273*D273)*0.00075)</f>
        <v>14.456164724999999</v>
      </c>
      <c r="K273" s="33" cm="1">
        <f t="array" ref="K273">IF(D273="","",J273+I273)</f>
        <v>29.084597550000002</v>
      </c>
      <c r="L273" s="33" cm="1">
        <f t="array" ref="L273">IF(D273=0,0,(D273-C273)*G273)</f>
        <v>-229.69080000000304</v>
      </c>
      <c r="M273" s="12">
        <v>19719.811735275001</v>
      </c>
      <c r="N273" s="34" cm="1">
        <f t="array" ref="N273">IFERROR((K273-J273)/J273,"–")</f>
        <v>1.0119165839126121</v>
      </c>
      <c r="O273" s="33" cm="1">
        <f t="array" ref="O273">IF(D273=0,0,L273-K273)</f>
        <v>-258.77539755000305</v>
      </c>
      <c r="P273" s="11"/>
      <c r="Q273" s="35"/>
    </row>
    <row r="274" spans="1:17" ht="22.5" customHeight="1">
      <c r="A274" s="16" t="s">
        <v>104</v>
      </c>
      <c r="B274" s="17">
        <v>44412</v>
      </c>
      <c r="C274" s="37">
        <v>0.43230000000000002</v>
      </c>
      <c r="D274" s="37">
        <v>0.42799999999999999</v>
      </c>
      <c r="E274" s="19" cm="1">
        <f t="array" ref="E274">IF(D274="","",D274-C274)</f>
        <v>-4.300000000000026E-3</v>
      </c>
      <c r="F274" s="20" cm="1">
        <f t="array" ref="F274">IF(D274=0,"",(D274-C274)/C274)</f>
        <v>-9.9467962063382511E-3</v>
      </c>
      <c r="G274" s="21">
        <v>21978.59</v>
      </c>
      <c r="H274" s="22">
        <v>1</v>
      </c>
      <c r="I274" s="23" cm="1">
        <f t="array" ref="I274">IF(D274="","",(G274*C274)*0.00075)</f>
        <v>7.1260083427500005</v>
      </c>
      <c r="J274" s="23" cm="1">
        <f t="array" ref="J274">IF(D274="","",(G274*D274)*0.00075)</f>
        <v>7.0551273900000009</v>
      </c>
      <c r="K274" s="24" cm="1">
        <f t="array" ref="K274">IF(D274="","",J274+I274)</f>
        <v>14.18113573275</v>
      </c>
      <c r="L274" s="24" cm="1">
        <f t="array" ref="L274">IF(D274=0,0,(D274-C274)*G274)</f>
        <v>-94.507937000000567</v>
      </c>
      <c r="M274" s="25">
        <v>9588.7972666099995</v>
      </c>
      <c r="N274" s="26" cm="1">
        <f t="array" ref="N274">IFERROR((K274-J274)/J274,"–")</f>
        <v>1.0100467289719623</v>
      </c>
      <c r="O274" s="24" cm="1">
        <f t="array" ref="O274">IF(D274=0,0,L274-K274)</f>
        <v>-108.68907273275056</v>
      </c>
      <c r="P274" s="23"/>
      <c r="Q274" s="27"/>
    </row>
    <row r="275" spans="1:17" ht="22.5" customHeight="1">
      <c r="A275" s="16" t="s">
        <v>104</v>
      </c>
      <c r="B275" s="28">
        <v>44412</v>
      </c>
      <c r="C275" s="36">
        <v>0.43230000000000002</v>
      </c>
      <c r="D275" s="36">
        <v>0.43</v>
      </c>
      <c r="E275" s="30" cm="1">
        <f t="array" ref="E275">IF(D275="","",D275-C275)</f>
        <v>-2.3000000000000242E-3</v>
      </c>
      <c r="F275" s="31" cm="1">
        <f t="array" ref="F275">IF(D275=0,"",(D275-C275)/C275)</f>
        <v>-5.3203793661809485E-3</v>
      </c>
      <c r="G275" s="32">
        <v>21978.59</v>
      </c>
      <c r="H275" s="10">
        <v>1</v>
      </c>
      <c r="I275" s="11" cm="1">
        <f t="array" ref="I275">IF(D275="","",(G275*C275)*0.00075)</f>
        <v>7.1260083427500005</v>
      </c>
      <c r="J275" s="11" cm="1">
        <f t="array" ref="J275">IF(D275="","",(G275*D275)*0.00075)</f>
        <v>7.0880952750000006</v>
      </c>
      <c r="K275" s="33" cm="1">
        <f t="array" ref="K275">IF(D275="","",J275+I275)</f>
        <v>14.214103617750002</v>
      </c>
      <c r="L275" s="33" cm="1">
        <f t="array" ref="L275">IF(D275=0,0,(D275-C275)*G275)</f>
        <v>-50.55075700000053</v>
      </c>
      <c r="M275" s="12">
        <v>9544.8071187250007</v>
      </c>
      <c r="N275" s="34" cm="1">
        <f t="array" ref="N275">IFERROR((K275-J275)/J275,"–")</f>
        <v>1.0053488372093025</v>
      </c>
      <c r="O275" s="33" cm="1">
        <f t="array" ref="O275">IF(D275=0,0,L275-K275)</f>
        <v>-64.764860617750529</v>
      </c>
      <c r="P275" s="11"/>
      <c r="Q275" s="35"/>
    </row>
    <row r="276" spans="1:17" ht="22.5" customHeight="1">
      <c r="A276" s="16" t="s">
        <v>105</v>
      </c>
      <c r="B276" s="17">
        <v>44412</v>
      </c>
      <c r="C276" s="37">
        <v>0.83330000000000004</v>
      </c>
      <c r="D276" s="37">
        <v>0.83809999999999996</v>
      </c>
      <c r="E276" s="19" cm="1">
        <f t="array" ref="E276">IF(D276="","",D276-C276)</f>
        <v>4.7999999999999154E-3</v>
      </c>
      <c r="F276" s="20" cm="1">
        <f t="array" ref="F276">IF(D276=0,"",(D276-C276)/C276)</f>
        <v>5.7602304092162666E-3</v>
      </c>
      <c r="G276" s="21">
        <v>11521.05</v>
      </c>
      <c r="H276" s="22">
        <v>1</v>
      </c>
      <c r="I276" s="23" cm="1">
        <f t="array" ref="I276">IF(D276="","",(G276*C276)*0.00075)</f>
        <v>7.2003682237499991</v>
      </c>
      <c r="J276" s="23" cm="1">
        <f t="array" ref="J276">IF(D276="","",(G276*D276)*0.00075)</f>
        <v>7.2418440037499998</v>
      </c>
      <c r="K276" s="24" cm="1">
        <f t="array" ref="K276">IF(D276="","",J276+I276)</f>
        <v>14.442212227499999</v>
      </c>
      <c r="L276" s="24" cm="1">
        <f t="array" ref="L276">IF(D276=0,0,(D276-C276)*G276)</f>
        <v>55.30103999999902</v>
      </c>
      <c r="M276" s="25">
        <v>9537.9480809962497</v>
      </c>
      <c r="N276" s="26" cm="1">
        <f t="array" ref="N276">IFERROR((K276-J276)/J276,"–")</f>
        <v>0.99427275981386454</v>
      </c>
      <c r="O276" s="24" cm="1">
        <f t="array" ref="O276">IF(D276=0,0,L276-K276)</f>
        <v>40.858827772499019</v>
      </c>
      <c r="P276" s="23"/>
      <c r="Q276" s="27"/>
    </row>
    <row r="277" spans="1:17" ht="22.5" customHeight="1">
      <c r="A277" s="16" t="s">
        <v>105</v>
      </c>
      <c r="B277" s="28">
        <v>44412</v>
      </c>
      <c r="C277" s="36">
        <v>0.83330000000000004</v>
      </c>
      <c r="D277" s="36">
        <v>0.83899999999999997</v>
      </c>
      <c r="E277" s="30" cm="1">
        <f t="array" ref="E277">IF(D277="","",D277-C277)</f>
        <v>5.6999999999999273E-3</v>
      </c>
      <c r="F277" s="31" cm="1">
        <f t="array" ref="F277">IF(D277=0,"",(D277-C277)/C277)</f>
        <v>6.8402736109443507E-3</v>
      </c>
      <c r="G277" s="32">
        <v>11521.05</v>
      </c>
      <c r="H277" s="10">
        <v>1</v>
      </c>
      <c r="I277" s="11" cm="1">
        <f t="array" ref="I277">IF(D277="","",(G277*C277)*0.00075)</f>
        <v>7.2003682237499991</v>
      </c>
      <c r="J277" s="11" cm="1">
        <f t="array" ref="J277">IF(D277="","",(G277*D277)*0.00075)</f>
        <v>7.2496207124999996</v>
      </c>
      <c r="K277" s="33" cm="1">
        <f t="array" ref="K277">IF(D277="","",J277+I277)</f>
        <v>14.449988936249998</v>
      </c>
      <c r="L277" s="33" cm="1">
        <f t="array" ref="L277">IF(D277=0,0,(D277-C277)*G277)</f>
        <v>65.669984999999159</v>
      </c>
      <c r="M277" s="12">
        <v>9527.5713592874999</v>
      </c>
      <c r="N277" s="34" cm="1">
        <f t="array" ref="N277">IFERROR((K277-J277)/J277,"–")</f>
        <v>0.99320619785458863</v>
      </c>
      <c r="O277" s="33" cm="1">
        <f t="array" ref="O277">IF(D277=0,0,L277-K277)</f>
        <v>51.219996063749164</v>
      </c>
      <c r="P277" s="11"/>
      <c r="Q277" s="35"/>
    </row>
    <row r="278" spans="1:17" ht="22.5" customHeight="1">
      <c r="A278" s="16" t="s">
        <v>106</v>
      </c>
      <c r="B278" s="17">
        <v>44413</v>
      </c>
      <c r="C278" s="37">
        <v>0.65659999999999996</v>
      </c>
      <c r="D278" s="37">
        <v>0.66900000000000004</v>
      </c>
      <c r="E278" s="19" cm="1">
        <f t="array" ref="E278">IF(D278="","",D278-C278)</f>
        <v>1.2400000000000078E-2</v>
      </c>
      <c r="F278" s="20" cm="1">
        <f t="array" ref="F278">IF(D278=0,"",(D278-C278)/C278)</f>
        <v>1.8885166006701308E-2</v>
      </c>
      <c r="G278" s="21">
        <v>13998.71</v>
      </c>
      <c r="H278" s="22">
        <v>1</v>
      </c>
      <c r="I278" s="23" cm="1">
        <f t="array" ref="I278">IF(D278="","",(G278*C278)*0.00075)</f>
        <v>6.8936647394999992</v>
      </c>
      <c r="J278" s="23" cm="1">
        <f t="array" ref="J278">IF(D278="","",(G278*D278)*0.00075)</f>
        <v>7.023852742499999</v>
      </c>
      <c r="K278" s="24" cm="1">
        <f t="array" ref="K278">IF(D278="","",J278+I278)</f>
        <v>13.917517481999997</v>
      </c>
      <c r="L278" s="24" cm="1">
        <f t="array" ref="L278">IF(D278=0,0,(D278-C278)*G278)</f>
        <v>173.58400400000107</v>
      </c>
      <c r="M278" s="25">
        <v>9010.9451292574995</v>
      </c>
      <c r="N278" s="26" cm="1">
        <f t="array" ref="N278">IFERROR((K278-J278)/J278,"–")</f>
        <v>0.98146487294469342</v>
      </c>
      <c r="O278" s="24" cm="1">
        <f t="array" ref="O278">IF(D278=0,0,L278-K278)</f>
        <v>159.66648651800108</v>
      </c>
      <c r="P278" s="23"/>
      <c r="Q278" s="27"/>
    </row>
    <row r="279" spans="1:17" ht="22.5" customHeight="1">
      <c r="A279" s="16" t="s">
        <v>106</v>
      </c>
      <c r="B279" s="28">
        <v>44413</v>
      </c>
      <c r="C279" s="36">
        <v>0.65659999999999996</v>
      </c>
      <c r="D279" s="36">
        <v>0.66800000000000004</v>
      </c>
      <c r="E279" s="30" cm="1">
        <f t="array" ref="E279">IF(D279="","",D279-C279)</f>
        <v>1.1400000000000077E-2</v>
      </c>
      <c r="F279" s="31" cm="1">
        <f t="array" ref="F279">IF(D279=0,"",(D279-C279)/C279)</f>
        <v>1.736216874809637E-2</v>
      </c>
      <c r="G279" s="32">
        <v>14698.41</v>
      </c>
      <c r="H279" s="10">
        <v>1</v>
      </c>
      <c r="I279" s="11" cm="1">
        <f t="array" ref="I279">IF(D279="","",(G279*C279)*0.00075)</f>
        <v>7.2382320044999995</v>
      </c>
      <c r="J279" s="11" cm="1">
        <f t="array" ref="J279">IF(D279="","",(G279*D279)*0.00075)</f>
        <v>7.3639034099999998</v>
      </c>
      <c r="K279" s="33" cm="1">
        <f t="array" ref="K279">IF(D279="","",J279+I279)</f>
        <v>14.602135414499999</v>
      </c>
      <c r="L279" s="33" cm="1">
        <f t="array" ref="L279">IF(D279=0,0,(D279-C279)*G279)</f>
        <v>167.56187400000113</v>
      </c>
      <c r="M279" s="12">
        <v>9476.0502285900002</v>
      </c>
      <c r="N279" s="34" cm="1">
        <f t="array" ref="N279">IFERROR((K279-J279)/J279,"–")</f>
        <v>0.98293413173652688</v>
      </c>
      <c r="O279" s="33" cm="1">
        <f t="array" ref="O279">IF(D279=0,0,L279-K279)</f>
        <v>152.95973858550113</v>
      </c>
      <c r="P279" s="11"/>
      <c r="Q279" s="35"/>
    </row>
    <row r="280" spans="1:17" ht="22.5" customHeight="1">
      <c r="A280" s="16" t="s">
        <v>106</v>
      </c>
      <c r="B280" s="17">
        <v>44413</v>
      </c>
      <c r="C280" s="37">
        <v>0.65659999999999996</v>
      </c>
      <c r="D280" s="37">
        <v>0.66549999999999998</v>
      </c>
      <c r="E280" s="19" cm="1">
        <f t="array" ref="E280">IF(D280="","",D280-C280)</f>
        <v>8.900000000000019E-3</v>
      </c>
      <c r="F280" s="20" cm="1">
        <f t="array" ref="F280">IF(D280=0,"",(D280-C280)/C280)</f>
        <v>1.3554675601583946E-2</v>
      </c>
      <c r="G280" s="21">
        <v>699.71</v>
      </c>
      <c r="H280" s="22">
        <v>1</v>
      </c>
      <c r="I280" s="23" cm="1">
        <f t="array" ref="I280">IF(D280="","",(G280*C280)*0.00075)</f>
        <v>0.34457218949999996</v>
      </c>
      <c r="J280" s="23" cm="1">
        <f t="array" ref="J280">IF(D280="","",(G280*D280)*0.00075)</f>
        <v>0.34924275375000002</v>
      </c>
      <c r="K280" s="24" cm="1">
        <f t="array" ref="K280">IF(D280="","",J280+I280)</f>
        <v>0.69381494325000004</v>
      </c>
      <c r="L280" s="24" cm="1">
        <f t="array" ref="L280">IF(D280=0,0,(D280-C280)*G280)</f>
        <v>6.2274190000000136</v>
      </c>
      <c r="M280" s="25">
        <v>452.85292424624998</v>
      </c>
      <c r="N280" s="26" cm="1">
        <f t="array" ref="N280">IFERROR((K280-J280)/J280,"–")</f>
        <v>0.98662659654395191</v>
      </c>
      <c r="O280" s="24" cm="1">
        <f t="array" ref="O280">IF(D280=0,0,L280-K280)</f>
        <v>5.5336040567500131</v>
      </c>
      <c r="P280" s="23"/>
      <c r="Q280" s="27"/>
    </row>
    <row r="281" spans="1:17" ht="22.5" customHeight="1">
      <c r="A281" s="16" t="s">
        <v>107</v>
      </c>
      <c r="B281" s="28">
        <v>44413</v>
      </c>
      <c r="C281" s="36">
        <v>0.27311000000000002</v>
      </c>
      <c r="D281" s="36">
        <v>0.27500000000000002</v>
      </c>
      <c r="E281" s="30" cm="1">
        <f t="array" ref="E281">IF(D281="","",D281-C281)</f>
        <v>1.8900000000000028E-3</v>
      </c>
      <c r="F281" s="31" cm="1">
        <f t="array" ref="F281">IF(D281=0,"",(D281-C281)/C281)</f>
        <v>6.9202885284317768E-3</v>
      </c>
      <c r="G281" s="32">
        <v>17941.599999999999</v>
      </c>
      <c r="H281" s="10">
        <v>1</v>
      </c>
      <c r="I281" s="11" cm="1">
        <f t="array" ref="I281">IF(D281="","",(G281*C281)*0.00075)</f>
        <v>3.6750227819999997</v>
      </c>
      <c r="J281" s="11" cm="1">
        <f t="array" ref="J281">IF(D281="","",(G281*D281)*0.00075)</f>
        <v>3.7004549999999998</v>
      </c>
      <c r="K281" s="33" cm="1">
        <f t="array" ref="K281">IF(D281="","",J281+I281)</f>
        <v>7.375477781999999</v>
      </c>
      <c r="L281" s="33" cm="1">
        <f t="array" ref="L281">IF(D281=0,0,(D281-C281)*G281)</f>
        <v>33.909624000000051</v>
      </c>
      <c r="M281" s="12">
        <v>4862.4202969999997</v>
      </c>
      <c r="N281" s="34" cm="1">
        <f t="array" ref="N281">IFERROR((K281-J281)/J281,"–")</f>
        <v>0.99312727272727253</v>
      </c>
      <c r="O281" s="33" cm="1">
        <f t="array" ref="O281">IF(D281=0,0,L281-K281)</f>
        <v>26.534146218000053</v>
      </c>
      <c r="P281" s="11"/>
      <c r="Q281" s="35"/>
    </row>
    <row r="282" spans="1:17" ht="22.5" customHeight="1">
      <c r="A282" s="16" t="s">
        <v>108</v>
      </c>
      <c r="B282" s="17">
        <v>44413</v>
      </c>
      <c r="C282" s="37">
        <v>2.552</v>
      </c>
      <c r="D282" s="37">
        <v>2.5680000000000001</v>
      </c>
      <c r="E282" s="19" cm="1">
        <f t="array" ref="E282">IF(D282="","",D282-C282)</f>
        <v>1.6000000000000014E-2</v>
      </c>
      <c r="F282" s="20" cm="1">
        <f t="array" ref="F282">IF(D282=0,"",(D282-C282)/C282)</f>
        <v>6.269592476489034E-3</v>
      </c>
      <c r="G282" s="21">
        <v>1923.45</v>
      </c>
      <c r="H282" s="22">
        <v>1</v>
      </c>
      <c r="I282" s="23" cm="1">
        <f t="array" ref="I282">IF(D282="","",(G282*C282)*0.00075)</f>
        <v>3.6814833</v>
      </c>
      <c r="J282" s="23" cm="1">
        <f t="array" ref="J282">IF(D282="","",(G282*D282)*0.00075)</f>
        <v>3.7045647000000002</v>
      </c>
      <c r="K282" s="24" cm="1">
        <f t="array" ref="K282">IF(D282="","",J282+I282)</f>
        <v>7.3860480000000006</v>
      </c>
      <c r="L282" s="24" cm="1">
        <f t="array" ref="L282">IF(D282=0,0,(D282-C282)*G282)</f>
        <v>30.775200000000027</v>
      </c>
      <c r="M282" s="25">
        <v>4874.1646352999996</v>
      </c>
      <c r="N282" s="26" cm="1">
        <f t="array" ref="N282">IFERROR((K282-J282)/J282,"–")</f>
        <v>0.99376947040498453</v>
      </c>
      <c r="O282" s="24" cm="1">
        <f t="array" ref="O282">IF(D282=0,0,L282-K282)</f>
        <v>23.389152000000024</v>
      </c>
      <c r="P282" s="23"/>
      <c r="Q282" s="27"/>
    </row>
    <row r="283" spans="1:17" ht="22.5" customHeight="1">
      <c r="A283" s="16" t="s">
        <v>108</v>
      </c>
      <c r="B283" s="28">
        <v>44414</v>
      </c>
      <c r="C283" s="36">
        <v>2.4994999999999998</v>
      </c>
      <c r="D283" s="36">
        <v>2.4352</v>
      </c>
      <c r="E283" s="30" cm="1">
        <f t="array" ref="E283">IF(D283="","",D283-C283)</f>
        <v>-6.4299999999999802E-2</v>
      </c>
      <c r="F283" s="31" cm="1">
        <f t="array" ref="F283">IF(D283=0,"",(D283-C283)/C283)</f>
        <v>-2.5725145029005723E-2</v>
      </c>
      <c r="G283" s="32">
        <v>2000</v>
      </c>
      <c r="H283" s="10">
        <v>1</v>
      </c>
      <c r="I283" s="11" cm="1">
        <f t="array" ref="I283">IF(D283="","",(G283*C283)*0.00075)</f>
        <v>3.74925</v>
      </c>
      <c r="J283" s="11" cm="1">
        <f t="array" ref="J283">IF(D283="","",(G283*D283)*0.00075)</f>
        <v>3.6527999999999996</v>
      </c>
      <c r="K283" s="33" cm="1">
        <f t="array" ref="K283">IF(D283="","",J283+I283)</f>
        <v>7.4020499999999991</v>
      </c>
      <c r="L283" s="33" cm="1">
        <f t="array" ref="L283">IF(D283=0,0,(D283-C283)*G283)</f>
        <v>-128.5999999999996</v>
      </c>
      <c r="M283" s="12">
        <v>5123.9471999999996</v>
      </c>
      <c r="N283" s="34" cm="1">
        <f t="array" ref="N283">IFERROR((K283-J283)/J283,"–")</f>
        <v>1.0264044021024967</v>
      </c>
      <c r="O283" s="33" cm="1">
        <f t="array" ref="O283">IF(D283=0,0,L283-K283)</f>
        <v>-136.0020499999996</v>
      </c>
      <c r="P283" s="11"/>
      <c r="Q283" s="35"/>
    </row>
    <row r="284" spans="1:17" ht="22.5" customHeight="1">
      <c r="A284" s="16" t="s">
        <v>109</v>
      </c>
      <c r="B284" s="17">
        <v>44414</v>
      </c>
      <c r="C284" s="37">
        <v>5.3179999999999998E-2</v>
      </c>
      <c r="D284" s="37">
        <v>5.5449999999999999E-2</v>
      </c>
      <c r="E284" s="19" cm="1">
        <f t="array" ref="E284">IF(D284="","",D284-C284)</f>
        <v>2.2700000000000012E-3</v>
      </c>
      <c r="F284" s="20" cm="1">
        <f t="array" ref="F284">IF(D284=0,"",(D284-C284)/C284)</f>
        <v>4.2685220007521646E-2</v>
      </c>
      <c r="G284" s="21">
        <v>40000</v>
      </c>
      <c r="H284" s="22">
        <v>1</v>
      </c>
      <c r="I284" s="23" cm="1">
        <f t="array" ref="I284">IF(D284="","",(G284*C284)*0.00075)</f>
        <v>1.5953999999999999</v>
      </c>
      <c r="J284" s="23" cm="1">
        <f t="array" ref="J284">IF(D284="","",(G284*D284)*0.00075)</f>
        <v>1.6635</v>
      </c>
      <c r="K284" s="24" cm="1">
        <f t="array" ref="K284">IF(D284="","",J284+I284)</f>
        <v>3.2588999999999997</v>
      </c>
      <c r="L284" s="24" cm="1">
        <f t="array" ref="L284">IF(D284=0,0,(D284-C284)*G284)</f>
        <v>90.800000000000054</v>
      </c>
      <c r="M284" s="25">
        <v>2034.7365</v>
      </c>
      <c r="N284" s="26" cm="1">
        <f t="array" ref="N284">IFERROR((K284-J284)/J284,"–")</f>
        <v>0.95906221821460758</v>
      </c>
      <c r="O284" s="24" cm="1">
        <f t="array" ref="O284">IF(D284=0,0,L284-K284)</f>
        <v>87.541100000000057</v>
      </c>
      <c r="P284" s="23"/>
      <c r="Q284" s="27"/>
    </row>
    <row r="285" spans="1:17" ht="22.5" customHeight="1">
      <c r="A285" s="16" t="s">
        <v>110</v>
      </c>
      <c r="B285" s="28">
        <v>44414</v>
      </c>
      <c r="C285" s="36">
        <v>19.809999999999999</v>
      </c>
      <c r="D285" s="36">
        <v>20</v>
      </c>
      <c r="E285" s="30" cm="1">
        <f t="array" ref="E285">IF(D285="","",D285-C285)</f>
        <v>0.19000000000000128</v>
      </c>
      <c r="F285" s="31" cm="1">
        <f t="array" ref="F285">IF(D285=0,"",(D285-C285)/C285)</f>
        <v>9.5911155981828009E-3</v>
      </c>
      <c r="G285" s="32">
        <v>247.35599999999999</v>
      </c>
      <c r="H285" s="10">
        <v>1</v>
      </c>
      <c r="I285" s="11" cm="1">
        <f t="array" ref="I285">IF(D285="","",(G285*C285)*0.00075)</f>
        <v>3.6750917699999994</v>
      </c>
      <c r="J285" s="11" cm="1">
        <f t="array" ref="J285">IF(D285="","",(G285*D285)*0.00075)</f>
        <v>3.71034</v>
      </c>
      <c r="K285" s="33" cm="1">
        <f t="array" ref="K285">IF(D285="","",J285+I285)</f>
        <v>7.3854317699999994</v>
      </c>
      <c r="L285" s="33" cm="1">
        <f t="array" ref="L285">IF(D285=0,0,(D285-C285)*G285)</f>
        <v>46.997640000000317</v>
      </c>
      <c r="M285" s="12">
        <v>4849.4143800000002</v>
      </c>
      <c r="N285" s="34" cm="1">
        <f t="array" ref="N285">IFERROR((K285-J285)/J285,"–")</f>
        <v>0.99049999999999983</v>
      </c>
      <c r="O285" s="33" cm="1">
        <f t="array" ref="O285">IF(D285=0,0,L285-K285)</f>
        <v>39.61220823000032</v>
      </c>
      <c r="P285" s="11"/>
      <c r="Q285" s="35"/>
    </row>
    <row r="286" spans="1:17" ht="22.5" customHeight="1">
      <c r="A286" s="16" t="s">
        <v>111</v>
      </c>
      <c r="B286" s="17">
        <v>44414</v>
      </c>
      <c r="C286" s="37">
        <v>0.55310000000000004</v>
      </c>
      <c r="D286" s="37">
        <v>0.61399999999999999</v>
      </c>
      <c r="E286" s="19" cm="1">
        <f t="array" ref="E286">IF(D286="","",D286-C286)</f>
        <v>6.0899999999999954E-2</v>
      </c>
      <c r="F286" s="20" cm="1">
        <f t="array" ref="F286">IF(D286=0,"",(D286-C286)/C286)</f>
        <v>0.11010667148797677</v>
      </c>
      <c r="G286" s="21">
        <v>17759.39</v>
      </c>
      <c r="H286" s="22">
        <v>1</v>
      </c>
      <c r="I286" s="23" cm="1">
        <f t="array" ref="I286">IF(D286="","",(G286*C286)*0.00075)</f>
        <v>7.3670389567500001</v>
      </c>
      <c r="J286" s="23" cm="1">
        <f t="array" ref="J286">IF(D286="","",(G286*D286)*0.00075)</f>
        <v>8.1781990950000001</v>
      </c>
      <c r="K286" s="24" cm="1">
        <f t="array" ref="K286">IF(D286="","",J286+I286)</f>
        <v>15.545238051750001</v>
      </c>
      <c r="L286" s="24" cm="1">
        <f t="array" ref="L286">IF(D286=0,0,(D286-C286)*G286)</f>
        <v>1081.5468509999992</v>
      </c>
      <c r="M286" s="25">
        <v>8732.9935589050001</v>
      </c>
      <c r="N286" s="26" cm="1">
        <f t="array" ref="N286">IFERROR((K286-J286)/J286,"–")</f>
        <v>0.90081433224755714</v>
      </c>
      <c r="O286" s="24" cm="1">
        <f t="array" ref="O286">IF(D286=0,0,L286-K286)</f>
        <v>1066.0016129482492</v>
      </c>
      <c r="P286" s="23"/>
      <c r="Q286" s="27"/>
    </row>
    <row r="287" spans="1:17" ht="22.5" customHeight="1">
      <c r="A287" s="16" t="s">
        <v>111</v>
      </c>
      <c r="B287" s="28">
        <v>44414</v>
      </c>
      <c r="C287" s="36">
        <v>0.55310000000000004</v>
      </c>
      <c r="D287" s="36">
        <v>0.63139999999999996</v>
      </c>
      <c r="E287" s="30" cm="1">
        <f t="array" ref="E287">IF(D287="","",D287-C287)</f>
        <v>7.8299999999999925E-2</v>
      </c>
      <c r="F287" s="31" cm="1">
        <f t="array" ref="F287">IF(D287=0,"",(D287-C287)/C287)</f>
        <v>0.14156572048454152</v>
      </c>
      <c r="G287" s="32">
        <v>17759.39</v>
      </c>
      <c r="H287" s="10">
        <v>1</v>
      </c>
      <c r="I287" s="11" cm="1">
        <f t="array" ref="I287">IF(D287="","",(G287*C287)*0.00075)</f>
        <v>7.3670389567500001</v>
      </c>
      <c r="J287" s="11" cm="1">
        <f t="array" ref="J287">IF(D287="","",(G287*D287)*0.00075)</f>
        <v>8.4099591344999993</v>
      </c>
      <c r="K287" s="33" cm="1">
        <f t="array" ref="K287">IF(D287="","",J287+I287)</f>
        <v>15.77699809125</v>
      </c>
      <c r="L287" s="33" cm="1">
        <f t="array" ref="L287">IF(D287=0,0,(D287-C287)*G287)</f>
        <v>1390.5602369999986</v>
      </c>
      <c r="M287" s="12">
        <v>8423.7484128654996</v>
      </c>
      <c r="N287" s="34" cm="1">
        <f t="array" ref="N287">IFERROR((K287-J287)/J287,"–")</f>
        <v>0.87598986379474209</v>
      </c>
      <c r="O287" s="33" cm="1">
        <f t="array" ref="O287">IF(D287=0,0,L287-K287)</f>
        <v>1374.7832389087484</v>
      </c>
      <c r="P287" s="11"/>
      <c r="Q287" s="35"/>
    </row>
    <row r="288" spans="1:17" ht="22.5" customHeight="1">
      <c r="A288" s="16" t="s">
        <v>111</v>
      </c>
      <c r="B288" s="17">
        <v>44414</v>
      </c>
      <c r="C288" s="37">
        <v>0.63660000000000005</v>
      </c>
      <c r="D288" s="37">
        <v>0.65</v>
      </c>
      <c r="E288" s="19" cm="1">
        <f t="array" ref="E288">IF(D288="","",D288-C288)</f>
        <v>1.3399999999999967E-2</v>
      </c>
      <c r="F288" s="20" cm="1">
        <f t="array" ref="F288">IF(D288=0,"",(D288-C288)/C288)</f>
        <v>2.1049324536600637E-2</v>
      </c>
      <c r="G288" s="21">
        <v>4339.53</v>
      </c>
      <c r="H288" s="22">
        <v>1</v>
      </c>
      <c r="I288" s="23" cm="1">
        <f t="array" ref="I288">IF(D288="","",(G288*C288)*0.00075)</f>
        <v>2.0719085984999999</v>
      </c>
      <c r="J288" s="23" cm="1">
        <f t="array" ref="J288">IF(D288="","",(G288*D288)*0.00075)</f>
        <v>2.1155208750000001</v>
      </c>
      <c r="K288" s="24" cm="1">
        <f t="array" ref="K288">IF(D288="","",J288+I288)</f>
        <v>4.1874294734999999</v>
      </c>
      <c r="L288" s="24" cm="1">
        <f t="array" ref="L288">IF(D288=0,0,(D288-C288)*G288)</f>
        <v>58.149701999999856</v>
      </c>
      <c r="M288" s="25">
        <v>2702.2795751250001</v>
      </c>
      <c r="N288" s="26" cm="1">
        <f t="array" ref="N288">IFERROR((K288-J288)/J288,"–")</f>
        <v>0.9793846153846153</v>
      </c>
      <c r="O288" s="24" cm="1">
        <f t="array" ref="O288">IF(D288=0,0,L288-K288)</f>
        <v>53.962272526499859</v>
      </c>
      <c r="P288" s="23"/>
      <c r="Q288" s="27"/>
    </row>
    <row r="289" spans="1:17" ht="22.5" customHeight="1">
      <c r="A289" s="16" t="s">
        <v>111</v>
      </c>
      <c r="B289" s="28">
        <v>44414</v>
      </c>
      <c r="C289" s="36">
        <v>0.63660000000000005</v>
      </c>
      <c r="D289" s="36">
        <v>0.64200000000000002</v>
      </c>
      <c r="E289" s="30" cm="1">
        <f t="array" ref="E289">IF(D289="","",D289-C289)</f>
        <v>5.3999999999999604E-3</v>
      </c>
      <c r="F289" s="31" cm="1">
        <f t="array" ref="F289">IF(D289=0,"",(D289-C289)/C289)</f>
        <v>8.4825636192270813E-3</v>
      </c>
      <c r="G289" s="32">
        <v>4339.53</v>
      </c>
      <c r="H289" s="10">
        <v>1</v>
      </c>
      <c r="I289" s="11" cm="1">
        <f t="array" ref="I289">IF(D289="","",(G289*C289)*0.00075)</f>
        <v>2.0719085984999999</v>
      </c>
      <c r="J289" s="11" cm="1">
        <f t="array" ref="J289">IF(D289="","",(G289*D289)*0.00075)</f>
        <v>2.0894836949999998</v>
      </c>
      <c r="K289" s="33" cm="1">
        <f t="array" ref="K289">IF(D289="","",J289+I289)</f>
        <v>4.1613922934999996</v>
      </c>
      <c r="L289" s="33" cm="1">
        <f t="array" ref="L289">IF(D289=0,0,(D289-C289)*G289)</f>
        <v>23.433461999999828</v>
      </c>
      <c r="M289" s="12">
        <v>2737.0218523049998</v>
      </c>
      <c r="N289" s="34" cm="1">
        <f t="array" ref="N289">IFERROR((K289-J289)/J289,"–")</f>
        <v>0.99158878504672898</v>
      </c>
      <c r="O289" s="33" cm="1">
        <f t="array" ref="O289">IF(D289=0,0,L289-K289)</f>
        <v>19.272069706499828</v>
      </c>
      <c r="P289" s="11"/>
      <c r="Q289" s="35"/>
    </row>
    <row r="290" spans="1:17" ht="22.5" customHeight="1">
      <c r="A290" s="16" t="s">
        <v>112</v>
      </c>
      <c r="B290" s="17">
        <v>44414</v>
      </c>
      <c r="C290" s="37">
        <v>6.5040000000000002E-3</v>
      </c>
      <c r="D290" s="37">
        <v>6.7799999999999996E-3</v>
      </c>
      <c r="E290" s="19" cm="1">
        <f t="array" ref="E290">IF(D290="","",D290-C290)</f>
        <v>2.7599999999999934E-4</v>
      </c>
      <c r="F290" s="20" cm="1">
        <f t="array" ref="F290">IF(D290=0,"",(D290-C290)/C290)</f>
        <v>4.243542435424344E-2</v>
      </c>
      <c r="G290" s="21">
        <v>1703033</v>
      </c>
      <c r="H290" s="22">
        <v>1</v>
      </c>
      <c r="I290" s="23" cm="1">
        <f t="array" ref="I290">IF(D290="","",(G290*C290)*0.00075)</f>
        <v>8.307394974000001</v>
      </c>
      <c r="J290" s="23" cm="1">
        <f t="array" ref="J290">IF(D290="","",(G290*D290)*0.00075)</f>
        <v>8.659922804999999</v>
      </c>
      <c r="K290" s="24" cm="1">
        <f t="array" ref="K290">IF(D290="","",J290+I290)</f>
        <v>16.967317778999998</v>
      </c>
      <c r="L290" s="24" cm="1">
        <f t="array" ref="L290">IF(D290=0,0,(D290-C290)*G290)</f>
        <v>470.03710799999885</v>
      </c>
      <c r="M290" s="25">
        <v>10597.829601195001</v>
      </c>
      <c r="N290" s="26" cm="1">
        <f t="array" ref="N290">IFERROR((K290-J290)/J290,"–")</f>
        <v>0.95929203539823016</v>
      </c>
      <c r="O290" s="24" cm="1">
        <f t="array" ref="O290">IF(D290=0,0,L290-K290)</f>
        <v>453.06979022099887</v>
      </c>
      <c r="P290" s="23"/>
      <c r="Q290" s="27"/>
    </row>
    <row r="291" spans="1:17" ht="22.5" customHeight="1">
      <c r="A291" s="16" t="s">
        <v>112</v>
      </c>
      <c r="B291" s="28">
        <v>44414</v>
      </c>
      <c r="C291" s="36">
        <v>6.5040000000000002E-3</v>
      </c>
      <c r="D291" s="36">
        <v>6.7520000000000002E-3</v>
      </c>
      <c r="E291" s="30" cm="1">
        <f t="array" ref="E291">IF(D291="","",D291-C291)</f>
        <v>2.4799999999999996E-4</v>
      </c>
      <c r="F291" s="31" cm="1">
        <f t="array" ref="F291">IF(D291=0,"",(D291-C291)/C291)</f>
        <v>3.8130381303813028E-2</v>
      </c>
      <c r="G291" s="32">
        <v>1703033</v>
      </c>
      <c r="H291" s="10">
        <v>1</v>
      </c>
      <c r="I291" s="11" cm="1">
        <f t="array" ref="I291">IF(D291="","",(G291*C291)*0.00075)</f>
        <v>8.307394974000001</v>
      </c>
      <c r="J291" s="11" cm="1">
        <f t="array" ref="J291">IF(D291="","",(G291*D291)*0.00075)</f>
        <v>8.624159112000001</v>
      </c>
      <c r="K291" s="33" cm="1">
        <f t="array" ref="K291">IF(D291="","",J291+I291)</f>
        <v>16.931554086000002</v>
      </c>
      <c r="L291" s="33" cm="1">
        <f t="array" ref="L291">IF(D291=0,0,(D291-C291)*G291)</f>
        <v>422.35218399999991</v>
      </c>
      <c r="M291" s="12">
        <v>10645.550288888</v>
      </c>
      <c r="N291" s="34" cm="1">
        <f t="array" ref="N291">IFERROR((K291-J291)/J291,"–")</f>
        <v>0.96327014218009477</v>
      </c>
      <c r="O291" s="33" cm="1">
        <f t="array" ref="O291">IF(D291=0,0,L291-K291)</f>
        <v>405.4206299139999</v>
      </c>
      <c r="P291" s="11"/>
      <c r="Q291" s="35"/>
    </row>
    <row r="292" spans="1:17" ht="22.5" customHeight="1">
      <c r="A292" s="16" t="s">
        <v>83</v>
      </c>
      <c r="B292" s="17">
        <v>44414</v>
      </c>
      <c r="C292" s="37">
        <v>2.5035000000000002E-2</v>
      </c>
      <c r="D292" s="37">
        <v>2.5402000000000001E-2</v>
      </c>
      <c r="E292" s="19" cm="1">
        <f t="array" ref="E292">IF(D292="","",D292-C292)</f>
        <v>3.6699999999999927E-4</v>
      </c>
      <c r="F292" s="20" cm="1">
        <f t="array" ref="F292">IF(D292=0,"",(D292-C292)/C292)</f>
        <v>1.4659476732574365E-2</v>
      </c>
      <c r="G292" s="21">
        <v>199722</v>
      </c>
      <c r="H292" s="22">
        <v>1</v>
      </c>
      <c r="I292" s="23" cm="1">
        <f t="array" ref="I292">IF(D292="","",(G292*C292)*0.00075)</f>
        <v>3.7500302025000005</v>
      </c>
      <c r="J292" s="23" cm="1">
        <f t="array" ref="J292">IF(D292="","",(G292*D292)*0.00075)</f>
        <v>3.8050036830000002</v>
      </c>
      <c r="K292" s="24" cm="1">
        <f t="array" ref="K292">IF(D292="","",J292+I292)</f>
        <v>7.5550338855000003</v>
      </c>
      <c r="L292" s="24" cm="1">
        <f t="array" ref="L292">IF(D292=0,0,(D292-C292)*G292)</f>
        <v>73.297973999999854</v>
      </c>
      <c r="M292" s="25">
        <v>4922.9372923170004</v>
      </c>
      <c r="N292" s="26" cm="1">
        <f t="array" ref="N292">IFERROR((K292-J292)/J292,"–")</f>
        <v>0.98555231871506177</v>
      </c>
      <c r="O292" s="24" cm="1">
        <f t="array" ref="O292">IF(D292=0,0,L292-K292)</f>
        <v>65.742940114499859</v>
      </c>
      <c r="P292" s="23"/>
      <c r="Q292" s="27"/>
    </row>
    <row r="293" spans="1:17" ht="22.5" customHeight="1">
      <c r="A293" s="16" t="s">
        <v>83</v>
      </c>
      <c r="B293" s="28">
        <v>44414</v>
      </c>
      <c r="C293" s="36">
        <v>2.5035000000000002E-2</v>
      </c>
      <c r="D293" s="36">
        <v>2.53E-2</v>
      </c>
      <c r="E293" s="30" cm="1">
        <f t="array" ref="E293">IF(D293="","",D293-C293)</f>
        <v>2.6499999999999788E-4</v>
      </c>
      <c r="F293" s="31" cm="1">
        <f t="array" ref="F293">IF(D293=0,"",(D293-C293)/C293)</f>
        <v>1.0585180746954179E-2</v>
      </c>
      <c r="G293" s="32">
        <v>199722</v>
      </c>
      <c r="H293" s="10">
        <v>1</v>
      </c>
      <c r="I293" s="11" cm="1">
        <f t="array" ref="I293">IF(D293="","",(G293*C293)*0.00075)</f>
        <v>3.7500302025000005</v>
      </c>
      <c r="J293" s="11" cm="1">
        <f t="array" ref="J293">IF(D293="","",(G293*D293)*0.00075)</f>
        <v>3.7897249500000001</v>
      </c>
      <c r="K293" s="33" cm="1">
        <f t="array" ref="K293">IF(D293="","",J293+I293)</f>
        <v>7.5397551525000006</v>
      </c>
      <c r="L293" s="33" cm="1">
        <f t="array" ref="L293">IF(D293=0,0,(D293-C293)*G293)</f>
        <v>52.926329999999574</v>
      </c>
      <c r="M293" s="12">
        <v>4943.32421505</v>
      </c>
      <c r="N293" s="34" cm="1">
        <f t="array" ref="N293">IFERROR((K293-J293)/J293,"–")</f>
        <v>0.9895256916996048</v>
      </c>
      <c r="O293" s="33" cm="1">
        <f t="array" ref="O293">IF(D293=0,0,L293-K293)</f>
        <v>45.386574847499574</v>
      </c>
      <c r="P293" s="11"/>
      <c r="Q293" s="35"/>
    </row>
    <row r="294" spans="1:17" ht="22.5" customHeight="1">
      <c r="A294" s="16" t="s">
        <v>113</v>
      </c>
      <c r="B294" s="17">
        <v>44414</v>
      </c>
      <c r="C294" s="37">
        <v>7.5887999999999997E-2</v>
      </c>
      <c r="D294" s="37">
        <v>7.7700000000000005E-2</v>
      </c>
      <c r="E294" s="19" cm="1">
        <f t="array" ref="E294">IF(D294="","",D294-C294)</f>
        <v>1.812000000000008E-3</v>
      </c>
      <c r="F294" s="20" cm="1">
        <f t="array" ref="F294">IF(D294=0,"",(D294-C294)/C294)</f>
        <v>2.3877292852625027E-2</v>
      </c>
      <c r="G294" s="21">
        <v>151540</v>
      </c>
      <c r="H294" s="22">
        <v>1</v>
      </c>
      <c r="I294" s="23" cm="1">
        <f t="array" ref="I294">IF(D294="","",(G294*C294)*0.00075)</f>
        <v>8.6250506399999995</v>
      </c>
      <c r="J294" s="23" cm="1">
        <f t="array" ref="J294">IF(D294="","",(G294*D294)*0.00075)</f>
        <v>8.8309935000000017</v>
      </c>
      <c r="K294" s="24" cm="1">
        <f t="array" ref="K294">IF(D294="","",J294+I294)</f>
        <v>17.456044140000003</v>
      </c>
      <c r="L294" s="24" cm="1">
        <f t="array" ref="L294">IF(D294=0,0,(D294-C294)*G294)</f>
        <v>274.59048000000121</v>
      </c>
      <c r="M294" s="25">
        <v>11216.6460465</v>
      </c>
      <c r="N294" s="26" cm="1">
        <f t="array" ref="N294">IFERROR((K294-J294)/J294,"–")</f>
        <v>0.97667953667953666</v>
      </c>
      <c r="O294" s="24" cm="1">
        <f t="array" ref="O294">IF(D294=0,0,L294-K294)</f>
        <v>257.13443586000119</v>
      </c>
      <c r="P294" s="23"/>
      <c r="Q294" s="27"/>
    </row>
    <row r="295" spans="1:17" ht="22.5" customHeight="1">
      <c r="A295" s="16" t="s">
        <v>113</v>
      </c>
      <c r="B295" s="28">
        <v>44414</v>
      </c>
      <c r="C295" s="36">
        <v>7.5887999999999997E-2</v>
      </c>
      <c r="D295" s="36">
        <v>7.6936000000000004E-2</v>
      </c>
      <c r="E295" s="30" cm="1">
        <f t="array" ref="E295">IF(D295="","",D295-C295)</f>
        <v>1.0480000000000073E-3</v>
      </c>
      <c r="F295" s="31" cm="1">
        <f t="array" ref="F295">IF(D295=0,"",(D295-C295)/C295)</f>
        <v>1.3809825005271021E-2</v>
      </c>
      <c r="G295" s="32">
        <v>75769</v>
      </c>
      <c r="H295" s="10">
        <v>1</v>
      </c>
      <c r="I295" s="11" cm="1">
        <f t="array" ref="I295">IF(D295="","",(G295*C295)*0.00075)</f>
        <v>4.3124684039999996</v>
      </c>
      <c r="J295" s="11" cm="1">
        <f t="array" ref="J295">IF(D295="","",(G295*D295)*0.00075)</f>
        <v>4.3720228380000004</v>
      </c>
      <c r="K295" s="33" cm="1">
        <f t="array" ref="K295">IF(D295="","",J295+I295)</f>
        <v>8.684491242</v>
      </c>
      <c r="L295" s="33" cm="1">
        <f t="array" ref="L295">IF(D295=0,0,(D295-C295)*G295)</f>
        <v>79.405912000000555</v>
      </c>
      <c r="M295" s="12">
        <v>5666.179937162</v>
      </c>
      <c r="N295" s="34" cm="1">
        <f t="array" ref="N295">IFERROR((K295-J295)/J295,"–")</f>
        <v>0.98637828844754061</v>
      </c>
      <c r="O295" s="33" cm="1">
        <f t="array" ref="O295">IF(D295=0,0,L295-K295)</f>
        <v>70.721420758000562</v>
      </c>
      <c r="P295" s="11"/>
      <c r="Q295" s="35"/>
    </row>
    <row r="296" spans="1:17" ht="22.5" customHeight="1">
      <c r="A296" s="16" t="s">
        <v>113</v>
      </c>
      <c r="B296" s="17">
        <v>44414</v>
      </c>
      <c r="C296" s="37">
        <v>7.5887999999999997E-2</v>
      </c>
      <c r="D296" s="37">
        <v>7.8589999999999993E-2</v>
      </c>
      <c r="E296" s="19" cm="1">
        <f t="array" ref="E296">IF(D296="","",D296-C296)</f>
        <v>2.7019999999999961E-3</v>
      </c>
      <c r="F296" s="20" cm="1">
        <f t="array" ref="F296">IF(D296=0,"",(D296-C296)/C296)</f>
        <v>3.5605102255956096E-2</v>
      </c>
      <c r="G296" s="21">
        <v>75770</v>
      </c>
      <c r="H296" s="22">
        <v>1</v>
      </c>
      <c r="I296" s="23" cm="1">
        <f t="array" ref="I296">IF(D296="","",(G296*C296)*0.00075)</f>
        <v>4.3125253199999998</v>
      </c>
      <c r="J296" s="23" cm="1">
        <f t="array" ref="J296">IF(D296="","",(G296*D296)*0.00075)</f>
        <v>4.4660732249999997</v>
      </c>
      <c r="K296" s="24" cm="1">
        <f t="array" ref="K296">IF(D296="","",J296+I296)</f>
        <v>8.7785985449999995</v>
      </c>
      <c r="L296" s="24" cm="1">
        <f t="array" ref="L296">IF(D296=0,0,(D296-C296)*G296)</f>
        <v>204.73053999999971</v>
      </c>
      <c r="M296" s="25">
        <v>5540.8371467750003</v>
      </c>
      <c r="N296" s="26" cm="1">
        <f t="array" ref="N296">IFERROR((K296-J296)/J296,"–")</f>
        <v>0.96561903550069983</v>
      </c>
      <c r="O296" s="24" cm="1">
        <f t="array" ref="O296">IF(D296=0,0,L296-K296)</f>
        <v>195.95194145499971</v>
      </c>
      <c r="P296" s="23"/>
      <c r="Q296" s="27"/>
    </row>
    <row r="297" spans="1:17" ht="22.5" customHeight="1">
      <c r="A297" s="16" t="s">
        <v>114</v>
      </c>
      <c r="B297" s="28">
        <v>44414</v>
      </c>
      <c r="C297" s="36">
        <v>2.3407</v>
      </c>
      <c r="D297" s="36">
        <v>2.44</v>
      </c>
      <c r="E297" s="30" cm="1">
        <f t="array" ref="E297">IF(D297="","",D297-C297)</f>
        <v>9.9299999999999944E-2</v>
      </c>
      <c r="F297" s="31" cm="1">
        <f t="array" ref="F297">IF(D297=0,"",(D297-C297)/C297)</f>
        <v>4.2423206733028559E-2</v>
      </c>
      <c r="G297" s="32">
        <v>3200.32</v>
      </c>
      <c r="H297" s="10">
        <v>1</v>
      </c>
      <c r="I297" s="11" cm="1">
        <f t="array" ref="I297">IF(D297="","",(G297*C297)*0.00075)</f>
        <v>5.6182417680000007</v>
      </c>
      <c r="J297" s="11" cm="1">
        <f t="array" ref="J297">IF(D297="","",(G297*D297)*0.00075)</f>
        <v>5.8565856000000007</v>
      </c>
      <c r="K297" s="33" cm="1">
        <f t="array" ref="K297">IF(D297="","",J297+I297)</f>
        <v>11.474827368000001</v>
      </c>
      <c r="L297" s="33" cm="1">
        <f t="array" ref="L297">IF(D297=0,0,(D297-C297)*G297)</f>
        <v>317.79177599999986</v>
      </c>
      <c r="M297" s="12">
        <v>7167.3406623999999</v>
      </c>
      <c r="N297" s="34" cm="1">
        <f t="array" ref="N297">IFERROR((K297-J297)/J297,"–")</f>
        <v>0.95930327868852461</v>
      </c>
      <c r="O297" s="33" cm="1">
        <f t="array" ref="O297">IF(D297=0,0,L297-K297)</f>
        <v>306.31694863199988</v>
      </c>
      <c r="P297" s="11"/>
      <c r="Q297" s="35"/>
    </row>
    <row r="298" spans="1:17" ht="22.5" customHeight="1">
      <c r="A298" s="16" t="s">
        <v>114</v>
      </c>
      <c r="B298" s="17">
        <v>44414</v>
      </c>
      <c r="C298" s="37">
        <v>2.3407</v>
      </c>
      <c r="D298" s="37">
        <v>2.4100999999999999</v>
      </c>
      <c r="E298" s="19" cm="1">
        <f t="array" ref="E298">IF(D298="","",D298-C298)</f>
        <v>6.9399999999999906E-2</v>
      </c>
      <c r="F298" s="20" cm="1">
        <f t="array" ref="F298">IF(D298=0,"",(D298-C298)/C298)</f>
        <v>2.9649250224291837E-2</v>
      </c>
      <c r="G298" s="21">
        <v>2766.27</v>
      </c>
      <c r="H298" s="22">
        <v>1</v>
      </c>
      <c r="I298" s="23" cm="1">
        <f t="array" ref="I298">IF(D298="","",(G298*C298)*0.00075)</f>
        <v>4.8562561417500003</v>
      </c>
      <c r="J298" s="23" cm="1">
        <f t="array" ref="J298">IF(D298="","",(G298*D298)*0.00075)</f>
        <v>5.0002404952499999</v>
      </c>
      <c r="K298" s="24" cm="1">
        <f t="array" ref="K298">IF(D298="","",J298+I298)</f>
        <v>9.8564966369999993</v>
      </c>
      <c r="L298" s="24" cm="1">
        <f t="array" ref="L298">IF(D298=0,0,(D298-C298)*G298)</f>
        <v>191.97913799999975</v>
      </c>
      <c r="M298" s="25">
        <v>6278.0288105047503</v>
      </c>
      <c r="N298" s="26" cm="1">
        <f t="array" ref="N298">IFERROR((K298-J298)/J298,"–")</f>
        <v>0.9712045143355047</v>
      </c>
      <c r="O298" s="24" cm="1">
        <f t="array" ref="O298">IF(D298=0,0,L298-K298)</f>
        <v>182.12264136299976</v>
      </c>
      <c r="P298" s="23"/>
      <c r="Q298" s="27"/>
    </row>
    <row r="299" spans="1:17" ht="22.5" customHeight="1">
      <c r="A299" s="16" t="s">
        <v>114</v>
      </c>
      <c r="B299" s="28">
        <v>44414</v>
      </c>
      <c r="C299" s="36">
        <v>2.3407</v>
      </c>
      <c r="D299" s="36">
        <v>2.4148999999999998</v>
      </c>
      <c r="E299" s="30" cm="1">
        <f t="array" ref="E299">IF(D299="","",D299-C299)</f>
        <v>7.4199999999999822E-2</v>
      </c>
      <c r="F299" s="31" cm="1">
        <f t="array" ref="F299">IF(D299=0,"",(D299-C299)/C299)</f>
        <v>3.169991882770104E-2</v>
      </c>
      <c r="G299" s="32">
        <v>1383.14</v>
      </c>
      <c r="H299" s="10">
        <v>1</v>
      </c>
      <c r="I299" s="11" cm="1">
        <f t="array" ref="I299">IF(D299="","",(G299*C299)*0.00075)</f>
        <v>2.4281368485000003</v>
      </c>
      <c r="J299" s="11" cm="1">
        <f t="array" ref="J299">IF(D299="","",(G299*D299)*0.00075)</f>
        <v>2.5051085894999998</v>
      </c>
      <c r="K299" s="33" cm="1">
        <f t="array" ref="K299">IF(D299="","",J299+I299)</f>
        <v>4.9332454380000001</v>
      </c>
      <c r="L299" s="33" cm="1">
        <f t="array" ref="L299">IF(D299=0,0,(D299-C299)*G299)</f>
        <v>102.62898799999977</v>
      </c>
      <c r="M299" s="12">
        <v>3132.3817014105002</v>
      </c>
      <c r="N299" s="34" cm="1">
        <f t="array" ref="N299">IFERROR((K299-J299)/J299,"–")</f>
        <v>0.96927409002443188</v>
      </c>
      <c r="O299" s="33" cm="1">
        <f t="array" ref="O299">IF(D299=0,0,L299-K299)</f>
        <v>97.695742561999765</v>
      </c>
      <c r="P299" s="11"/>
      <c r="Q299" s="35"/>
    </row>
    <row r="300" spans="1:17" ht="22.5" customHeight="1">
      <c r="A300" s="16" t="s">
        <v>114</v>
      </c>
      <c r="B300" s="17">
        <v>44414</v>
      </c>
      <c r="C300" s="37">
        <v>2.3407</v>
      </c>
      <c r="D300" s="37">
        <v>2.4005999999999998</v>
      </c>
      <c r="E300" s="19" cm="1">
        <f t="array" ref="E300">IF(D300="","",D300-C300)</f>
        <v>5.9899999999999842E-2</v>
      </c>
      <c r="F300" s="20" cm="1">
        <f t="array" ref="F300">IF(D300=0,"",(D300-C300)/C300)</f>
        <v>2.5590635280044363E-2</v>
      </c>
      <c r="G300" s="21">
        <v>2332.2199999999998</v>
      </c>
      <c r="H300" s="22">
        <v>1</v>
      </c>
      <c r="I300" s="23" cm="1">
        <f t="array" ref="I300">IF(D300="","",(G300*C300)*0.00075)</f>
        <v>4.0942705154999999</v>
      </c>
      <c r="J300" s="23" cm="1">
        <f t="array" ref="J300">IF(D300="","",(G300*D300)*0.00075)</f>
        <v>4.1990454989999995</v>
      </c>
      <c r="K300" s="24" cm="1">
        <f t="array" ref="K300">IF(D300="","",J300+I300)</f>
        <v>8.2933160145000002</v>
      </c>
      <c r="L300" s="24" cm="1">
        <f t="array" ref="L300">IF(D300=0,0,(D300-C300)*G300)</f>
        <v>139.69997799999962</v>
      </c>
      <c r="M300" s="25">
        <v>5315.1283305010002</v>
      </c>
      <c r="N300" s="26" cm="1">
        <f t="array" ref="N300">IFERROR((K300-J300)/J300,"–")</f>
        <v>0.9750479046904944</v>
      </c>
      <c r="O300" s="24" cm="1">
        <f t="array" ref="O300">IF(D300=0,0,L300-K300)</f>
        <v>131.40666198549962</v>
      </c>
      <c r="P300" s="23"/>
      <c r="Q300" s="27"/>
    </row>
    <row r="301" spans="1:17" ht="22.5" customHeight="1">
      <c r="A301" s="16" t="s">
        <v>115</v>
      </c>
      <c r="B301" s="28">
        <v>44415</v>
      </c>
      <c r="C301" s="36">
        <v>0.34660000000000002</v>
      </c>
      <c r="D301" s="36">
        <v>0.37</v>
      </c>
      <c r="E301" s="30" cm="1">
        <f t="array" ref="E301">IF(D301="","",D301-C301)</f>
        <v>2.3399999999999976E-2</v>
      </c>
      <c r="F301" s="31" cm="1">
        <f t="array" ref="F301">IF(D301=0,"",(D301-C301)/C301)</f>
        <v>6.7512983266012627E-2</v>
      </c>
      <c r="G301" s="32">
        <v>28859.4</v>
      </c>
      <c r="H301" s="10">
        <v>1</v>
      </c>
      <c r="I301" s="11" cm="1">
        <f t="array" ref="I301">IF(D301="","",(G301*C301)*0.00075)</f>
        <v>7.5020010300000006</v>
      </c>
      <c r="J301" s="11" cm="1">
        <f t="array" ref="J301">IF(D301="","",(G301*D301)*0.00075)</f>
        <v>8.0084835000000005</v>
      </c>
      <c r="K301" s="33" cm="1">
        <f t="array" ref="K301">IF(D301="","",J301+I301)</f>
        <v>15.510484530000001</v>
      </c>
      <c r="L301" s="33" cm="1">
        <f t="array" ref="L301">IF(D301=0,0,(D301-C301)*G301)</f>
        <v>675.30995999999936</v>
      </c>
      <c r="M301" s="12">
        <v>9319.3495965000002</v>
      </c>
      <c r="N301" s="34" cm="1">
        <f t="array" ref="N301">IFERROR((K301-J301)/J301,"–")</f>
        <v>0.93675675675675674</v>
      </c>
      <c r="O301" s="33" cm="1">
        <f t="array" ref="O301">IF(D301=0,0,L301-K301)</f>
        <v>659.79947546999938</v>
      </c>
      <c r="P301" s="11"/>
      <c r="Q301" s="35"/>
    </row>
    <row r="302" spans="1:17" ht="22.5" customHeight="1">
      <c r="A302" s="16" t="s">
        <v>115</v>
      </c>
      <c r="B302" s="17">
        <v>44415</v>
      </c>
      <c r="C302" s="37">
        <v>0.34660000000000002</v>
      </c>
      <c r="D302" s="37">
        <v>0.37030000000000002</v>
      </c>
      <c r="E302" s="19" cm="1">
        <f t="array" ref="E302">IF(D302="","",D302-C302)</f>
        <v>2.3699999999999999E-2</v>
      </c>
      <c r="F302" s="20" cm="1">
        <f t="array" ref="F302">IF(D302=0,"",(D302-C302)/C302)</f>
        <v>6.837853433352567E-2</v>
      </c>
      <c r="G302" s="21">
        <v>28859.4</v>
      </c>
      <c r="H302" s="22">
        <v>1</v>
      </c>
      <c r="I302" s="23" cm="1">
        <f t="array" ref="I302">IF(D302="","",(G302*C302)*0.00075)</f>
        <v>7.5020010300000006</v>
      </c>
      <c r="J302" s="23" cm="1">
        <f t="array" ref="J302">IF(D302="","",(G302*D302)*0.00075)</f>
        <v>8.0149768650000013</v>
      </c>
      <c r="K302" s="24" cm="1">
        <f t="array" ref="K302">IF(D302="","",J302+I302)</f>
        <v>15.516977895000002</v>
      </c>
      <c r="L302" s="24" cm="1">
        <f t="array" ref="L302">IF(D302=0,0,(D302-C302)*G302)</f>
        <v>683.96777999999995</v>
      </c>
      <c r="M302" s="25">
        <v>9310.6852831350006</v>
      </c>
      <c r="N302" s="26" cm="1">
        <f t="array" ref="N302">IFERROR((K302-J302)/J302,"–")</f>
        <v>0.93599783958952198</v>
      </c>
      <c r="O302" s="24" cm="1">
        <f t="array" ref="O302">IF(D302=0,0,L302-K302)</f>
        <v>668.45080210499998</v>
      </c>
      <c r="P302" s="23"/>
      <c r="Q302" s="27"/>
    </row>
    <row r="303" spans="1:17" ht="22.5" customHeight="1">
      <c r="A303" s="16" t="s">
        <v>111</v>
      </c>
      <c r="B303" s="28">
        <v>44416</v>
      </c>
      <c r="C303" s="36">
        <v>0.69920000000000004</v>
      </c>
      <c r="D303" s="36">
        <v>0.71399999999999997</v>
      </c>
      <c r="E303" s="30" cm="1">
        <f t="array" ref="E303">IF(D303="","",D303-C303)</f>
        <v>1.4799999999999924E-2</v>
      </c>
      <c r="F303" s="31" cm="1">
        <f t="array" ref="F303">IF(D303=0,"",(D303-C303)/C303)</f>
        <v>2.1167048054919799E-2</v>
      </c>
      <c r="G303" s="32">
        <v>14303.5</v>
      </c>
      <c r="H303" s="10">
        <v>1</v>
      </c>
      <c r="I303" s="11" cm="1">
        <f t="array" ref="I303">IF(D303="","",(G303*C303)*0.00075)</f>
        <v>7.5007554000000001</v>
      </c>
      <c r="J303" s="11" cm="1">
        <f t="array" ref="J303">IF(D303="","",(G303*D303)*0.00075)</f>
        <v>7.6595242499999996</v>
      </c>
      <c r="K303" s="33" cm="1">
        <f t="array" ref="K303">IF(D303="","",J303+I303)</f>
        <v>15.16027965</v>
      </c>
      <c r="L303" s="33" cm="1">
        <f t="array" ref="L303">IF(D303=0,0,(D303-C303)*G303)</f>
        <v>211.69179999999892</v>
      </c>
      <c r="M303" s="12">
        <v>9781.6558757500006</v>
      </c>
      <c r="N303" s="34" cm="1">
        <f t="array" ref="N303">IFERROR((K303-J303)/J303,"–")</f>
        <v>0.97927170868347346</v>
      </c>
      <c r="O303" s="33" cm="1">
        <f t="array" ref="O303">IF(D303=0,0,L303-K303)</f>
        <v>196.53152034999891</v>
      </c>
      <c r="P303" s="11"/>
      <c r="Q303" s="35"/>
    </row>
    <row r="304" spans="1:17" ht="22.5" customHeight="1">
      <c r="A304" s="16" t="s">
        <v>111</v>
      </c>
      <c r="B304" s="17">
        <v>44416</v>
      </c>
      <c r="C304" s="37">
        <v>0.69920000000000004</v>
      </c>
      <c r="D304" s="37">
        <v>0.72</v>
      </c>
      <c r="E304" s="19" cm="1">
        <f t="array" ref="E304">IF(D304="","",D304-C304)</f>
        <v>2.079999999999993E-2</v>
      </c>
      <c r="F304" s="20" cm="1">
        <f t="array" ref="F304">IF(D304=0,"",(D304-C304)/C304)</f>
        <v>2.9748283752860309E-2</v>
      </c>
      <c r="G304" s="21">
        <v>14303.5</v>
      </c>
      <c r="H304" s="22">
        <v>1</v>
      </c>
      <c r="I304" s="23" cm="1">
        <f t="array" ref="I304">IF(D304="","",(G304*C304)*0.00075)</f>
        <v>7.5007554000000001</v>
      </c>
      <c r="J304" s="23" cm="1">
        <f t="array" ref="J304">IF(D304="","",(G304*D304)*0.00075)</f>
        <v>7.7238900000000008</v>
      </c>
      <c r="K304" s="24" cm="1">
        <f t="array" ref="K304">IF(D304="","",J304+I304)</f>
        <v>15.2246454</v>
      </c>
      <c r="L304" s="24" cm="1">
        <f t="array" ref="L304">IF(D304=0,0,(D304-C304)*G304)</f>
        <v>297.512799999999</v>
      </c>
      <c r="M304" s="25">
        <v>9695.7705100000003</v>
      </c>
      <c r="N304" s="26" cm="1">
        <f t="array" ref="N304">IFERROR((K304-J304)/J304,"–")</f>
        <v>0.97111111111111093</v>
      </c>
      <c r="O304" s="24" cm="1">
        <f t="array" ref="O304">IF(D304=0,0,L304-K304)</f>
        <v>282.28815459999902</v>
      </c>
      <c r="P304" s="23"/>
      <c r="Q304" s="27"/>
    </row>
    <row r="305" spans="1:17" ht="22.5" customHeight="1">
      <c r="A305" s="16" t="s">
        <v>116</v>
      </c>
      <c r="B305" s="28">
        <v>44416</v>
      </c>
      <c r="C305" s="36">
        <v>354.25</v>
      </c>
      <c r="D305" s="36">
        <v>354</v>
      </c>
      <c r="E305" s="30" cm="1">
        <f t="array" ref="E305">IF(D305="","",D305-C305)</f>
        <v>-0.25</v>
      </c>
      <c r="F305" s="31" cm="1">
        <f t="array" ref="F305">IF(D305=0,"",(D305-C305)/C305)</f>
        <v>-7.0571630204657732E-4</v>
      </c>
      <c r="G305" s="32">
        <v>19.91</v>
      </c>
      <c r="H305" s="10">
        <v>1</v>
      </c>
      <c r="I305" s="11" cm="1">
        <f t="array" ref="I305">IF(D305="","",(G305*C305)*0.00075)</f>
        <v>5.2898381250000002</v>
      </c>
      <c r="J305" s="11" cm="1">
        <f t="array" ref="J305">IF(D305="","",(G305*D305)*0.00075)</f>
        <v>5.2861050000000001</v>
      </c>
      <c r="K305" s="33" cm="1">
        <f t="array" ref="K305">IF(D305="","",J305+I305)</f>
        <v>10.575943125</v>
      </c>
      <c r="L305" s="33" cm="1">
        <f t="array" ref="L305">IF(D305=0,0,(D305-C305)*G305)</f>
        <v>-4.9775</v>
      </c>
      <c r="M305" s="12">
        <v>7052.8088950000001</v>
      </c>
      <c r="N305" s="34" cm="1">
        <f t="array" ref="N305">IFERROR((K305-J305)/J305,"–")</f>
        <v>1.0007062146892656</v>
      </c>
      <c r="O305" s="33" cm="1">
        <f t="array" ref="O305">IF(D305=0,0,L305-K305)</f>
        <v>-15.553443125000001</v>
      </c>
      <c r="P305" s="11"/>
      <c r="Q305" s="35"/>
    </row>
    <row r="306" spans="1:17" ht="22.5" customHeight="1">
      <c r="A306" s="16" t="s">
        <v>117</v>
      </c>
      <c r="B306" s="17">
        <v>44416</v>
      </c>
      <c r="C306" s="37">
        <v>1.2902</v>
      </c>
      <c r="D306" s="37">
        <v>1.2915000000000001</v>
      </c>
      <c r="E306" s="19" cm="1">
        <f t="array" ref="E306">IF(D306="","",D306-C306)</f>
        <v>1.3000000000000789E-3</v>
      </c>
      <c r="F306" s="20" cm="1">
        <f t="array" ref="F306">IF(D306=0,"",(D306-C306)/C306)</f>
        <v>1.0075957215936126E-3</v>
      </c>
      <c r="G306" s="21">
        <v>19376.84</v>
      </c>
      <c r="H306" s="22">
        <v>1</v>
      </c>
      <c r="I306" s="23" cm="1">
        <f t="array" ref="I306">IF(D306="","",(G306*C306)*0.00075)</f>
        <v>18.749999226</v>
      </c>
      <c r="J306" s="23" cm="1">
        <f t="array" ref="J306">IF(D306="","",(G306*D306)*0.00075)</f>
        <v>18.768891645000004</v>
      </c>
      <c r="K306" s="24" cm="1">
        <f t="array" ref="K306">IF(D306="","",J306+I306)</f>
        <v>37.518890871000004</v>
      </c>
      <c r="L306" s="24" cm="1">
        <f t="array" ref="L306">IF(D306=0,0,(D306-C306)*G306)</f>
        <v>25.189892000001528</v>
      </c>
      <c r="M306" s="25">
        <v>24956.040184354999</v>
      </c>
      <c r="N306" s="26" cm="1">
        <f t="array" ref="N306">IFERROR((K306-J306)/J306,"–")</f>
        <v>0.99899341850561341</v>
      </c>
      <c r="O306" s="24" cm="1">
        <f t="array" ref="O306">IF(D306=0,0,L306-K306)</f>
        <v>-12.328998870998475</v>
      </c>
      <c r="P306" s="23"/>
      <c r="Q306" s="27"/>
    </row>
    <row r="307" spans="1:17" ht="22.5" customHeight="1">
      <c r="A307" s="16" t="s">
        <v>438</v>
      </c>
      <c r="B307" s="28">
        <v>44416</v>
      </c>
      <c r="C307" s="36">
        <v>21</v>
      </c>
      <c r="D307" s="36">
        <v>1</v>
      </c>
      <c r="E307" s="30" cm="1">
        <f t="array" ref="E307">IF(D307="","",D307-C307)</f>
        <v>-20</v>
      </c>
      <c r="F307" s="31" cm="1">
        <f t="array" ref="F307">IF(D307=0,"",(D307-C307)/C307)</f>
        <v>-0.95238095238095233</v>
      </c>
      <c r="G307" s="32">
        <v>1</v>
      </c>
      <c r="H307" s="10">
        <v>1</v>
      </c>
      <c r="I307" s="11" cm="1">
        <f t="array" ref="I307">IF(D307="","",(G307*C307)*0.00075)</f>
        <v>1.575E-2</v>
      </c>
      <c r="J307" s="11" cm="1">
        <f t="array" ref="J307">IF(D307="","",(G307*D307)*0.00075)</f>
        <v>7.5000000000000002E-4</v>
      </c>
      <c r="K307" s="33" cm="1">
        <f t="array" ref="K307">IF(D307="","",J307+I307)</f>
        <v>1.6500000000000001E-2</v>
      </c>
      <c r="L307" s="33" cm="1">
        <f t="array" ref="L307">IF(D307=0,0,(D307-C307)*G307)</f>
        <v>-20</v>
      </c>
      <c r="M307" s="12">
        <v>40.999250000000004</v>
      </c>
      <c r="N307" s="34" cm="1">
        <f t="array" ref="N307">IFERROR((K307-J307)/J307,"–")</f>
        <v>21</v>
      </c>
      <c r="O307" s="33" cm="1">
        <f t="array" ref="O307">IF(D307=0,0,L307-K307)</f>
        <v>-20.016500000000001</v>
      </c>
      <c r="P307" s="11"/>
      <c r="Q307" s="35"/>
    </row>
    <row r="308" spans="1:17" ht="22.5" customHeight="1">
      <c r="A308" s="16" t="s">
        <v>438</v>
      </c>
      <c r="B308" s="17">
        <v>44417</v>
      </c>
      <c r="C308" s="37">
        <v>96</v>
      </c>
      <c r="D308" s="37">
        <v>1</v>
      </c>
      <c r="E308" s="19" cm="1">
        <f t="array" ref="E308">IF(D308="","",D308-C308)</f>
        <v>-95</v>
      </c>
      <c r="F308" s="20" cm="1">
        <f t="array" ref="F308">IF(D308=0,"",(D308-C308)/C308)</f>
        <v>-0.98958333333333337</v>
      </c>
      <c r="G308" s="21">
        <v>1</v>
      </c>
      <c r="H308" s="22">
        <v>1</v>
      </c>
      <c r="I308" s="23" cm="1">
        <f t="array" ref="I308">IF(D308="","",(G308*C308)*0.00075)</f>
        <v>7.2000000000000008E-2</v>
      </c>
      <c r="J308" s="23" cm="1">
        <f t="array" ref="J308">IF(D308="","",(G308*D308)*0.00075)</f>
        <v>7.5000000000000002E-4</v>
      </c>
      <c r="K308" s="24" cm="1">
        <f t="array" ref="K308">IF(D308="","",J308+I308)</f>
        <v>7.2750000000000009E-2</v>
      </c>
      <c r="L308" s="24" cm="1">
        <f t="array" ref="L308">IF(D308=0,0,(D308-C308)*G308)</f>
        <v>-95</v>
      </c>
      <c r="M308" s="25">
        <v>190.99924999999999</v>
      </c>
      <c r="N308" s="26" cm="1">
        <f t="array" ref="N308">IFERROR((K308-J308)/J308,"–")</f>
        <v>96.000000000000014</v>
      </c>
      <c r="O308" s="24" cm="1">
        <f t="array" ref="O308">IF(D308=0,0,L308-K308)</f>
        <v>-95.072749999999999</v>
      </c>
      <c r="P308" s="23"/>
      <c r="Q308" s="27"/>
    </row>
    <row r="309" spans="1:17" ht="22.5" customHeight="1">
      <c r="A309" s="16" t="s">
        <v>118</v>
      </c>
      <c r="B309" s="28">
        <v>44417</v>
      </c>
      <c r="C309" s="36">
        <v>0.16200000000000001</v>
      </c>
      <c r="D309" s="36">
        <v>0.15790000000000001</v>
      </c>
      <c r="E309" s="30" cm="1">
        <f t="array" ref="E309">IF(D309="","",D309-C309)</f>
        <v>-4.0999999999999925E-3</v>
      </c>
      <c r="F309" s="31" cm="1">
        <f t="array" ref="F309">IF(D309=0,"",(D309-C309)/C309)</f>
        <v>-2.5308641975308594E-2</v>
      </c>
      <c r="G309" s="32">
        <v>61738.48</v>
      </c>
      <c r="H309" s="10">
        <v>1</v>
      </c>
      <c r="I309" s="11" cm="1">
        <f t="array" ref="I309">IF(D309="","",(G309*C309)*0.00075)</f>
        <v>7.5012253200000005</v>
      </c>
      <c r="J309" s="11" cm="1">
        <f t="array" ref="J309">IF(D309="","",(G309*D309)*0.00075)</f>
        <v>7.3113794940000014</v>
      </c>
      <c r="K309" s="33" cm="1">
        <f t="array" ref="K309">IF(D309="","",J309+I309)</f>
        <v>14.812604814000002</v>
      </c>
      <c r="L309" s="33" cm="1">
        <f t="array" ref="L309">IF(D309=0,0,(D309-C309)*G309)</f>
        <v>-253.12776799999955</v>
      </c>
      <c r="M309" s="12">
        <v>10247.450148505999</v>
      </c>
      <c r="N309" s="34" cm="1">
        <f t="array" ref="N309">IFERROR((K309-J309)/J309,"–")</f>
        <v>1.0259658011399619</v>
      </c>
      <c r="O309" s="33" cm="1">
        <f t="array" ref="O309">IF(D309=0,0,L309-K309)</f>
        <v>-267.94037281399955</v>
      </c>
      <c r="P309" s="11"/>
      <c r="Q309" s="35"/>
    </row>
    <row r="310" spans="1:17" ht="22.5" customHeight="1">
      <c r="A310" s="16" t="s">
        <v>119</v>
      </c>
      <c r="B310" s="17">
        <v>44417</v>
      </c>
      <c r="C310" s="37">
        <v>8.9529999999999998E-2</v>
      </c>
      <c r="D310" s="37">
        <v>9.0359999999999996E-2</v>
      </c>
      <c r="E310" s="19" cm="1">
        <f t="array" ref="E310">IF(D310="","",D310-C310)</f>
        <v>8.2999999999999741E-4</v>
      </c>
      <c r="F310" s="20" cm="1">
        <f t="array" ref="F310">IF(D310=0,"",(D310-C310)/C310)</f>
        <v>9.2706355411593597E-3</v>
      </c>
      <c r="G310" s="21">
        <v>111701.9</v>
      </c>
      <c r="H310" s="22">
        <v>1</v>
      </c>
      <c r="I310" s="23" cm="1">
        <f t="array" ref="I310">IF(D310="","",(G310*C310)*0.00075)</f>
        <v>7.5005033302499999</v>
      </c>
      <c r="J310" s="23" cm="1">
        <f t="array" ref="J310">IF(D310="","",(G310*D310)*0.00075)</f>
        <v>7.5700377629999993</v>
      </c>
      <c r="K310" s="24" cm="1">
        <f t="array" ref="K310">IF(D310="","",J310+I310)</f>
        <v>15.07054109325</v>
      </c>
      <c r="L310" s="24" cm="1">
        <f t="array" ref="L310">IF(D310=0,0,(D310-C310)*G310)</f>
        <v>92.712576999999712</v>
      </c>
      <c r="M310" s="25">
        <v>9900.3884922369998</v>
      </c>
      <c r="N310" s="26" cm="1">
        <f t="array" ref="N310">IFERROR((K310-J310)/J310,"–")</f>
        <v>0.99081451969898204</v>
      </c>
      <c r="O310" s="24" cm="1">
        <f t="array" ref="O310">IF(D310=0,0,L310-K310)</f>
        <v>77.642035906749712</v>
      </c>
      <c r="P310" s="23"/>
      <c r="Q310" s="27"/>
    </row>
    <row r="311" spans="1:17" ht="22.5" customHeight="1">
      <c r="A311" s="16" t="s">
        <v>119</v>
      </c>
      <c r="B311" s="28">
        <v>44417</v>
      </c>
      <c r="C311" s="36">
        <v>8.9529999999999998E-2</v>
      </c>
      <c r="D311" s="36">
        <v>9.0499999999999997E-2</v>
      </c>
      <c r="E311" s="30" cm="1">
        <f t="array" ref="E311">IF(D311="","",D311-C311)</f>
        <v>9.6999999999999864E-4</v>
      </c>
      <c r="F311" s="31" cm="1">
        <f t="array" ref="F311">IF(D311=0,"",(D311-C311)/C311)</f>
        <v>1.083435719870433E-2</v>
      </c>
      <c r="G311" s="32">
        <v>111701.9</v>
      </c>
      <c r="H311" s="10">
        <v>1</v>
      </c>
      <c r="I311" s="11" cm="1">
        <f t="array" ref="I311">IF(D311="","",(G311*C311)*0.00075)</f>
        <v>7.5005033302499999</v>
      </c>
      <c r="J311" s="11" cm="1">
        <f t="array" ref="J311">IF(D311="","",(G311*D311)*0.00075)</f>
        <v>7.5817664624999992</v>
      </c>
      <c r="K311" s="33" cm="1">
        <f t="array" ref="K311">IF(D311="","",J311+I311)</f>
        <v>15.082269792749999</v>
      </c>
      <c r="L311" s="33" cm="1">
        <f t="array" ref="L311">IF(D311=0,0,(D311-C311)*G311)</f>
        <v>108.35084299999984</v>
      </c>
      <c r="M311" s="12">
        <v>9884.7384975375007</v>
      </c>
      <c r="N311" s="34" cm="1">
        <f t="array" ref="N311">IFERROR((K311-J311)/J311,"–")</f>
        <v>0.98928176795580125</v>
      </c>
      <c r="O311" s="33" cm="1">
        <f t="array" ref="O311">IF(D311=0,0,L311-K311)</f>
        <v>93.268573207249844</v>
      </c>
      <c r="P311" s="11"/>
      <c r="Q311" s="35"/>
    </row>
    <row r="312" spans="1:17" ht="22.5" customHeight="1">
      <c r="A312" s="16" t="s">
        <v>115</v>
      </c>
      <c r="B312" s="17">
        <v>44417</v>
      </c>
      <c r="C312" s="37">
        <v>0.375</v>
      </c>
      <c r="D312" s="37">
        <v>0.37690000000000001</v>
      </c>
      <c r="E312" s="19" cm="1">
        <f t="array" ref="E312">IF(D312="","",D312-C312)</f>
        <v>1.9000000000000128E-3</v>
      </c>
      <c r="F312" s="20" cm="1">
        <f t="array" ref="F312">IF(D312=0,"",(D312-C312)/C312)</f>
        <v>5.0666666666667011E-3</v>
      </c>
      <c r="G312" s="21">
        <v>4000</v>
      </c>
      <c r="H312" s="22">
        <v>1</v>
      </c>
      <c r="I312" s="23" cm="1">
        <f t="array" ref="I312">IF(D312="","",(G312*C312)*0.00075)</f>
        <v>1.125</v>
      </c>
      <c r="J312" s="23" cm="1">
        <f t="array" ref="J312">IF(D312="","",(G312*D312)*0.00075)</f>
        <v>1.1307</v>
      </c>
      <c r="K312" s="24" cm="1">
        <f t="array" ref="K312">IF(D312="","",J312+I312)</f>
        <v>2.2557</v>
      </c>
      <c r="L312" s="24" cm="1">
        <f t="array" ref="L312">IF(D312=0,0,(D312-C312)*G312)</f>
        <v>7.6000000000000512</v>
      </c>
      <c r="M312" s="25">
        <v>1491.2692999999999</v>
      </c>
      <c r="N312" s="26" cm="1">
        <f t="array" ref="N312">IFERROR((K312-J312)/J312,"–")</f>
        <v>0.99495887503316527</v>
      </c>
      <c r="O312" s="24" cm="1">
        <f t="array" ref="O312">IF(D312=0,0,L312-K312)</f>
        <v>5.3443000000000511</v>
      </c>
      <c r="P312" s="23"/>
      <c r="Q312" s="27"/>
    </row>
    <row r="313" spans="1:17" ht="22.5" customHeight="1">
      <c r="A313" s="16" t="s">
        <v>106</v>
      </c>
      <c r="B313" s="28">
        <v>44417</v>
      </c>
      <c r="C313" s="36">
        <v>0.73780000000000001</v>
      </c>
      <c r="D313" s="36">
        <v>0.75</v>
      </c>
      <c r="E313" s="30" cm="1">
        <f t="array" ref="E313">IF(D313="","",D313-C313)</f>
        <v>1.2199999999999989E-2</v>
      </c>
      <c r="F313" s="31" cm="1">
        <f t="array" ref="F313">IF(D313=0,"",(D313-C313)/C313)</f>
        <v>1.6535646516671169E-2</v>
      </c>
      <c r="G313" s="32">
        <v>1703.49</v>
      </c>
      <c r="H313" s="10">
        <v>1</v>
      </c>
      <c r="I313" s="11" cm="1">
        <f t="array" ref="I313">IF(D313="","",(G313*C313)*0.00075)</f>
        <v>0.94262619150000004</v>
      </c>
      <c r="J313" s="11" cm="1">
        <f t="array" ref="J313">IF(D313="","",(G313*D313)*0.00075)</f>
        <v>0.95821312500000011</v>
      </c>
      <c r="K313" s="33" cm="1">
        <f t="array" ref="K313">IF(D313="","",J313+I313)</f>
        <v>1.9008393165000002</v>
      </c>
      <c r="L313" s="33" cm="1">
        <f t="array" ref="L313">IF(D313=0,0,(D313-C313)*G313)</f>
        <v>20.78257799999998</v>
      </c>
      <c r="M313" s="12">
        <v>1235.094130875</v>
      </c>
      <c r="N313" s="34" cm="1">
        <f t="array" ref="N313">IFERROR((K313-J313)/J313,"–")</f>
        <v>0.98373333333333324</v>
      </c>
      <c r="O313" s="33" cm="1">
        <f t="array" ref="O313">IF(D313=0,0,L313-K313)</f>
        <v>18.881738683499979</v>
      </c>
      <c r="P313" s="11"/>
      <c r="Q313" s="35"/>
    </row>
    <row r="314" spans="1:17" ht="22.5" customHeight="1">
      <c r="A314" s="16" t="s">
        <v>106</v>
      </c>
      <c r="B314" s="17">
        <v>44418</v>
      </c>
      <c r="C314" s="37">
        <v>0.73780000000000001</v>
      </c>
      <c r="D314" s="37">
        <v>0.745</v>
      </c>
      <c r="E314" s="19" cm="1">
        <f t="array" ref="E314">IF(D314="","",D314-C314)</f>
        <v>7.1999999999999842E-3</v>
      </c>
      <c r="F314" s="20" cm="1">
        <f t="array" ref="F314">IF(D314=0,"",(D314-C314)/C314)</f>
        <v>9.7587422065600216E-3</v>
      </c>
      <c r="G314" s="21">
        <v>8640.77</v>
      </c>
      <c r="H314" s="22">
        <v>1</v>
      </c>
      <c r="I314" s="23" cm="1">
        <f t="array" ref="I314">IF(D314="","",(G314*C314)*0.00075)</f>
        <v>4.7813700795000003</v>
      </c>
      <c r="J314" s="23" cm="1">
        <f t="array" ref="J314">IF(D314="","",(G314*D314)*0.00075)</f>
        <v>4.8280302375000002</v>
      </c>
      <c r="K314" s="24" cm="1">
        <f t="array" ref="K314">IF(D314="","",J314+I314)</f>
        <v>9.6094003170000004</v>
      </c>
      <c r="L314" s="24" cm="1">
        <f t="array" ref="L314">IF(D314=0,0,(D314-C314)*G314)</f>
        <v>62.213543999999864</v>
      </c>
      <c r="M314" s="25">
        <v>6308.1185317625004</v>
      </c>
      <c r="N314" s="26" cm="1">
        <f t="array" ref="N314">IFERROR((K314-J314)/J314,"–")</f>
        <v>0.9903355704697987</v>
      </c>
      <c r="O314" s="24" cm="1">
        <f t="array" ref="O314">IF(D314=0,0,L314-K314)</f>
        <v>52.604143682999862</v>
      </c>
      <c r="P314" s="23"/>
      <c r="Q314" s="27"/>
    </row>
    <row r="315" spans="1:17" ht="22.5" customHeight="1">
      <c r="A315" s="16" t="s">
        <v>106</v>
      </c>
      <c r="B315" s="28">
        <v>44418</v>
      </c>
      <c r="C315" s="36">
        <v>0.73780000000000001</v>
      </c>
      <c r="D315" s="36">
        <v>0.74750000000000005</v>
      </c>
      <c r="E315" s="30" cm="1">
        <f t="array" ref="E315">IF(D315="","",D315-C315)</f>
        <v>9.7000000000000419E-3</v>
      </c>
      <c r="F315" s="31" cm="1">
        <f t="array" ref="F315">IF(D315=0,"",(D315-C315)/C315)</f>
        <v>1.3147194361615671E-2</v>
      </c>
      <c r="G315" s="32">
        <v>4320.38</v>
      </c>
      <c r="H315" s="10">
        <v>1</v>
      </c>
      <c r="I315" s="11" cm="1">
        <f t="array" ref="I315">IF(D315="","",(G315*C315)*0.00075)</f>
        <v>2.3906822729999999</v>
      </c>
      <c r="J315" s="11" cm="1">
        <f t="array" ref="J315">IF(D315="","",(G315*D315)*0.00075)</f>
        <v>2.4221130375000004</v>
      </c>
      <c r="K315" s="33" cm="1">
        <f t="array" ref="K315">IF(D315="","",J315+I315)</f>
        <v>4.8127953105000003</v>
      </c>
      <c r="L315" s="33" cm="1">
        <f t="array" ref="L315">IF(D315=0,0,(D315-C315)*G315)</f>
        <v>41.907686000000183</v>
      </c>
      <c r="M315" s="12">
        <v>3143.2465649625001</v>
      </c>
      <c r="N315" s="34" cm="1">
        <f t="array" ref="N315">IFERROR((K315-J315)/J315,"–")</f>
        <v>0.98702341137123728</v>
      </c>
      <c r="O315" s="33" cm="1">
        <f t="array" ref="O315">IF(D315=0,0,L315-K315)</f>
        <v>37.094890689500183</v>
      </c>
      <c r="P315" s="11"/>
      <c r="Q315" s="35"/>
    </row>
    <row r="316" spans="1:17" ht="22.5" customHeight="1">
      <c r="A316" s="16" t="s">
        <v>106</v>
      </c>
      <c r="B316" s="17">
        <v>44418</v>
      </c>
      <c r="C316" s="37">
        <v>0.73780000000000001</v>
      </c>
      <c r="D316" s="37">
        <v>0.746</v>
      </c>
      <c r="E316" s="19" cm="1">
        <f t="array" ref="E316">IF(D316="","",D316-C316)</f>
        <v>8.1999999999999851E-3</v>
      </c>
      <c r="F316" s="20" cm="1">
        <f t="array" ref="F316">IF(D316=0,"",(D316-C316)/C316)</f>
        <v>1.1114123068582251E-2</v>
      </c>
      <c r="G316" s="21">
        <v>15578.04</v>
      </c>
      <c r="H316" s="22">
        <v>1</v>
      </c>
      <c r="I316" s="23" cm="1">
        <f t="array" ref="I316">IF(D316="","",(G316*C316)*0.00075)</f>
        <v>8.6201084340000005</v>
      </c>
      <c r="J316" s="23" cm="1">
        <f t="array" ref="J316">IF(D316="","",(G316*D316)*0.00075)</f>
        <v>8.7159133800000017</v>
      </c>
      <c r="K316" s="24" cm="1">
        <f t="array" ref="K316">IF(D316="","",J316+I316)</f>
        <v>17.336021814000002</v>
      </c>
      <c r="L316" s="24" cm="1">
        <f t="array" ref="L316">IF(D316=0,0,(D316-C316)*G316)</f>
        <v>127.73992799999978</v>
      </c>
      <c r="M316" s="25">
        <v>11357.02207062</v>
      </c>
      <c r="N316" s="26" cm="1">
        <f t="array" ref="N316">IFERROR((K316-J316)/J316,"–")</f>
        <v>0.9890080428954422</v>
      </c>
      <c r="O316" s="24" cm="1">
        <f t="array" ref="O316">IF(D316=0,0,L316-K316)</f>
        <v>110.40390618599977</v>
      </c>
      <c r="P316" s="23"/>
      <c r="Q316" s="27"/>
    </row>
    <row r="317" spans="1:17" ht="22.5" customHeight="1">
      <c r="A317" s="16" t="s">
        <v>106</v>
      </c>
      <c r="B317" s="28">
        <v>44418</v>
      </c>
      <c r="C317" s="36">
        <v>0.73780000000000001</v>
      </c>
      <c r="D317" s="36">
        <v>0.74550000000000005</v>
      </c>
      <c r="E317" s="30" cm="1">
        <f t="array" ref="E317">IF(D317="","",D317-C317)</f>
        <v>7.7000000000000401E-3</v>
      </c>
      <c r="F317" s="31" cm="1">
        <f t="array" ref="F317">IF(D317=0,"",(D317-C317)/C317)</f>
        <v>1.0436432637571212E-2</v>
      </c>
      <c r="G317" s="32">
        <v>4320.3900000000003</v>
      </c>
      <c r="H317" s="10">
        <v>1</v>
      </c>
      <c r="I317" s="11" cm="1">
        <f t="array" ref="I317">IF(D317="","",(G317*C317)*0.00075)</f>
        <v>2.3906878065000003</v>
      </c>
      <c r="J317" s="11" cm="1">
        <f t="array" ref="J317">IF(D317="","",(G317*D317)*0.00075)</f>
        <v>2.4156380587500004</v>
      </c>
      <c r="K317" s="33" cm="1">
        <f t="array" ref="K317">IF(D317="","",J317+I317)</f>
        <v>4.8063258652500007</v>
      </c>
      <c r="L317" s="33" cm="1">
        <f t="array" ref="L317">IF(D317=0,0,(D317-C317)*G317)</f>
        <v>33.267003000000173</v>
      </c>
      <c r="M317" s="12">
        <v>3151.9011009412502</v>
      </c>
      <c r="N317" s="34" cm="1">
        <f t="array" ref="N317">IFERROR((K317-J317)/J317,"–")</f>
        <v>0.98967136150234736</v>
      </c>
      <c r="O317" s="33" cm="1">
        <f t="array" ref="O317">IF(D317=0,0,L317-K317)</f>
        <v>28.460677134750171</v>
      </c>
      <c r="P317" s="11"/>
      <c r="Q317" s="35"/>
    </row>
    <row r="318" spans="1:17" ht="22.5" customHeight="1">
      <c r="A318" s="16" t="s">
        <v>58</v>
      </c>
      <c r="B318" s="17">
        <v>44418</v>
      </c>
      <c r="C318" s="37">
        <v>0.81440000000000001</v>
      </c>
      <c r="D318" s="37">
        <v>0.8165</v>
      </c>
      <c r="E318" s="19" cm="1">
        <f t="array" ref="E318">IF(D318="","",D318-C318)</f>
        <v>2.0999999999999908E-3</v>
      </c>
      <c r="F318" s="20" cm="1">
        <f t="array" ref="F318">IF(D318=0,"",(D318-C318)/C318)</f>
        <v>2.5785854616895759E-3</v>
      </c>
      <c r="G318" s="21">
        <v>1890</v>
      </c>
      <c r="H318" s="22">
        <v>1</v>
      </c>
      <c r="I318" s="23" cm="1">
        <f t="array" ref="I318">IF(D318="","",(G318*C318)*0.00075)</f>
        <v>1.1544120000000002</v>
      </c>
      <c r="J318" s="23" cm="1">
        <f t="array" ref="J318">IF(D318="","",(G318*D318)*0.00075)</f>
        <v>1.15738875</v>
      </c>
      <c r="K318" s="24" cm="1">
        <f t="array" ref="K318">IF(D318="","",J318+I318)</f>
        <v>2.3118007500000002</v>
      </c>
      <c r="L318" s="24" cm="1">
        <f t="array" ref="L318">IF(D318=0,0,(D318-C318)*G318)</f>
        <v>3.9689999999999825</v>
      </c>
      <c r="M318" s="25">
        <v>1534.08961125</v>
      </c>
      <c r="N318" s="26" cm="1">
        <f t="array" ref="N318">IFERROR((K318-J318)/J318,"–")</f>
        <v>0.99742804654011041</v>
      </c>
      <c r="O318" s="24" cm="1">
        <f t="array" ref="O318">IF(D318=0,0,L318-K318)</f>
        <v>1.6571992499999824</v>
      </c>
      <c r="P318" s="23"/>
      <c r="Q318" s="27"/>
    </row>
    <row r="319" spans="1:17" ht="22.5" customHeight="1">
      <c r="A319" s="16" t="s">
        <v>120</v>
      </c>
      <c r="B319" s="28">
        <v>44418</v>
      </c>
      <c r="C319" s="36">
        <v>0.32700000000000001</v>
      </c>
      <c r="D319" s="36">
        <v>0.34</v>
      </c>
      <c r="E319" s="30" cm="1">
        <f t="array" ref="E319">IF(D319="","",D319-C319)</f>
        <v>1.3000000000000012E-2</v>
      </c>
      <c r="F319" s="31" cm="1">
        <f t="array" ref="F319">IF(D319=0,"",(D319-C319)/C319)</f>
        <v>3.9755351681957221E-2</v>
      </c>
      <c r="G319" s="32">
        <v>37413.161</v>
      </c>
      <c r="H319" s="10">
        <v>1</v>
      </c>
      <c r="I319" s="11" cm="1">
        <f t="array" ref="I319">IF(D319="","",(G319*C319)*0.00075)</f>
        <v>9.1755777352500001</v>
      </c>
      <c r="J319" s="11" cm="1">
        <f t="array" ref="J319">IF(D319="","",(G319*D319)*0.00075)</f>
        <v>9.5403560550000019</v>
      </c>
      <c r="K319" s="33" cm="1">
        <f t="array" ref="K319">IF(D319="","",J319+I319)</f>
        <v>18.715933790250002</v>
      </c>
      <c r="L319" s="33" cm="1">
        <f t="array" ref="L319">IF(D319=0,0,(D319-C319)*G319)</f>
        <v>486.37109300000043</v>
      </c>
      <c r="M319" s="12">
        <v>11738.192197945</v>
      </c>
      <c r="N319" s="34" cm="1">
        <f t="array" ref="N319">IFERROR((K319-J319)/J319,"–")</f>
        <v>0.96176470588235274</v>
      </c>
      <c r="O319" s="33" cm="1">
        <f t="array" ref="O319">IF(D319=0,0,L319-K319)</f>
        <v>467.65515920975042</v>
      </c>
      <c r="P319" s="11"/>
      <c r="Q319" s="35"/>
    </row>
    <row r="320" spans="1:17" ht="22.5" customHeight="1">
      <c r="A320" s="16" t="s">
        <v>120</v>
      </c>
      <c r="B320" s="17">
        <v>44418</v>
      </c>
      <c r="C320" s="37">
        <v>0.32700000000000001</v>
      </c>
      <c r="D320" s="37">
        <v>0.33600000000000002</v>
      </c>
      <c r="E320" s="19" cm="1">
        <f t="array" ref="E320">IF(D320="","",D320-C320)</f>
        <v>9.000000000000008E-3</v>
      </c>
      <c r="F320" s="20" cm="1">
        <f t="array" ref="F320">IF(D320=0,"",(D320-C320)/C320)</f>
        <v>2.7522935779816536E-2</v>
      </c>
      <c r="G320" s="21">
        <v>18159.021000000001</v>
      </c>
      <c r="H320" s="22">
        <v>1</v>
      </c>
      <c r="I320" s="23" cm="1">
        <f t="array" ref="I320">IF(D320="","",(G320*C320)*0.00075)</f>
        <v>4.4534999002500006</v>
      </c>
      <c r="J320" s="23" cm="1">
        <f t="array" ref="J320">IF(D320="","",(G320*D320)*0.00075)</f>
        <v>4.5760732920000002</v>
      </c>
      <c r="K320" s="24" cm="1">
        <f t="array" ref="K320">IF(D320="","",J320+I320)</f>
        <v>9.0295731922500018</v>
      </c>
      <c r="L320" s="24" cm="1">
        <f t="array" ref="L320">IF(D320=0,0,(D320-C320)*G320)</f>
        <v>163.43118900000016</v>
      </c>
      <c r="M320" s="25">
        <v>5769.9926047079998</v>
      </c>
      <c r="N320" s="26" cm="1">
        <f t="array" ref="N320">IFERROR((K320-J320)/J320,"–")</f>
        <v>0.97321428571428603</v>
      </c>
      <c r="O320" s="24" cm="1">
        <f t="array" ref="O320">IF(D320=0,0,L320-K320)</f>
        <v>154.40161580775015</v>
      </c>
      <c r="P320" s="23"/>
      <c r="Q320" s="27"/>
    </row>
    <row r="321" spans="1:17" ht="22.5" customHeight="1">
      <c r="A321" s="16" t="s">
        <v>120</v>
      </c>
      <c r="B321" s="28">
        <v>44418</v>
      </c>
      <c r="C321" s="36">
        <v>0.32700000000000001</v>
      </c>
      <c r="D321" s="36">
        <v>0.33700000000000002</v>
      </c>
      <c r="E321" s="30" cm="1">
        <f t="array" ref="E321">IF(D321="","",D321-C321)</f>
        <v>1.0000000000000009E-2</v>
      </c>
      <c r="F321" s="31" cm="1">
        <f t="array" ref="F321">IF(D321=0,"",(D321-C321)/C321)</f>
        <v>3.0581039755351709E-2</v>
      </c>
      <c r="G321" s="32">
        <v>19254.14</v>
      </c>
      <c r="H321" s="10">
        <v>1</v>
      </c>
      <c r="I321" s="11" cm="1">
        <f t="array" ref="I321">IF(D321="","",(G321*C321)*0.00075)</f>
        <v>4.7220778350000003</v>
      </c>
      <c r="J321" s="11" cm="1">
        <f t="array" ref="J321">IF(D321="","",(G321*D321)*0.00075)</f>
        <v>4.8664838850000001</v>
      </c>
      <c r="K321" s="33" cm="1">
        <f t="array" ref="K321">IF(D321="","",J321+I321)</f>
        <v>9.5885617200000013</v>
      </c>
      <c r="L321" s="33" cm="1">
        <f t="array" ref="L321">IF(D321=0,0,(D321-C321)*G321)</f>
        <v>192.54140000000015</v>
      </c>
      <c r="M321" s="12">
        <v>6098.6958961150003</v>
      </c>
      <c r="N321" s="34" cm="1">
        <f t="array" ref="N321">IFERROR((K321-J321)/J321,"–")</f>
        <v>0.97032640949554916</v>
      </c>
      <c r="O321" s="33" cm="1">
        <f t="array" ref="O321">IF(D321=0,0,L321-K321)</f>
        <v>182.95283828000015</v>
      </c>
      <c r="P321" s="11"/>
      <c r="Q321" s="35"/>
    </row>
    <row r="322" spans="1:17" ht="22.5" customHeight="1">
      <c r="A322" s="16" t="s">
        <v>46</v>
      </c>
      <c r="B322" s="43">
        <v>44419</v>
      </c>
      <c r="C322" s="37">
        <v>3.5739999999999998</v>
      </c>
      <c r="D322" s="37">
        <v>3.673</v>
      </c>
      <c r="E322" s="19" cm="1">
        <f t="array" ref="E322">IF(D322="","",D322-C322)</f>
        <v>9.9000000000000199E-2</v>
      </c>
      <c r="F322" s="20" cm="1">
        <f t="array" ref="F322">IF(D322=0,"",(D322-C322)/C322)</f>
        <v>2.7700055959709067E-2</v>
      </c>
      <c r="G322" s="21">
        <v>2098.8829999999998</v>
      </c>
      <c r="H322" s="22">
        <v>1</v>
      </c>
      <c r="I322" s="23" cm="1">
        <f t="array" ref="I322">IF(D322="","",(G322*C322)*0.00075)</f>
        <v>5.6260558814999992</v>
      </c>
      <c r="J322" s="23" cm="1">
        <f t="array" ref="J322">IF(D322="","",(G322*D322)*0.00075)</f>
        <v>5.7818979442499998</v>
      </c>
      <c r="K322" s="24" cm="1">
        <f t="array" ref="K322">IF(D322="","",J322+I322)</f>
        <v>11.407953825749999</v>
      </c>
      <c r="L322" s="24" cm="1">
        <f t="array" ref="L322">IF(D322=0,0,(D322-C322)*G322)</f>
        <v>207.78941700000041</v>
      </c>
      <c r="M322" s="25">
        <v>7287.8365270557497</v>
      </c>
      <c r="N322" s="26" cm="1">
        <f t="array" ref="N322">IFERROR((K322-J322)/J322,"–")</f>
        <v>0.97304655594881562</v>
      </c>
      <c r="O322" s="24" cm="1">
        <f t="array" ref="O322">IF(D322=0,0,L322-K322)</f>
        <v>196.38146317425043</v>
      </c>
      <c r="P322" s="23"/>
      <c r="Q322" s="27"/>
    </row>
    <row r="323" spans="1:17" ht="22.5" customHeight="1">
      <c r="A323" s="16" t="s">
        <v>46</v>
      </c>
      <c r="B323" s="42">
        <v>44419</v>
      </c>
      <c r="C323" s="36">
        <v>3.5739999999999998</v>
      </c>
      <c r="D323" s="36">
        <v>3.6139999999999999</v>
      </c>
      <c r="E323" s="30" cm="1">
        <f t="array" ref="E323">IF(D323="","",D323-C323)</f>
        <v>4.0000000000000036E-2</v>
      </c>
      <c r="F323" s="31" cm="1">
        <f t="array" ref="F323">IF(D323=0,"",(D323-C323)/C323)</f>
        <v>1.119194180190264E-2</v>
      </c>
      <c r="G323" s="32">
        <v>2098.8829999999998</v>
      </c>
      <c r="H323" s="10">
        <v>1</v>
      </c>
      <c r="I323" s="11" cm="1">
        <f t="array" ref="I323">IF(D323="","",(G323*C323)*0.00075)</f>
        <v>5.6260558814999992</v>
      </c>
      <c r="J323" s="11" cm="1">
        <f t="array" ref="J323">IF(D323="","",(G323*D323)*0.00075)</f>
        <v>5.6890223714999992</v>
      </c>
      <c r="K323" s="33" cm="1">
        <f t="array" ref="K323">IF(D323="","",J323+I323)</f>
        <v>11.315078252999999</v>
      </c>
      <c r="L323" s="33" cm="1">
        <f t="array" ref="L323">IF(D323=0,0,(D323-C323)*G323)</f>
        <v>83.955320000000071</v>
      </c>
      <c r="M323" s="12">
        <v>7411.7634996284996</v>
      </c>
      <c r="N323" s="34" cm="1">
        <f t="array" ref="N323">IFERROR((K323-J323)/J323,"–")</f>
        <v>0.98893193137797475</v>
      </c>
      <c r="O323" s="33" cm="1">
        <f t="array" ref="O323">IF(D323=0,0,L323-K323)</f>
        <v>72.640241747000076</v>
      </c>
      <c r="P323" s="11"/>
      <c r="Q323" s="35"/>
    </row>
    <row r="324" spans="1:17" ht="22.5" customHeight="1">
      <c r="A324" s="16" t="s">
        <v>105</v>
      </c>
      <c r="B324" s="43">
        <v>44419</v>
      </c>
      <c r="C324" s="37">
        <v>0.98509999999999998</v>
      </c>
      <c r="D324" s="37">
        <v>0.98899999999999999</v>
      </c>
      <c r="E324" s="19" cm="1">
        <f t="array" ref="E324">IF(D324="","",D324-C324)</f>
        <v>3.9000000000000146E-3</v>
      </c>
      <c r="F324" s="20" cm="1">
        <f t="array" ref="F324">IF(D324=0,"",(D324-C324)/C324)</f>
        <v>3.9589889351335037E-3</v>
      </c>
      <c r="G324" s="21">
        <v>7613.94</v>
      </c>
      <c r="H324" s="22">
        <v>1</v>
      </c>
      <c r="I324" s="23" cm="1">
        <f t="array" ref="I324">IF(D324="","",(G324*C324)*0.00075)</f>
        <v>5.6253692204999997</v>
      </c>
      <c r="J324" s="23" cm="1">
        <f t="array" ref="J324">IF(D324="","",(G324*D324)*0.00075)</f>
        <v>5.6476399949999996</v>
      </c>
      <c r="K324" s="24" cm="1">
        <f t="array" ref="K324">IF(D324="","",J324+I324)</f>
        <v>11.2730092155</v>
      </c>
      <c r="L324" s="24" cm="1">
        <f t="array" ref="L324">IF(D324=0,0,(D324-C324)*G324)</f>
        <v>29.694366000000109</v>
      </c>
      <c r="M324" s="25">
        <v>7465.1502880050002</v>
      </c>
      <c r="N324" s="26" cm="1">
        <f t="array" ref="N324">IFERROR((K324-J324)/J324,"–")</f>
        <v>0.9960566228513652</v>
      </c>
      <c r="O324" s="24" cm="1">
        <f t="array" ref="O324">IF(D324=0,0,L324-K324)</f>
        <v>18.421356784500109</v>
      </c>
      <c r="P324" s="23"/>
      <c r="Q324" s="27"/>
    </row>
    <row r="325" spans="1:17" ht="22.5" customHeight="1">
      <c r="A325" s="16" t="s">
        <v>105</v>
      </c>
      <c r="B325" s="42">
        <v>44419</v>
      </c>
      <c r="C325" s="36">
        <v>0.98509999999999998</v>
      </c>
      <c r="D325" s="36">
        <v>0.995</v>
      </c>
      <c r="E325" s="30" cm="1">
        <f t="array" ref="E325">IF(D325="","",D325-C325)</f>
        <v>9.9000000000000199E-3</v>
      </c>
      <c r="F325" s="31" cm="1">
        <f t="array" ref="F325">IF(D325=0,"",(D325-C325)/C325)</f>
        <v>1.0049741143031185E-2</v>
      </c>
      <c r="G325" s="32">
        <v>7613.94</v>
      </c>
      <c r="H325" s="10">
        <v>1</v>
      </c>
      <c r="I325" s="11" cm="1">
        <f t="array" ref="I325">IF(D325="","",(G325*C325)*0.00075)</f>
        <v>5.6253692204999997</v>
      </c>
      <c r="J325" s="11" cm="1">
        <f t="array" ref="J325">IF(D325="","",(G325*D325)*0.00075)</f>
        <v>5.6819027249999996</v>
      </c>
      <c r="K325" s="33" cm="1">
        <f t="array" ref="K325">IF(D325="","",J325+I325)</f>
        <v>11.307271945499998</v>
      </c>
      <c r="L325" s="33" cm="1">
        <f t="array" ref="L325">IF(D325=0,0,(D325-C325)*G325)</f>
        <v>75.378006000000141</v>
      </c>
      <c r="M325" s="12">
        <v>7419.4323852750003</v>
      </c>
      <c r="N325" s="34" cm="1">
        <f t="array" ref="N325">IFERROR((K325-J325)/J325,"–")</f>
        <v>0.99005025125628121</v>
      </c>
      <c r="O325" s="33" cm="1">
        <f t="array" ref="O325">IF(D325=0,0,L325-K325)</f>
        <v>64.07073405450015</v>
      </c>
      <c r="P325" s="11"/>
      <c r="Q325" s="35"/>
    </row>
    <row r="326" spans="1:17" ht="22.5" customHeight="1">
      <c r="A326" s="16" t="s">
        <v>27</v>
      </c>
      <c r="B326" s="43">
        <v>44419</v>
      </c>
      <c r="C326" s="37">
        <v>9.3429999999999999E-2</v>
      </c>
      <c r="D326" s="37">
        <v>9.3950000000000006E-2</v>
      </c>
      <c r="E326" s="19" cm="1">
        <f t="array" ref="E326">IF(D326="","",D326-C326)</f>
        <v>5.2000000000000657E-4</v>
      </c>
      <c r="F326" s="20" cm="1">
        <f t="array" ref="F326">IF(D326=0,"",(D326-C326)/C326)</f>
        <v>5.5656641335760093E-3</v>
      </c>
      <c r="G326" s="21">
        <v>80275.5</v>
      </c>
      <c r="H326" s="22">
        <v>1</v>
      </c>
      <c r="I326" s="23" cm="1">
        <f t="array" ref="I326">IF(D326="","",(G326*C326)*0.00075)</f>
        <v>5.6251049737500001</v>
      </c>
      <c r="J326" s="23" cm="1">
        <f t="array" ref="J326">IF(D326="","",(G326*D326)*0.00075)</f>
        <v>5.6564124187500004</v>
      </c>
      <c r="K326" s="24" cm="1">
        <f t="array" ref="K326">IF(D326="","",J326+I326)</f>
        <v>11.2815173925</v>
      </c>
      <c r="L326" s="24" cm="1">
        <f t="array" ref="L326">IF(D326=0,0,(D326-C326)*G326)</f>
        <v>41.743260000000525</v>
      </c>
      <c r="M326" s="25">
        <v>7452.7402925812503</v>
      </c>
      <c r="N326" s="26" cm="1">
        <f t="array" ref="N326">IFERROR((K326-J326)/J326,"–")</f>
        <v>0.99446514103246386</v>
      </c>
      <c r="O326" s="24" cm="1">
        <f t="array" ref="O326">IF(D326=0,0,L326-K326)</f>
        <v>30.461742607500526</v>
      </c>
      <c r="P326" s="23"/>
      <c r="Q326" s="27"/>
    </row>
    <row r="327" spans="1:17" ht="22.5" customHeight="1">
      <c r="A327" s="16" t="s">
        <v>27</v>
      </c>
      <c r="B327" s="42">
        <v>44419</v>
      </c>
      <c r="C327" s="36">
        <v>9.3429999999999999E-2</v>
      </c>
      <c r="D327" s="36">
        <v>9.4E-2</v>
      </c>
      <c r="E327" s="30" cm="1">
        <f t="array" ref="E327">IF(D327="","",D327-C327)</f>
        <v>5.7000000000000106E-4</v>
      </c>
      <c r="F327" s="31" cm="1">
        <f t="array" ref="F327">IF(D327=0,"",(D327-C327)/C327)</f>
        <v>6.1008241464197907E-3</v>
      </c>
      <c r="G327" s="32">
        <v>80275.5</v>
      </c>
      <c r="H327" s="10">
        <v>1</v>
      </c>
      <c r="I327" s="11" cm="1">
        <f t="array" ref="I327">IF(D327="","",(G327*C327)*0.00075)</f>
        <v>5.6251049737500001</v>
      </c>
      <c r="J327" s="11" cm="1">
        <f t="array" ref="J327">IF(D327="","",(G327*D327)*0.00075)</f>
        <v>5.6594227500000001</v>
      </c>
      <c r="K327" s="33" cm="1">
        <f t="array" ref="K327">IF(D327="","",J327+I327)</f>
        <v>11.284527723749999</v>
      </c>
      <c r="L327" s="33" cm="1">
        <f t="array" ref="L327">IF(D327=0,0,(D327-C327)*G327)</f>
        <v>45.757035000000087</v>
      </c>
      <c r="M327" s="12">
        <v>7448.7235072499998</v>
      </c>
      <c r="N327" s="34" cm="1">
        <f t="array" ref="N327">IFERROR((K327-J327)/J327,"–")</f>
        <v>0.99393617021276581</v>
      </c>
      <c r="O327" s="33" cm="1">
        <f t="array" ref="O327">IF(D327=0,0,L327-K327)</f>
        <v>34.472507276250084</v>
      </c>
      <c r="P327" s="11"/>
      <c r="Q327" s="35"/>
    </row>
    <row r="328" spans="1:17" ht="22.5" customHeight="1">
      <c r="A328" s="16" t="s">
        <v>121</v>
      </c>
      <c r="B328" s="43">
        <v>44419</v>
      </c>
      <c r="C328" s="37">
        <v>21.879000000000001</v>
      </c>
      <c r="D328" s="37">
        <v>21.97</v>
      </c>
      <c r="E328" s="19" cm="1">
        <f t="array" ref="E328">IF(D328="","",D328-C328)</f>
        <v>9.0999999999997527E-2</v>
      </c>
      <c r="F328" s="20" cm="1">
        <f t="array" ref="F328">IF(D328=0,"",(D328-C328)/C328)</f>
        <v>4.1592394533569868E-3</v>
      </c>
      <c r="G328" s="21">
        <v>457.06</v>
      </c>
      <c r="H328" s="22">
        <v>1</v>
      </c>
      <c r="I328" s="23" cm="1">
        <f t="array" ref="I328">IF(D328="","",(G328*C328)*0.00075)</f>
        <v>7.5000118050000006</v>
      </c>
      <c r="J328" s="23" cm="1">
        <f t="array" ref="J328">IF(D328="","",(G328*D328)*0.00075)</f>
        <v>7.5312061499999992</v>
      </c>
      <c r="K328" s="24" cm="1">
        <f t="array" ref="K328">IF(D328="","",J328+I328)</f>
        <v>15.031217954999999</v>
      </c>
      <c r="L328" s="24" cm="1">
        <f t="array" ref="L328">IF(D328=0,0,(D328-C328)*G328)</f>
        <v>41.592459999998873</v>
      </c>
      <c r="M328" s="25">
        <v>9950.8920738500001</v>
      </c>
      <c r="N328" s="26" cm="1">
        <f t="array" ref="N328">IFERROR((K328-J328)/J328,"–")</f>
        <v>0.99585798816568061</v>
      </c>
      <c r="O328" s="24" cm="1">
        <f t="array" ref="O328">IF(D328=0,0,L328-K328)</f>
        <v>26.561242044998874</v>
      </c>
      <c r="P328" s="23"/>
      <c r="Q328" s="27"/>
    </row>
    <row r="329" spans="1:17" ht="22.5" customHeight="1">
      <c r="A329" s="16" t="s">
        <v>121</v>
      </c>
      <c r="B329" s="42">
        <v>44419</v>
      </c>
      <c r="C329" s="36">
        <v>21.879000000000001</v>
      </c>
      <c r="D329" s="36">
        <v>21.907</v>
      </c>
      <c r="E329" s="30" cm="1">
        <f t="array" ref="E329">IF(D329="","",D329-C329)</f>
        <v>2.7999999999998693E-2</v>
      </c>
      <c r="F329" s="31" cm="1">
        <f t="array" ref="F329">IF(D329=0,"",(D329-C329)/C329)</f>
        <v>1.2797659856482787E-3</v>
      </c>
      <c r="G329" s="32">
        <v>457.06099999999998</v>
      </c>
      <c r="H329" s="10">
        <v>1</v>
      </c>
      <c r="I329" s="11" cm="1">
        <f t="array" ref="I329">IF(D329="","",(G329*C329)*0.00075)</f>
        <v>7.5000282142500003</v>
      </c>
      <c r="J329" s="11" cm="1">
        <f t="array" ref="J329">IF(D329="","",(G329*D329)*0.00075)</f>
        <v>7.5096264952499991</v>
      </c>
      <c r="K329" s="33" cm="1">
        <f t="array" ref="K329">IF(D329="","",J329+I329)</f>
        <v>15.009654709499999</v>
      </c>
      <c r="L329" s="33" cm="1">
        <f t="array" ref="L329">IF(D329=0,0,(D329-C329)*G329)</f>
        <v>12.797707999999401</v>
      </c>
      <c r="M329" s="12">
        <v>9979.7302845047507</v>
      </c>
      <c r="N329" s="34" cm="1">
        <f t="array" ref="N329">IFERROR((K329-J329)/J329,"–")</f>
        <v>0.99872186972200683</v>
      </c>
      <c r="O329" s="33" cm="1">
        <f t="array" ref="O329">IF(D329=0,0,L329-K329)</f>
        <v>-2.211946709500598</v>
      </c>
      <c r="P329" s="11"/>
      <c r="Q329" s="35"/>
    </row>
    <row r="330" spans="1:17" ht="22.5" customHeight="1">
      <c r="A330" s="16" t="s">
        <v>113</v>
      </c>
      <c r="B330" s="43">
        <v>44419</v>
      </c>
      <c r="C330" s="37">
        <v>8.4657999999999997E-2</v>
      </c>
      <c r="D330" s="37">
        <v>8.4199999999999997E-2</v>
      </c>
      <c r="E330" s="19" cm="1">
        <f t="array" ref="E330">IF(D330="","",D330-C330)</f>
        <v>-4.5800000000000007E-4</v>
      </c>
      <c r="F330" s="20" cm="1">
        <f t="array" ref="F330">IF(D330=0,"",(D330-C330)/C330)</f>
        <v>-5.4100025986912057E-3</v>
      </c>
      <c r="G330" s="21">
        <v>151788</v>
      </c>
      <c r="H330" s="22">
        <v>1</v>
      </c>
      <c r="I330" s="23" cm="1">
        <f t="array" ref="I330">IF(D330="","",(G330*C330)*0.00075)</f>
        <v>9.6375513779999995</v>
      </c>
      <c r="J330" s="23" cm="1">
        <f t="array" ref="J330">IF(D330="","",(G330*D330)*0.00075)</f>
        <v>9.5854122000000004</v>
      </c>
      <c r="K330" s="24" cm="1">
        <f t="array" ref="K330">IF(D330="","",J330+I330)</f>
        <v>19.222963577999998</v>
      </c>
      <c r="L330" s="24" cm="1">
        <f t="array" ref="L330">IF(D330=0,0,(D330-C330)*G330)</f>
        <v>-69.518904000000006</v>
      </c>
      <c r="M330" s="25">
        <v>12910.001995799999</v>
      </c>
      <c r="N330" s="26" cm="1">
        <f t="array" ref="N330">IFERROR((K330-J330)/J330,"–")</f>
        <v>1.0054394299287408</v>
      </c>
      <c r="O330" s="24" cm="1">
        <f t="array" ref="O330">IF(D330=0,0,L330-K330)</f>
        <v>-88.741867578000011</v>
      </c>
      <c r="P330" s="23"/>
      <c r="Q330" s="27"/>
    </row>
    <row r="331" spans="1:17" ht="22.5" customHeight="1">
      <c r="A331" s="16" t="s">
        <v>113</v>
      </c>
      <c r="B331" s="42">
        <v>44419</v>
      </c>
      <c r="C331" s="36">
        <v>8.4657999999999997E-2</v>
      </c>
      <c r="D331" s="36">
        <v>8.4500000000000006E-2</v>
      </c>
      <c r="E331" s="30" cm="1">
        <f t="array" ref="E331">IF(D331="","",D331-C331)</f>
        <v>-1.5799999999999148E-4</v>
      </c>
      <c r="F331" s="31" cm="1">
        <f t="array" ref="F331">IF(D331=0,"",(D331-C331)/C331)</f>
        <v>-1.8663327742208828E-3</v>
      </c>
      <c r="G331" s="32">
        <v>75893</v>
      </c>
      <c r="H331" s="10">
        <v>1</v>
      </c>
      <c r="I331" s="11" cm="1">
        <f t="array" ref="I331">IF(D331="","",(G331*C331)*0.00075)</f>
        <v>4.8187121954999999</v>
      </c>
      <c r="J331" s="11" cm="1">
        <f t="array" ref="J331">IF(D331="","",(G331*D331)*0.00075)</f>
        <v>4.8097188750000006</v>
      </c>
      <c r="K331" s="33" cm="1">
        <f t="array" ref="K331">IF(D331="","",J331+I331)</f>
        <v>9.6284310704999996</v>
      </c>
      <c r="L331" s="33" cm="1">
        <f t="array" ref="L331">IF(D331=0,0,(D331-C331)*G331)</f>
        <v>-11.991093999999354</v>
      </c>
      <c r="M331" s="12">
        <v>6432.1309691249999</v>
      </c>
      <c r="N331" s="34" cm="1">
        <f t="array" ref="N331">IFERROR((K331-J331)/J331,"–")</f>
        <v>1.0018698224852067</v>
      </c>
      <c r="O331" s="33" cm="1">
        <f t="array" ref="O331">IF(D331=0,0,L331-K331)</f>
        <v>-21.619525070499353</v>
      </c>
      <c r="P331" s="11"/>
      <c r="Q331" s="35"/>
    </row>
    <row r="332" spans="1:17" ht="22.5" customHeight="1">
      <c r="A332" s="16" t="s">
        <v>113</v>
      </c>
      <c r="B332" s="43">
        <v>44419</v>
      </c>
      <c r="C332" s="37">
        <v>8.4657999999999997E-2</v>
      </c>
      <c r="D332" s="37">
        <v>8.4099999999999994E-2</v>
      </c>
      <c r="E332" s="19" cm="1">
        <f t="array" ref="E332">IF(D332="","",D332-C332)</f>
        <v>-5.5800000000000294E-4</v>
      </c>
      <c r="F332" s="20" cm="1">
        <f t="array" ref="F332">IF(D332=0,"",(D332-C332)/C332)</f>
        <v>-6.5912258735146469E-3</v>
      </c>
      <c r="G332" s="21">
        <v>75893</v>
      </c>
      <c r="H332" s="22">
        <v>1</v>
      </c>
      <c r="I332" s="23" cm="1">
        <f t="array" ref="I332">IF(D332="","",(G332*C332)*0.00075)</f>
        <v>4.8187121954999999</v>
      </c>
      <c r="J332" s="23" cm="1">
        <f t="array" ref="J332">IF(D332="","",(G332*D332)*0.00075)</f>
        <v>4.7869509749999999</v>
      </c>
      <c r="K332" s="24" cm="1">
        <f t="array" ref="K332">IF(D332="","",J332+I332)</f>
        <v>9.6056631704999997</v>
      </c>
      <c r="L332" s="24" cm="1">
        <f t="array" ref="L332">IF(D332=0,0,(D332-C332)*G332)</f>
        <v>-42.348294000000223</v>
      </c>
      <c r="M332" s="25">
        <v>6462.5109370250002</v>
      </c>
      <c r="N332" s="26" cm="1">
        <f t="array" ref="N332">IFERROR((K332-J332)/J332,"–")</f>
        <v>1.0066349583828775</v>
      </c>
      <c r="O332" s="24" cm="1">
        <f t="array" ref="O332">IF(D332=0,0,L332-K332)</f>
        <v>-51.953957170500225</v>
      </c>
      <c r="P332" s="23"/>
      <c r="Q332" s="27"/>
    </row>
    <row r="333" spans="1:17" ht="22.5" customHeight="1">
      <c r="A333" s="16" t="s">
        <v>115</v>
      </c>
      <c r="B333" s="42">
        <v>44419</v>
      </c>
      <c r="C333" s="36">
        <v>0.40699999999999997</v>
      </c>
      <c r="D333" s="36">
        <v>0.40649999999999997</v>
      </c>
      <c r="E333" s="30" cm="1">
        <f t="array" ref="E333">IF(D333="","",D333-C333)</f>
        <v>-5.0000000000000044E-4</v>
      </c>
      <c r="F333" s="31" cm="1">
        <f t="array" ref="F333">IF(D333=0,"",(D333-C333)/C333)</f>
        <v>-1.2285012285012298E-3</v>
      </c>
      <c r="G333" s="32">
        <v>5442.49</v>
      </c>
      <c r="H333" s="10">
        <v>1</v>
      </c>
      <c r="I333" s="11" cm="1">
        <f t="array" ref="I333">IF(D333="","",(G333*C333)*0.00075)</f>
        <v>1.6613200724999999</v>
      </c>
      <c r="J333" s="11" cm="1">
        <f t="array" ref="J333">IF(D333="","",(G333*D333)*0.00075)</f>
        <v>1.6592791387499999</v>
      </c>
      <c r="K333" s="33" cm="1">
        <f t="array" ref="K333">IF(D333="","",J333+I333)</f>
        <v>3.3205992112499998</v>
      </c>
      <c r="L333" s="33" cm="1">
        <f t="array" ref="L333">IF(D333=0,0,(D333-C333)*G333)</f>
        <v>-2.7212450000000024</v>
      </c>
      <c r="M333" s="12">
        <v>2216.1553958612499</v>
      </c>
      <c r="N333" s="34" cm="1">
        <f t="array" ref="N333">IFERROR((K333-J333)/J333,"–")</f>
        <v>1.001230012300123</v>
      </c>
      <c r="O333" s="33" cm="1">
        <f t="array" ref="O333">IF(D333=0,0,L333-K333)</f>
        <v>-6.0418442112500017</v>
      </c>
      <c r="P333" s="11"/>
      <c r="Q333" s="35"/>
    </row>
    <row r="334" spans="1:17" ht="22.5" customHeight="1">
      <c r="A334" s="16" t="s">
        <v>115</v>
      </c>
      <c r="B334" s="43">
        <v>44419</v>
      </c>
      <c r="C334" s="37">
        <v>0.40699999999999997</v>
      </c>
      <c r="D334" s="37">
        <v>0.40799999999999997</v>
      </c>
      <c r="E334" s="19" cm="1">
        <f t="array" ref="E334">IF(D334="","",D334-C334)</f>
        <v>1.0000000000000009E-3</v>
      </c>
      <c r="F334" s="20" cm="1">
        <f t="array" ref="F334">IF(D334=0,"",(D334-C334)/C334)</f>
        <v>2.4570024570024595E-3</v>
      </c>
      <c r="G334" s="21">
        <v>8349.07</v>
      </c>
      <c r="H334" s="22">
        <v>1</v>
      </c>
      <c r="I334" s="23" cm="1">
        <f t="array" ref="I334">IF(D334="","",(G334*C334)*0.00075)</f>
        <v>2.5485536175000001</v>
      </c>
      <c r="J334" s="23" cm="1">
        <f t="array" ref="J334">IF(D334="","",(G334*D334)*0.00075)</f>
        <v>2.5548154199999997</v>
      </c>
      <c r="K334" s="24" cm="1">
        <f t="array" ref="K334">IF(D334="","",J334+I334)</f>
        <v>5.1033690375000003</v>
      </c>
      <c r="L334" s="24" cm="1">
        <f t="array" ref="L334">IF(D334=0,0,(D334-C334)*G334)</f>
        <v>8.3490700000000064</v>
      </c>
      <c r="M334" s="25">
        <v>3387.16760458</v>
      </c>
      <c r="N334" s="26" cm="1">
        <f t="array" ref="N334">IFERROR((K334-J334)/J334,"–")</f>
        <v>0.99754901960784348</v>
      </c>
      <c r="O334" s="24" cm="1">
        <f t="array" ref="O334">IF(D334=0,0,L334-K334)</f>
        <v>3.2457009625000062</v>
      </c>
      <c r="P334" s="23"/>
      <c r="Q334" s="27"/>
    </row>
    <row r="335" spans="1:17" ht="22.5" customHeight="1">
      <c r="A335" s="16" t="s">
        <v>115</v>
      </c>
      <c r="B335" s="42">
        <v>44419</v>
      </c>
      <c r="C335" s="36">
        <v>0.40699999999999997</v>
      </c>
      <c r="D335" s="36">
        <v>0.40600000000000003</v>
      </c>
      <c r="E335" s="30" cm="1">
        <f t="array" ref="E335">IF(D335="","",D335-C335)</f>
        <v>-9.9999999999994538E-4</v>
      </c>
      <c r="F335" s="31" cm="1">
        <f t="array" ref="F335">IF(D335=0,"",(D335-C335)/C335)</f>
        <v>-2.4570024570023229E-3</v>
      </c>
      <c r="G335" s="32">
        <v>8831.5</v>
      </c>
      <c r="H335" s="10">
        <v>1</v>
      </c>
      <c r="I335" s="11" cm="1">
        <f t="array" ref="I335">IF(D335="","",(G335*C335)*0.00075)</f>
        <v>2.695815375</v>
      </c>
      <c r="J335" s="11" cm="1">
        <f t="array" ref="J335">IF(D335="","",(G335*D335)*0.00075)</f>
        <v>2.6891917500000004</v>
      </c>
      <c r="K335" s="33" cm="1">
        <f t="array" ref="K335">IF(D335="","",J335+I335)</f>
        <v>5.3850071250000004</v>
      </c>
      <c r="L335" s="33" cm="1">
        <f t="array" ref="L335">IF(D335=0,0,(D335-C335)*G335)</f>
        <v>-8.831499999999517</v>
      </c>
      <c r="M335" s="12">
        <v>3600.5628082500002</v>
      </c>
      <c r="N335" s="34" cm="1">
        <f t="array" ref="N335">IFERROR((K335-J335)/J335,"–")</f>
        <v>1.0024630541871919</v>
      </c>
      <c r="O335" s="33" cm="1">
        <f t="array" ref="O335">IF(D335=0,0,L335-K335)</f>
        <v>-14.216507124999517</v>
      </c>
      <c r="P335" s="11"/>
      <c r="Q335" s="35"/>
    </row>
    <row r="336" spans="1:17" ht="22.5" customHeight="1">
      <c r="A336" s="16" t="s">
        <v>115</v>
      </c>
      <c r="B336" s="43">
        <v>44419</v>
      </c>
      <c r="C336" s="37">
        <v>0.40699999999999997</v>
      </c>
      <c r="D336" s="37">
        <v>0.40500000000000003</v>
      </c>
      <c r="E336" s="19" cm="1">
        <f t="array" ref="E336">IF(D336="","",D336-C336)</f>
        <v>-1.9999999999999463E-3</v>
      </c>
      <c r="F336" s="20" cm="1">
        <f t="array" ref="F336">IF(D336=0,"",(D336-C336)/C336)</f>
        <v>-4.914004914004782E-3</v>
      </c>
      <c r="G336" s="21">
        <v>2235.23</v>
      </c>
      <c r="H336" s="22">
        <v>1</v>
      </c>
      <c r="I336" s="23" cm="1">
        <f t="array" ref="I336">IF(D336="","",(G336*C336)*0.00075)</f>
        <v>0.68230395750000006</v>
      </c>
      <c r="J336" s="23" cm="1">
        <f t="array" ref="J336">IF(D336="","",(G336*D336)*0.00075)</f>
        <v>0.67895111250000006</v>
      </c>
      <c r="K336" s="24" cm="1">
        <f t="array" ref="K336">IF(D336="","",J336+I336)</f>
        <v>1.3612550700000001</v>
      </c>
      <c r="L336" s="24" cm="1">
        <f t="array" ref="L336">IF(D336=0,0,(D336-C336)*G336)</f>
        <v>-4.4704599999998802</v>
      </c>
      <c r="M336" s="25">
        <v>913.53011888749995</v>
      </c>
      <c r="N336" s="26" cm="1">
        <f t="array" ref="N336">IFERROR((K336-J336)/J336,"–")</f>
        <v>1.0049382716049382</v>
      </c>
      <c r="O336" s="24" cm="1">
        <f t="array" ref="O336">IF(D336=0,0,L336-K336)</f>
        <v>-5.8317150699998805</v>
      </c>
      <c r="P336" s="23"/>
      <c r="Q336" s="27"/>
    </row>
    <row r="337" spans="1:17" ht="22.5" customHeight="1">
      <c r="A337" s="16" t="s">
        <v>115</v>
      </c>
      <c r="B337" s="42">
        <v>44419</v>
      </c>
      <c r="C337" s="36">
        <v>0.40699999999999997</v>
      </c>
      <c r="D337" s="36">
        <v>0.4027</v>
      </c>
      <c r="E337" s="30" cm="1">
        <f t="array" ref="E337">IF(D337="","",D337-C337)</f>
        <v>-4.2999999999999705E-3</v>
      </c>
      <c r="F337" s="31" cm="1">
        <f t="array" ref="F337">IF(D337=0,"",(D337-C337)/C337)</f>
        <v>-1.0565110565110494E-2</v>
      </c>
      <c r="G337" s="32">
        <v>2724.84</v>
      </c>
      <c r="H337" s="10">
        <v>1</v>
      </c>
      <c r="I337" s="11" cm="1">
        <f t="array" ref="I337">IF(D337="","",(G337*C337)*0.00075)</f>
        <v>0.83175741000000003</v>
      </c>
      <c r="J337" s="11" cm="1">
        <f t="array" ref="J337">IF(D337="","",(G337*D337)*0.00075)</f>
        <v>0.82296980100000017</v>
      </c>
      <c r="K337" s="33" cm="1">
        <f t="array" ref="K337">IF(D337="","",J337+I337)</f>
        <v>1.6547272110000002</v>
      </c>
      <c r="L337" s="33" cm="1">
        <f t="array" ref="L337">IF(D337=0,0,(D337-C337)*G337)</f>
        <v>-11.716811999999921</v>
      </c>
      <c r="M337" s="12">
        <v>1119.903722199</v>
      </c>
      <c r="N337" s="34" cm="1">
        <f t="array" ref="N337">IFERROR((K337-J337)/J337,"–")</f>
        <v>1.0106779240129127</v>
      </c>
      <c r="O337" s="33" cm="1">
        <f t="array" ref="O337">IF(D337=0,0,L337-K337)</f>
        <v>-13.371539210999922</v>
      </c>
      <c r="P337" s="11"/>
      <c r="Q337" s="35"/>
    </row>
    <row r="338" spans="1:17" ht="22.5" customHeight="1">
      <c r="A338" s="16" t="s">
        <v>122</v>
      </c>
      <c r="B338" s="43">
        <v>44419</v>
      </c>
      <c r="C338" s="37">
        <v>2.0434000000000001</v>
      </c>
      <c r="D338" s="37">
        <v>2.0501</v>
      </c>
      <c r="E338" s="19" cm="1">
        <f t="array" ref="E338">IF(D338="","",D338-C338)</f>
        <v>6.6999999999999282E-3</v>
      </c>
      <c r="F338" s="20" cm="1">
        <f t="array" ref="F338">IF(D338=0,"",(D338-C338)/C338)</f>
        <v>3.2788489771948359E-3</v>
      </c>
      <c r="G338" s="21">
        <v>3007.82</v>
      </c>
      <c r="H338" s="22">
        <v>1</v>
      </c>
      <c r="I338" s="23" cm="1">
        <f t="array" ref="I338">IF(D338="","",(G338*C338)*0.00075)</f>
        <v>4.6096345410000001</v>
      </c>
      <c r="J338" s="23" cm="1">
        <f t="array" ref="J338">IF(D338="","",(G338*D338)*0.00075)</f>
        <v>4.6247488365000002</v>
      </c>
      <c r="K338" s="24" cm="1">
        <f t="array" ref="K338">IF(D338="","",J338+I338)</f>
        <v>9.2343833775000004</v>
      </c>
      <c r="L338" s="24" cm="1">
        <f t="array" ref="L338">IF(D338=0,0,(D338-C338)*G338)</f>
        <v>20.152393999999784</v>
      </c>
      <c r="M338" s="25">
        <v>6121.4022451635001</v>
      </c>
      <c r="N338" s="26" cm="1">
        <f t="array" ref="N338">IFERROR((K338-J338)/J338,"–")</f>
        <v>0.99673186673820791</v>
      </c>
      <c r="O338" s="24" cm="1">
        <f t="array" ref="O338">IF(D338=0,0,L338-K338)</f>
        <v>10.918010622499784</v>
      </c>
      <c r="P338" s="23"/>
      <c r="Q338" s="27"/>
    </row>
    <row r="339" spans="1:17" ht="22.5" customHeight="1">
      <c r="A339" s="16" t="s">
        <v>83</v>
      </c>
      <c r="B339" s="42">
        <v>44419</v>
      </c>
      <c r="C339" s="36">
        <v>0.03</v>
      </c>
      <c r="D339" s="36">
        <v>3.0360999999999999E-2</v>
      </c>
      <c r="E339" s="30" cm="1">
        <f t="array" ref="E339">IF(D339="","",D339-C339)</f>
        <v>3.6100000000000021E-4</v>
      </c>
      <c r="F339" s="31" cm="1">
        <f t="array" ref="F339">IF(D339=0,"",(D339-C339)/C339)</f>
        <v>1.203333333333334E-2</v>
      </c>
      <c r="G339" s="32">
        <v>318750</v>
      </c>
      <c r="H339" s="10">
        <v>1</v>
      </c>
      <c r="I339" s="11" cm="1">
        <f t="array" ref="I339">IF(D339="","",(G339*C339)*0.00075)</f>
        <v>7.171875</v>
      </c>
      <c r="J339" s="11" cm="1">
        <f t="array" ref="J339">IF(D339="","",(G339*D339)*0.00075)</f>
        <v>7.2581765625000001</v>
      </c>
      <c r="K339" s="33" cm="1">
        <f t="array" ref="K339">IF(D339="","",J339+I339)</f>
        <v>14.430051562500001</v>
      </c>
      <c r="L339" s="33" cm="1">
        <f t="array" ref="L339">IF(D339=0,0,(D339-C339)*G339)</f>
        <v>115.06875000000007</v>
      </c>
      <c r="M339" s="12">
        <v>9440.1730734374996</v>
      </c>
      <c r="N339" s="34" cm="1">
        <f t="array" ref="N339">IFERROR((K339-J339)/J339,"–")</f>
        <v>0.98810974605579538</v>
      </c>
      <c r="O339" s="33" cm="1">
        <f t="array" ref="O339">IF(D339=0,0,L339-K339)</f>
        <v>100.63869843750007</v>
      </c>
      <c r="P339" s="11"/>
      <c r="Q339" s="35"/>
    </row>
    <row r="340" spans="1:17" ht="22.5" customHeight="1">
      <c r="A340" s="16" t="s">
        <v>83</v>
      </c>
      <c r="B340" s="43">
        <v>44419</v>
      </c>
      <c r="C340" s="37">
        <v>0.03</v>
      </c>
      <c r="D340" s="37">
        <v>0.03</v>
      </c>
      <c r="E340" s="19" cm="1">
        <f t="array" ref="E340">IF(D340="","",D340-C340)</f>
        <v>0</v>
      </c>
      <c r="F340" s="20" cm="1">
        <f t="array" ref="F340">IF(D340=0,"",(D340-C340)/C340)</f>
        <v>0</v>
      </c>
      <c r="G340" s="21">
        <v>531250</v>
      </c>
      <c r="H340" s="22">
        <v>1</v>
      </c>
      <c r="I340" s="23" cm="1">
        <f t="array" ref="I340">IF(D340="","",(G340*C340)*0.00075)</f>
        <v>11.953125</v>
      </c>
      <c r="J340" s="23" cm="1">
        <f t="array" ref="J340">IF(D340="","",(G340*D340)*0.00075)</f>
        <v>11.953125</v>
      </c>
      <c r="K340" s="24" cm="1">
        <f t="array" ref="K340">IF(D340="","",J340+I340)</f>
        <v>23.90625</v>
      </c>
      <c r="L340" s="24" cm="1">
        <f t="array" ref="L340">IF(D340=0,0,(D340-C340)*G340)</f>
        <v>0</v>
      </c>
      <c r="M340" s="25">
        <v>15925.546875</v>
      </c>
      <c r="N340" s="26" cm="1">
        <f t="array" ref="N340">IFERROR((K340-J340)/J340,"–")</f>
        <v>1</v>
      </c>
      <c r="O340" s="24" cm="1">
        <f t="array" ref="O340">IF(D340=0,0,L340-K340)</f>
        <v>-23.90625</v>
      </c>
      <c r="P340" s="23"/>
      <c r="Q340" s="27"/>
    </row>
    <row r="341" spans="1:17" ht="22.5" customHeight="1">
      <c r="A341" s="16" t="s">
        <v>83</v>
      </c>
      <c r="B341" s="42">
        <v>44419</v>
      </c>
      <c r="C341" s="36">
        <v>3.0154E-2</v>
      </c>
      <c r="D341" s="36">
        <v>0.03</v>
      </c>
      <c r="E341" s="30" cm="1">
        <f t="array" ref="E341">IF(D341="","",D341-C341)</f>
        <v>-1.5400000000000136E-4</v>
      </c>
      <c r="F341" s="31" cm="1">
        <f t="array" ref="F341">IF(D341=0,"",(D341-C341)/C341)</f>
        <v>-5.1071168004245323E-3</v>
      </c>
      <c r="G341" s="32">
        <v>214216</v>
      </c>
      <c r="H341" s="10">
        <v>1</v>
      </c>
      <c r="I341" s="11" cm="1">
        <f t="array" ref="I341">IF(D341="","",(G341*C341)*0.00075)</f>
        <v>4.8446019480000002</v>
      </c>
      <c r="J341" s="11" cm="1">
        <f t="array" ref="J341">IF(D341="","",(G341*D341)*0.00075)</f>
        <v>4.8198599999999994</v>
      </c>
      <c r="K341" s="33" cm="1">
        <f t="array" ref="K341">IF(D341="","",J341+I341)</f>
        <v>9.6644619479999996</v>
      </c>
      <c r="L341" s="33" cm="1">
        <f t="array" ref="L341">IF(D341=0,0,(D341-C341)*G341)</f>
        <v>-32.98926400000029</v>
      </c>
      <c r="M341" s="12">
        <v>6487.6386679999996</v>
      </c>
      <c r="N341" s="34" cm="1">
        <f t="array" ref="N341">IFERROR((K341-J341)/J341,"–")</f>
        <v>1.0051333333333334</v>
      </c>
      <c r="O341" s="33" cm="1">
        <f t="array" ref="O341">IF(D341=0,0,L341-K341)</f>
        <v>-42.653725948000286</v>
      </c>
      <c r="P341" s="11"/>
      <c r="Q341" s="35"/>
    </row>
    <row r="342" spans="1:17" ht="22.5" customHeight="1">
      <c r="A342" s="16" t="s">
        <v>98</v>
      </c>
      <c r="B342" s="43">
        <v>44419</v>
      </c>
      <c r="C342" s="37">
        <v>1.1968000000000001</v>
      </c>
      <c r="D342" s="37">
        <v>1.2005999999999999</v>
      </c>
      <c r="E342" s="19" cm="1">
        <f t="array" ref="E342">IF(D342="","",D342-C342)</f>
        <v>3.7999999999998035E-3</v>
      </c>
      <c r="F342" s="20" cm="1">
        <f t="array" ref="F342">IF(D342=0,"",(D342-C342)/C342)</f>
        <v>3.1751336898394079E-3</v>
      </c>
      <c r="G342" s="21">
        <v>21433.14</v>
      </c>
      <c r="H342" s="22">
        <v>1</v>
      </c>
      <c r="I342" s="23" cm="1">
        <f t="array" ref="I342">IF(D342="","",(G342*C342)*0.00075)</f>
        <v>19.238386464000001</v>
      </c>
      <c r="J342" s="23" cm="1">
        <f t="array" ref="J342">IF(D342="","",(G342*D342)*0.00075)</f>
        <v>19.299470913</v>
      </c>
      <c r="K342" s="24" cm="1">
        <f t="array" ref="K342">IF(D342="","",J342+I342)</f>
        <v>38.537857377000002</v>
      </c>
      <c r="L342" s="24" cm="1">
        <f t="array" ref="L342">IF(D342=0,0,(D342-C342)*G342)</f>
        <v>81.445931999995793</v>
      </c>
      <c r="M342" s="25">
        <v>25550.436549087</v>
      </c>
      <c r="N342" s="26" cm="1">
        <f t="array" ref="N342">IFERROR((K342-J342)/J342,"–")</f>
        <v>0.99683491587539563</v>
      </c>
      <c r="O342" s="24" cm="1">
        <f t="array" ref="O342">IF(D342=0,0,L342-K342)</f>
        <v>42.908074622995791</v>
      </c>
      <c r="P342" s="23"/>
      <c r="Q342" s="27"/>
    </row>
    <row r="343" spans="1:17" ht="22.5" customHeight="1">
      <c r="A343" s="16" t="s">
        <v>119</v>
      </c>
      <c r="B343" s="42">
        <v>44419</v>
      </c>
      <c r="C343" s="36">
        <v>9.8489999999999994E-2</v>
      </c>
      <c r="D343" s="36">
        <v>9.8809999999999995E-2</v>
      </c>
      <c r="E343" s="30" cm="1">
        <f t="array" ref="E343">IF(D343="","",D343-C343)</f>
        <v>3.2000000000000084E-4</v>
      </c>
      <c r="F343" s="31" cm="1">
        <f t="array" ref="F343">IF(D343=0,"",(D343-C343)/C343)</f>
        <v>3.2490608183572025E-3</v>
      </c>
      <c r="G343" s="32">
        <v>203080</v>
      </c>
      <c r="H343" s="10">
        <v>1</v>
      </c>
      <c r="I343" s="11" cm="1">
        <f t="array" ref="I343">IF(D343="","",(G343*C343)*0.00075)</f>
        <v>15.0010119</v>
      </c>
      <c r="J343" s="11" cm="1">
        <f t="array" ref="J343">IF(D343="","",(G343*D343)*0.00075)</f>
        <v>15.0497511</v>
      </c>
      <c r="K343" s="33" cm="1">
        <f t="array" ref="K343">IF(D343="","",J343+I343)</f>
        <v>30.050763</v>
      </c>
      <c r="L343" s="33" cm="1">
        <f t="array" ref="L343">IF(D343=0,0,(D343-C343)*G343)</f>
        <v>64.985600000000176</v>
      </c>
      <c r="M343" s="12">
        <v>19921.313848900001</v>
      </c>
      <c r="N343" s="34" cm="1">
        <f t="array" ref="N343">IFERROR((K343-J343)/J343,"–")</f>
        <v>0.99676146139054755</v>
      </c>
      <c r="O343" s="33" cm="1">
        <f t="array" ref="O343">IF(D343=0,0,L343-K343)</f>
        <v>34.934837000000172</v>
      </c>
      <c r="P343" s="11"/>
      <c r="Q343" s="35"/>
    </row>
    <row r="344" spans="1:17" ht="22.5" customHeight="1">
      <c r="A344" s="16" t="s">
        <v>123</v>
      </c>
      <c r="B344" s="43">
        <v>44420</v>
      </c>
      <c r="C344" s="37">
        <v>2.8338999999999999</v>
      </c>
      <c r="D344" s="37">
        <v>2.8502000000000001</v>
      </c>
      <c r="E344" s="19" cm="1">
        <f t="array" ref="E344">IF(D344="","",D344-C344)</f>
        <v>1.6300000000000203E-2</v>
      </c>
      <c r="F344" s="20" cm="1">
        <f t="array" ref="F344">IF(D344=0,"",(D344-C344)/C344)</f>
        <v>5.7517908183069991E-3</v>
      </c>
      <c r="G344" s="21">
        <v>7057.65</v>
      </c>
      <c r="H344" s="22">
        <v>1</v>
      </c>
      <c r="I344" s="23" cm="1">
        <f t="array" ref="I344">IF(D344="","",(G344*C344)*0.00075)</f>
        <v>15.00050575125</v>
      </c>
      <c r="J344" s="23" cm="1">
        <f t="array" ref="J344">IF(D344="","",(G344*D344)*0.00075)</f>
        <v>15.0867855225</v>
      </c>
      <c r="K344" s="24" cm="1">
        <f t="array" ref="K344">IF(D344="","",J344+I344)</f>
        <v>30.087291273749997</v>
      </c>
      <c r="L344" s="24" cm="1">
        <f t="array" ref="L344">IF(D344=0,0,(D344-C344)*G344)</f>
        <v>115.03969500000143</v>
      </c>
      <c r="M344" s="25">
        <v>19870.5478544775</v>
      </c>
      <c r="N344" s="26" cm="1">
        <f t="array" ref="N344">IFERROR((K344-J344)/J344,"–")</f>
        <v>0.99428110308048545</v>
      </c>
      <c r="O344" s="24" cm="1">
        <f t="array" ref="O344">IF(D344=0,0,L344-K344)</f>
        <v>84.952403726251433</v>
      </c>
      <c r="P344" s="23"/>
      <c r="Q344" s="27"/>
    </row>
    <row r="345" spans="1:17" ht="22.5" customHeight="1">
      <c r="A345" s="16" t="s">
        <v>124</v>
      </c>
      <c r="B345" s="42">
        <v>44420</v>
      </c>
      <c r="C345" s="36">
        <v>1.5269999999999999</v>
      </c>
      <c r="D345" s="36">
        <v>1.5355000000000001</v>
      </c>
      <c r="E345" s="30" cm="1">
        <f t="array" ref="E345">IF(D345="","",D345-C345)</f>
        <v>8.5000000000001741E-3</v>
      </c>
      <c r="F345" s="31" cm="1">
        <f t="array" ref="F345">IF(D345=0,"",(D345-C345)/C345)</f>
        <v>5.5664702030125569E-3</v>
      </c>
      <c r="G345" s="32">
        <v>13104.296</v>
      </c>
      <c r="H345" s="10">
        <v>1</v>
      </c>
      <c r="I345" s="11" cm="1">
        <f t="array" ref="I345">IF(D345="","",(G345*C345)*0.00075)</f>
        <v>15.007694994</v>
      </c>
      <c r="J345" s="11" cm="1">
        <f t="array" ref="J345">IF(D345="","",(G345*D345)*0.00075)</f>
        <v>15.091234881000002</v>
      </c>
      <c r="K345" s="33" cm="1">
        <f t="array" ref="K345">IF(D345="","",J345+I345)</f>
        <v>30.098929875000003</v>
      </c>
      <c r="L345" s="33" cm="1">
        <f t="array" ref="L345">IF(D345=0,0,(D345-C345)*G345)</f>
        <v>111.38651600000229</v>
      </c>
      <c r="M345" s="12">
        <v>19883.782241118999</v>
      </c>
      <c r="N345" s="34" cm="1">
        <f t="array" ref="N345">IFERROR((K345-J345)/J345,"–")</f>
        <v>0.99446434386193416</v>
      </c>
      <c r="O345" s="33" cm="1">
        <f t="array" ref="O345">IF(D345=0,0,L345-K345)</f>
        <v>81.287586125002292</v>
      </c>
      <c r="P345" s="11"/>
      <c r="Q345" s="35"/>
    </row>
    <row r="346" spans="1:17" ht="22.5" customHeight="1">
      <c r="A346" s="16" t="s">
        <v>30</v>
      </c>
      <c r="B346" s="43">
        <v>44420</v>
      </c>
      <c r="C346" s="37">
        <v>44119.01</v>
      </c>
      <c r="D346" s="37">
        <v>44401</v>
      </c>
      <c r="E346" s="19" cm="1">
        <f t="array" ref="E346">IF(D346="","",D346-C346)</f>
        <v>281.98999999999796</v>
      </c>
      <c r="F346" s="20" cm="1">
        <f t="array" ref="F346">IF(D346=0,"",(D346-C346)/C346)</f>
        <v>6.3915758762492164E-3</v>
      </c>
      <c r="G346" s="21">
        <v>2.2659999999999998E-3</v>
      </c>
      <c r="H346" s="22">
        <v>1</v>
      </c>
      <c r="I346" s="23" cm="1">
        <f t="array" ref="I346">IF(D346="","",(G346*C346)*0.00075)</f>
        <v>7.4980257494999994E-2</v>
      </c>
      <c r="J346" s="23" cm="1">
        <f t="array" ref="J346">IF(D346="","",(G346*D346)*0.00075)</f>
        <v>7.5459499499999999E-2</v>
      </c>
      <c r="K346" s="24" cm="1">
        <f t="array" ref="K346">IF(D346="","",J346+I346)</f>
        <v>0.15043975699500001</v>
      </c>
      <c r="L346" s="24" cm="1">
        <f t="array" ref="L346">IF(D346=0,0,(D346-C346)*G346)</f>
        <v>0.6389893399999953</v>
      </c>
      <c r="M346" s="25">
        <v>99.259227820500001</v>
      </c>
      <c r="N346" s="26" cm="1">
        <f t="array" ref="N346">IFERROR((K346-J346)/J346,"–")</f>
        <v>0.99364901691403362</v>
      </c>
      <c r="O346" s="24" cm="1">
        <f t="array" ref="O346">IF(D346=0,0,L346-K346)</f>
        <v>0.48854958300499529</v>
      </c>
      <c r="P346" s="23"/>
      <c r="Q346" s="27"/>
    </row>
    <row r="347" spans="1:17" ht="22.5" customHeight="1">
      <c r="A347" s="16" t="s">
        <v>30</v>
      </c>
      <c r="B347" s="42">
        <v>44420</v>
      </c>
      <c r="C347" s="36">
        <v>44385.51</v>
      </c>
      <c r="D347" s="36">
        <v>44401</v>
      </c>
      <c r="E347" s="30" cm="1">
        <f t="array" ref="E347">IF(D347="","",D347-C347)</f>
        <v>15.489999999997963</v>
      </c>
      <c r="F347" s="31" cm="1">
        <f t="array" ref="F347">IF(D347=0,"",(D347-C347)/C347)</f>
        <v>3.4898776650303133E-4</v>
      </c>
      <c r="G347" s="32">
        <v>0.291937</v>
      </c>
      <c r="H347" s="10">
        <v>1</v>
      </c>
      <c r="I347" s="11" cm="1">
        <f t="array" ref="I347">IF(D347="","",(G347*C347)*0.00075)</f>
        <v>9.7183294746525011</v>
      </c>
      <c r="J347" s="11" cm="1">
        <f t="array" ref="J347">IF(D347="","",(G347*D347)*0.00075)</f>
        <v>9.7217210527500004</v>
      </c>
      <c r="K347" s="33" cm="1">
        <f t="array" ref="K347">IF(D347="","",J347+I347)</f>
        <v>19.440050527402502</v>
      </c>
      <c r="L347" s="33" cm="1">
        <f t="array" ref="L347">IF(D347=0,0,(D347-C347)*G347)</f>
        <v>4.5221041299994056</v>
      </c>
      <c r="M347" s="12">
        <v>12943.5288076873</v>
      </c>
      <c r="N347" s="34" cm="1">
        <f t="array" ref="N347">IFERROR((K347-J347)/J347,"–")</f>
        <v>0.99965113398346894</v>
      </c>
      <c r="O347" s="33" cm="1">
        <f t="array" ref="O347">IF(D347=0,0,L347-K347)</f>
        <v>-14.917946397403096</v>
      </c>
      <c r="P347" s="11"/>
      <c r="Q347" s="35"/>
    </row>
    <row r="348" spans="1:17" ht="22.5" customHeight="1">
      <c r="A348" s="16" t="s">
        <v>30</v>
      </c>
      <c r="B348" s="43">
        <v>44420</v>
      </c>
      <c r="C348" s="37">
        <v>44388.98</v>
      </c>
      <c r="D348" s="37">
        <v>44401</v>
      </c>
      <c r="E348" s="19" cm="1">
        <f t="array" ref="E348">IF(D348="","",D348-C348)</f>
        <v>12.019999999996799</v>
      </c>
      <c r="F348" s="20" cm="1">
        <f t="array" ref="F348">IF(D348=0,"",(D348-C348)/C348)</f>
        <v>2.7078792979691799E-4</v>
      </c>
      <c r="G348" s="21">
        <v>0.29191299999999998</v>
      </c>
      <c r="H348" s="22">
        <v>1</v>
      </c>
      <c r="I348" s="23" cm="1">
        <f t="array" ref="I348">IF(D348="","",(G348*C348)*0.00075)</f>
        <v>9.7182902390549994</v>
      </c>
      <c r="J348" s="23" cm="1">
        <f t="array" ref="J348">IF(D348="","",(G348*D348)*0.00075)</f>
        <v>9.7209218347499995</v>
      </c>
      <c r="K348" s="24" cm="1">
        <f t="array" ref="K348">IF(D348="","",J348+I348)</f>
        <v>19.439212073804999</v>
      </c>
      <c r="L348" s="24" cm="1">
        <f t="array" ref="L348">IF(D348=0,0,(D348-C348)*G348)</f>
        <v>3.5087942599990654</v>
      </c>
      <c r="M348" s="25">
        <v>12944.490602645301</v>
      </c>
      <c r="N348" s="26" cm="1">
        <f t="array" ref="N348">IFERROR((K348-J348)/J348,"–")</f>
        <v>0.99972928537645545</v>
      </c>
      <c r="O348" s="24" cm="1">
        <f t="array" ref="O348">IF(D348=0,0,L348-K348)</f>
        <v>-15.930417813805933</v>
      </c>
      <c r="P348" s="23"/>
      <c r="Q348" s="27"/>
    </row>
    <row r="349" spans="1:17" ht="22.5" customHeight="1">
      <c r="A349" s="16" t="s">
        <v>83</v>
      </c>
      <c r="B349" s="42">
        <v>44421</v>
      </c>
      <c r="C349" s="36">
        <v>3.0568000000000001E-2</v>
      </c>
      <c r="D349" s="36">
        <v>3.04E-2</v>
      </c>
      <c r="E349" s="30" cm="1">
        <f t="array" ref="E349">IF(D349="","",D349-C349)</f>
        <v>-1.6800000000000148E-4</v>
      </c>
      <c r="F349" s="31" cm="1">
        <f t="array" ref="F349">IF(D349=0,"",(D349-C349)/C349)</f>
        <v>-5.495943470295782E-3</v>
      </c>
      <c r="G349" s="32">
        <v>847309</v>
      </c>
      <c r="H349" s="10">
        <v>1</v>
      </c>
      <c r="I349" s="11" cm="1">
        <f t="array" ref="I349">IF(D349="","",(G349*C349)*0.00075)</f>
        <v>19.425406133999999</v>
      </c>
      <c r="J349" s="11" cm="1">
        <f t="array" ref="J349">IF(D349="","",(G349*D349)*0.00075)</f>
        <v>19.318645199999999</v>
      </c>
      <c r="K349" s="33" cm="1">
        <f t="array" ref="K349">IF(D349="","",J349+I349)</f>
        <v>38.744051333999998</v>
      </c>
      <c r="L349" s="33" cm="1">
        <f t="array" ref="L349">IF(D349=0,0,(D349-C349)*G349)</f>
        <v>-142.34791200000126</v>
      </c>
      <c r="M349" s="12">
        <v>26023.5707788</v>
      </c>
      <c r="N349" s="34" cm="1">
        <f t="array" ref="N349">IFERROR((K349-J349)/J349,"–")</f>
        <v>1.0055263157894736</v>
      </c>
      <c r="O349" s="33" cm="1">
        <f t="array" ref="O349">IF(D349=0,0,L349-K349)</f>
        <v>-181.09196333400126</v>
      </c>
      <c r="P349" s="11"/>
      <c r="Q349" s="35"/>
    </row>
    <row r="350" spans="1:17" ht="22.5" customHeight="1">
      <c r="A350" s="16" t="s">
        <v>22</v>
      </c>
      <c r="B350" s="43">
        <v>44421</v>
      </c>
      <c r="C350" s="37">
        <v>18.163</v>
      </c>
      <c r="D350" s="37">
        <v>18.263999999999999</v>
      </c>
      <c r="E350" s="19" cm="1">
        <f t="array" ref="E350">IF(D350="","",D350-C350)</f>
        <v>0.10099999999999909</v>
      </c>
      <c r="F350" s="20" cm="1">
        <f t="array" ref="F350">IF(D350=0,"",(D350-C350)/C350)</f>
        <v>5.5607553818201334E-3</v>
      </c>
      <c r="G350" s="21">
        <v>702.00099999999998</v>
      </c>
      <c r="H350" s="22">
        <v>1</v>
      </c>
      <c r="I350" s="23" cm="1">
        <f t="array" ref="I350">IF(D350="","",(G350*C350)*0.00075)</f>
        <v>9.5628331222499998</v>
      </c>
      <c r="J350" s="23" cm="1">
        <f t="array" ref="J350">IF(D350="","",(G350*D350)*0.00075)</f>
        <v>9.6160096979999992</v>
      </c>
      <c r="K350" s="24" cm="1">
        <f t="array" ref="K350">IF(D350="","",J350+I350)</f>
        <v>19.178842820249997</v>
      </c>
      <c r="L350" s="24" cm="1">
        <f t="array" ref="L350">IF(D350=0,0,(D350-C350)*G350)</f>
        <v>70.902100999999362</v>
      </c>
      <c r="M350" s="25">
        <v>12669.926052302</v>
      </c>
      <c r="N350" s="26" cm="1">
        <f t="array" ref="N350">IFERROR((K350-J350)/J350,"–")</f>
        <v>0.99446999561979843</v>
      </c>
      <c r="O350" s="24" cm="1">
        <f t="array" ref="O350">IF(D350=0,0,L350-K350)</f>
        <v>51.723258179749365</v>
      </c>
      <c r="P350" s="23"/>
      <c r="Q350" s="27"/>
    </row>
    <row r="351" spans="1:17" ht="22.5" customHeight="1">
      <c r="A351" s="16" t="s">
        <v>22</v>
      </c>
      <c r="B351" s="42">
        <v>44421</v>
      </c>
      <c r="C351" s="36">
        <v>18.163</v>
      </c>
      <c r="D351" s="36">
        <v>18.38</v>
      </c>
      <c r="E351" s="30" cm="1">
        <f t="array" ref="E351">IF(D351="","",D351-C351)</f>
        <v>0.21699999999999875</v>
      </c>
      <c r="F351" s="31" cm="1">
        <f t="array" ref="F351">IF(D351=0,"",(D351-C351)/C351)</f>
        <v>1.1947365523316563E-2</v>
      </c>
      <c r="G351" s="32">
        <v>702.00199999999995</v>
      </c>
      <c r="H351" s="10">
        <v>1</v>
      </c>
      <c r="I351" s="11" cm="1">
        <f t="array" ref="I351">IF(D351="","",(G351*C351)*0.00075)</f>
        <v>9.5628467444999998</v>
      </c>
      <c r="J351" s="11" cm="1">
        <f t="array" ref="J351">IF(D351="","",(G351*D351)*0.00075)</f>
        <v>9.677097569999999</v>
      </c>
      <c r="K351" s="33" cm="1">
        <f t="array" ref="K351">IF(D351="","",J351+I351)</f>
        <v>19.239944314500001</v>
      </c>
      <c r="L351" s="33" cm="1">
        <f t="array" ref="L351">IF(D351=0,0,(D351-C351)*G351)</f>
        <v>152.33443399999911</v>
      </c>
      <c r="M351" s="12">
        <v>12588.45079443</v>
      </c>
      <c r="N351" s="34" cm="1">
        <f t="array" ref="N351">IFERROR((K351-J351)/J351,"–")</f>
        <v>0.98819368879216563</v>
      </c>
      <c r="O351" s="33" cm="1">
        <f t="array" ref="O351">IF(D351=0,0,L351-K351)</f>
        <v>133.0944896854991</v>
      </c>
      <c r="P351" s="11"/>
      <c r="Q351" s="35"/>
    </row>
    <row r="352" spans="1:17" ht="22.5" customHeight="1">
      <c r="A352" s="16" t="s">
        <v>125</v>
      </c>
      <c r="B352" s="43">
        <v>44421</v>
      </c>
      <c r="C352" s="37">
        <v>7.84</v>
      </c>
      <c r="D352" s="37">
        <v>7.6909999999999998</v>
      </c>
      <c r="E352" s="19" cm="1">
        <f t="array" ref="E352">IF(D352="","",D352-C352)</f>
        <v>-0.14900000000000002</v>
      </c>
      <c r="F352" s="20" cm="1">
        <f t="array" ref="F352">IF(D352=0,"",(D352-C352)/C352)</f>
        <v>-1.9005102040816329E-2</v>
      </c>
      <c r="G352" s="21">
        <v>1645.5309999999999</v>
      </c>
      <c r="H352" s="22">
        <v>1</v>
      </c>
      <c r="I352" s="23" cm="1">
        <f t="array" ref="I352">IF(D352="","",(G352*C352)*0.00075)</f>
        <v>9.6757222799999987</v>
      </c>
      <c r="J352" s="23" cm="1">
        <f t="array" ref="J352">IF(D352="","",(G352*D352)*0.00075)</f>
        <v>9.4918341907499997</v>
      </c>
      <c r="K352" s="24" cm="1">
        <f t="array" ref="K352">IF(D352="","",J352+I352)</f>
        <v>19.16755647075</v>
      </c>
      <c r="L352" s="24" cm="1">
        <f t="array" ref="L352">IF(D352=0,0,(D352-C352)*G352)</f>
        <v>-245.18411900000004</v>
      </c>
      <c r="M352" s="25">
        <v>13136.655324809301</v>
      </c>
      <c r="N352" s="26" cm="1">
        <f t="array" ref="N352">IFERROR((K352-J352)/J352,"–")</f>
        <v>1.0193732934598883</v>
      </c>
      <c r="O352" s="24" cm="1">
        <f t="array" ref="O352">IF(D352=0,0,L352-K352)</f>
        <v>-264.35167547075002</v>
      </c>
      <c r="P352" s="23"/>
      <c r="Q352" s="27"/>
    </row>
    <row r="353" spans="1:17" ht="22.5" customHeight="1">
      <c r="A353" s="16" t="s">
        <v>125</v>
      </c>
      <c r="B353" s="42">
        <v>44421</v>
      </c>
      <c r="C353" s="36">
        <v>7.84</v>
      </c>
      <c r="D353" s="36">
        <v>7.67</v>
      </c>
      <c r="E353" s="30" cm="1">
        <f t="array" ref="E353">IF(D353="","",D353-C353)</f>
        <v>-0.16999999999999993</v>
      </c>
      <c r="F353" s="31" cm="1">
        <f t="array" ref="F353">IF(D353=0,"",(D353-C353)/C353)</f>
        <v>-2.1683673469387748E-2</v>
      </c>
      <c r="G353" s="32">
        <v>1645.5309999999999</v>
      </c>
      <c r="H353" s="10">
        <v>1</v>
      </c>
      <c r="I353" s="11" cm="1">
        <f t="array" ref="I353">IF(D353="","",(G353*C353)*0.00075)</f>
        <v>9.6757222799999987</v>
      </c>
      <c r="J353" s="11" cm="1">
        <f t="array" ref="J353">IF(D353="","",(G353*D353)*0.00075)</f>
        <v>9.4659170775000003</v>
      </c>
      <c r="K353" s="33" cm="1">
        <f t="array" ref="K353">IF(D353="","",J353+I353)</f>
        <v>19.141639357499997</v>
      </c>
      <c r="L353" s="33" cm="1">
        <f t="array" ref="L353">IF(D353=0,0,(D353-C353)*G353)</f>
        <v>-279.7402699999999</v>
      </c>
      <c r="M353" s="12">
        <v>13171.2373929225</v>
      </c>
      <c r="N353" s="34" cm="1">
        <f t="array" ref="N353">IFERROR((K353-J353)/J353,"–")</f>
        <v>1.0221642764015642</v>
      </c>
      <c r="O353" s="33" cm="1">
        <f t="array" ref="O353">IF(D353=0,0,L353-K353)</f>
        <v>-298.88190935749992</v>
      </c>
      <c r="P353" s="11"/>
      <c r="Q353" s="35"/>
    </row>
    <row r="354" spans="1:17" ht="22.5" customHeight="1">
      <c r="A354" s="16" t="s">
        <v>126</v>
      </c>
      <c r="B354" s="43">
        <v>44421</v>
      </c>
      <c r="C354" s="37">
        <v>0.31208999999999998</v>
      </c>
      <c r="D354" s="37">
        <v>0.31541000000000002</v>
      </c>
      <c r="E354" s="19" cm="1">
        <f t="array" ref="E354">IF(D354="","",D354-C354)</f>
        <v>3.3200000000000451E-3</v>
      </c>
      <c r="F354" s="20" cm="1">
        <f t="array" ref="F354">IF(D354=0,"",(D354-C354)/C354)</f>
        <v>1.0637956999583599E-2</v>
      </c>
      <c r="G354" s="21">
        <v>78182.8</v>
      </c>
      <c r="H354" s="22">
        <v>1</v>
      </c>
      <c r="I354" s="23" cm="1">
        <f t="array" ref="I354">IF(D354="","",(G354*C354)*0.00075)</f>
        <v>18.300052538999999</v>
      </c>
      <c r="J354" s="23" cm="1">
        <f t="array" ref="J354">IF(D354="","",(G354*D354)*0.00075)</f>
        <v>18.494727711000003</v>
      </c>
      <c r="K354" s="24" cm="1">
        <f t="array" ref="K354">IF(D354="","",J354+I354)</f>
        <v>36.794780250000002</v>
      </c>
      <c r="L354" s="24" cm="1">
        <f t="array" ref="L354">IF(D354=0,0,(D354-C354)*G354)</f>
        <v>259.56689600000357</v>
      </c>
      <c r="M354" s="25">
        <v>24122.008428288998</v>
      </c>
      <c r="N354" s="26" cm="1">
        <f t="array" ref="N354">IFERROR((K354-J354)/J354,"–")</f>
        <v>0.98947401794489687</v>
      </c>
      <c r="O354" s="24" cm="1">
        <f t="array" ref="O354">IF(D354=0,0,L354-K354)</f>
        <v>222.77211575000356</v>
      </c>
      <c r="P354" s="23"/>
      <c r="Q354" s="27"/>
    </row>
    <row r="355" spans="1:17" ht="22.5" customHeight="1">
      <c r="A355" s="16" t="s">
        <v>127</v>
      </c>
      <c r="B355" s="42">
        <v>44421</v>
      </c>
      <c r="C355" s="36">
        <v>8.6539999999999999</v>
      </c>
      <c r="D355" s="36">
        <v>8.89</v>
      </c>
      <c r="E355" s="30" cm="1">
        <f t="array" ref="E355">IF(D355="","",D355-C355)</f>
        <v>0.23600000000000065</v>
      </c>
      <c r="F355" s="31" cm="1">
        <f t="array" ref="F355">IF(D355=0,"",(D355-C355)/C355)</f>
        <v>2.7270626299976966E-2</v>
      </c>
      <c r="G355" s="32">
        <v>1020.28</v>
      </c>
      <c r="H355" s="10">
        <v>1</v>
      </c>
      <c r="I355" s="11" cm="1">
        <f t="array" ref="I355">IF(D355="","",(G355*C355)*0.00075)</f>
        <v>6.6221273399999996</v>
      </c>
      <c r="J355" s="11" cm="1">
        <f t="array" ref="J355">IF(D355="","",(G355*D355)*0.00075)</f>
        <v>6.802716900000001</v>
      </c>
      <c r="K355" s="33" cm="1">
        <f t="array" ref="K355">IF(D355="","",J355+I355)</f>
        <v>13.424844240000001</v>
      </c>
      <c r="L355" s="33" cm="1">
        <f t="array" ref="L355">IF(D355=0,0,(D355-C355)*G355)</f>
        <v>240.78608000000065</v>
      </c>
      <c r="M355" s="12">
        <v>8581.9143230999998</v>
      </c>
      <c r="N355" s="34" cm="1">
        <f t="array" ref="N355">IFERROR((K355-J355)/J355,"–")</f>
        <v>0.97345331833520787</v>
      </c>
      <c r="O355" s="33" cm="1">
        <f t="array" ref="O355">IF(D355=0,0,L355-K355)</f>
        <v>227.36123576000065</v>
      </c>
      <c r="P355" s="11"/>
      <c r="Q355" s="35"/>
    </row>
    <row r="356" spans="1:17" ht="22.5" customHeight="1">
      <c r="A356" s="16" t="s">
        <v>127</v>
      </c>
      <c r="B356" s="43">
        <v>44421</v>
      </c>
      <c r="C356" s="37">
        <v>8.6539999999999999</v>
      </c>
      <c r="D356" s="37">
        <v>8.7149999999999999</v>
      </c>
      <c r="E356" s="19" cm="1">
        <f t="array" ref="E356">IF(D356="","",D356-C356)</f>
        <v>6.0999999999999943E-2</v>
      </c>
      <c r="F356" s="20" cm="1">
        <f t="array" ref="F356">IF(D356=0,"",(D356-C356)/C356)</f>
        <v>7.0487635775363933E-3</v>
      </c>
      <c r="G356" s="21">
        <v>708.38</v>
      </c>
      <c r="H356" s="22">
        <v>1</v>
      </c>
      <c r="I356" s="23" cm="1">
        <f t="array" ref="I356">IF(D356="","",(G356*C356)*0.00075)</f>
        <v>4.5977403900000002</v>
      </c>
      <c r="J356" s="23" cm="1">
        <f t="array" ref="J356">IF(D356="","",(G356*D356)*0.00075)</f>
        <v>4.6301487749999994</v>
      </c>
      <c r="K356" s="24" cm="1">
        <f t="array" ref="K356">IF(D356="","",J356+I356)</f>
        <v>9.2278891650000006</v>
      </c>
      <c r="L356" s="24" cm="1">
        <f t="array" ref="L356">IF(D356=0,0,(D356-C356)*G356)</f>
        <v>43.211179999999956</v>
      </c>
      <c r="M356" s="25">
        <v>6082.4791912250002</v>
      </c>
      <c r="N356" s="26" cm="1">
        <f t="array" ref="N356">IFERROR((K356-J356)/J356,"–")</f>
        <v>0.99300057372346562</v>
      </c>
      <c r="O356" s="24" cm="1">
        <f t="array" ref="O356">IF(D356=0,0,L356-K356)</f>
        <v>33.983290834999956</v>
      </c>
      <c r="P356" s="23"/>
      <c r="Q356" s="27"/>
    </row>
    <row r="357" spans="1:17" ht="22.5" customHeight="1">
      <c r="A357" s="16" t="s">
        <v>127</v>
      </c>
      <c r="B357" s="42">
        <v>44421</v>
      </c>
      <c r="C357" s="36">
        <v>8.6539999999999999</v>
      </c>
      <c r="D357" s="36">
        <v>8.7010000000000005</v>
      </c>
      <c r="E357" s="30" cm="1">
        <f t="array" ref="E357">IF(D357="","",D357-C357)</f>
        <v>4.7000000000000597E-2</v>
      </c>
      <c r="F357" s="31" cm="1">
        <f t="array" ref="F357">IF(D357=0,"",(D357-C357)/C357)</f>
        <v>5.4310145597412296E-3</v>
      </c>
      <c r="G357" s="32">
        <v>1104.8800000000001</v>
      </c>
      <c r="H357" s="10">
        <v>1</v>
      </c>
      <c r="I357" s="11" cm="1">
        <f t="array" ref="I357">IF(D357="","",(G357*C357)*0.00075)</f>
        <v>7.1712236400000009</v>
      </c>
      <c r="J357" s="11" cm="1">
        <f t="array" ref="J357">IF(D357="","",(G357*D357)*0.00075)</f>
        <v>7.2101706600000011</v>
      </c>
      <c r="K357" s="33" cm="1">
        <f t="array" ref="K357">IF(D357="","",J357+I357)</f>
        <v>14.381394300000002</v>
      </c>
      <c r="L357" s="33" cm="1">
        <f t="array" ref="L357">IF(D357=0,0,(D357-C357)*G357)</f>
        <v>51.929360000000663</v>
      </c>
      <c r="M357" s="12">
        <v>9502.4919893400001</v>
      </c>
      <c r="N357" s="34" cm="1">
        <f t="array" ref="N357">IFERROR((K357-J357)/J357,"–")</f>
        <v>0.99459832203195031</v>
      </c>
      <c r="O357" s="33" cm="1">
        <f t="array" ref="O357">IF(D357=0,0,L357-K357)</f>
        <v>37.54796570000066</v>
      </c>
      <c r="P357" s="11"/>
      <c r="Q357" s="35"/>
    </row>
    <row r="358" spans="1:17" ht="22.5" customHeight="1">
      <c r="A358" s="16" t="s">
        <v>24</v>
      </c>
      <c r="B358" s="43">
        <v>44421</v>
      </c>
      <c r="C358" s="37">
        <v>1</v>
      </c>
      <c r="D358" s="37">
        <v>16</v>
      </c>
      <c r="E358" s="19" cm="1">
        <f t="array" ref="E358">IF(D358="","",D358-C358)</f>
        <v>15</v>
      </c>
      <c r="F358" s="20" cm="1">
        <f t="array" ref="F358">IF(D358=0,"",(D358-C358)/C358)</f>
        <v>15</v>
      </c>
      <c r="G358" s="21">
        <v>1</v>
      </c>
      <c r="H358" s="22">
        <v>1</v>
      </c>
      <c r="I358" s="23" cm="1">
        <f t="array" ref="I358">IF(D358="","",(G358*C358)*0.00075)</f>
        <v>7.5000000000000002E-4</v>
      </c>
      <c r="J358" s="23" cm="1">
        <f t="array" ref="J358">IF(D358="","",(G358*D358)*0.00075)</f>
        <v>1.2E-2</v>
      </c>
      <c r="K358" s="24" cm="1">
        <f t="array" ref="K358">IF(D358="","",J358+I358)</f>
        <v>1.2750000000000001E-2</v>
      </c>
      <c r="L358" s="24" cm="1">
        <f t="array" ref="L358">IF(D358=0,0,(D358-C358)*G358)</f>
        <v>15</v>
      </c>
      <c r="M358" s="25">
        <v>-14.012</v>
      </c>
      <c r="N358" s="26" cm="1">
        <f t="array" ref="N358">IFERROR((K358-J358)/J358,"–")</f>
        <v>6.2500000000000056E-2</v>
      </c>
      <c r="O358" s="24" cm="1">
        <f t="array" ref="O358">IF(D358=0,0,L358-K358)</f>
        <v>14.98725</v>
      </c>
      <c r="P358" s="23"/>
      <c r="Q358" s="27"/>
    </row>
    <row r="359" spans="1:17" ht="22.5" customHeight="1">
      <c r="A359" s="16" t="s">
        <v>128</v>
      </c>
      <c r="B359" s="42">
        <v>44421</v>
      </c>
      <c r="C359" s="36">
        <v>0.16300000000000001</v>
      </c>
      <c r="D359" s="36">
        <v>0.16200000000000001</v>
      </c>
      <c r="E359" s="30" cm="1">
        <f t="array" ref="E359">IF(D359="","",D359-C359)</f>
        <v>-1.0000000000000009E-3</v>
      </c>
      <c r="F359" s="31" cm="1">
        <f t="array" ref="F359">IF(D359=0,"",(D359-C359)/C359)</f>
        <v>-6.1349693251533796E-3</v>
      </c>
      <c r="G359" s="32">
        <v>61350.559999999998</v>
      </c>
      <c r="H359" s="10">
        <v>1</v>
      </c>
      <c r="I359" s="11" cm="1">
        <f t="array" ref="I359">IF(D359="","",(G359*C359)*0.00075)</f>
        <v>7.50010596</v>
      </c>
      <c r="J359" s="11" cm="1">
        <f t="array" ref="J359">IF(D359="","",(G359*D359)*0.00075)</f>
        <v>7.4540930399999992</v>
      </c>
      <c r="K359" s="33" cm="1">
        <f t="array" ref="K359">IF(D359="","",J359+I359)</f>
        <v>14.954198999999999</v>
      </c>
      <c r="L359" s="33" cm="1">
        <f t="array" ref="L359">IF(D359=0,0,(D359-C359)*G359)</f>
        <v>-61.350560000000051</v>
      </c>
      <c r="M359" s="12">
        <v>10054.037746960001</v>
      </c>
      <c r="N359" s="34" cm="1">
        <f t="array" ref="N359">IFERROR((K359-J359)/J359,"–")</f>
        <v>1.0061728395061729</v>
      </c>
      <c r="O359" s="33" cm="1">
        <f t="array" ref="O359">IF(D359=0,0,L359-K359)</f>
        <v>-76.304759000000047</v>
      </c>
      <c r="P359" s="11"/>
      <c r="Q359" s="35"/>
    </row>
    <row r="360" spans="1:17" ht="22.5" customHeight="1">
      <c r="A360" s="16" t="s">
        <v>37</v>
      </c>
      <c r="B360" s="43">
        <v>44421</v>
      </c>
      <c r="C360" s="37">
        <v>54.045000000000002</v>
      </c>
      <c r="D360" s="37">
        <v>54.16</v>
      </c>
      <c r="E360" s="19" cm="1">
        <f t="array" ref="E360">IF(D360="","",D360-C360)</f>
        <v>0.11499999999999488</v>
      </c>
      <c r="F360" s="20" cm="1">
        <f t="array" ref="F360">IF(D360=0,"",(D360-C360)/C360)</f>
        <v>2.1278564159495769E-3</v>
      </c>
      <c r="G360" s="21">
        <v>110.09699999999999</v>
      </c>
      <c r="H360" s="22">
        <v>1</v>
      </c>
      <c r="I360" s="23" cm="1">
        <f t="array" ref="I360">IF(D360="","",(G360*C360)*0.00075)</f>
        <v>4.4626442737499996</v>
      </c>
      <c r="J360" s="23" cm="1">
        <f t="array" ref="J360">IF(D360="","",(G360*D360)*0.00075)</f>
        <v>4.4721401399999996</v>
      </c>
      <c r="K360" s="24" cm="1">
        <f t="array" ref="K360">IF(D360="","",J360+I360)</f>
        <v>8.9347844137499983</v>
      </c>
      <c r="L360" s="24" cm="1">
        <f t="array" ref="L360">IF(D360=0,0,(D360-C360)*G360)</f>
        <v>12.661154999999436</v>
      </c>
      <c r="M360" s="25">
        <v>5933.0590698599999</v>
      </c>
      <c r="N360" s="26" cm="1">
        <f t="array" ref="N360">IFERROR((K360-J360)/J360,"–")</f>
        <v>0.99787666174298351</v>
      </c>
      <c r="O360" s="24" cm="1">
        <f t="array" ref="O360">IF(D360=0,0,L360-K360)</f>
        <v>3.7263705862494376</v>
      </c>
      <c r="P360" s="23"/>
      <c r="Q360" s="27"/>
    </row>
    <row r="361" spans="1:17" ht="22.5" customHeight="1">
      <c r="A361" s="16" t="s">
        <v>438</v>
      </c>
      <c r="B361" s="42">
        <v>44421</v>
      </c>
      <c r="C361" s="36">
        <v>21</v>
      </c>
      <c r="D361" s="36">
        <v>1</v>
      </c>
      <c r="E361" s="30" cm="1">
        <f t="array" ref="E361">IF(D361="","",D361-C361)</f>
        <v>-20</v>
      </c>
      <c r="F361" s="31" cm="1">
        <f t="array" ref="F361">IF(D361=0,"",(D361-C361)/C361)</f>
        <v>-0.95238095238095233</v>
      </c>
      <c r="G361" s="32">
        <v>1</v>
      </c>
      <c r="H361" s="10">
        <v>1</v>
      </c>
      <c r="I361" s="11" cm="1">
        <f t="array" ref="I361">IF(D361="","",(G361*C361)*0.00075)</f>
        <v>1.575E-2</v>
      </c>
      <c r="J361" s="11" cm="1">
        <f t="array" ref="J361">IF(D361="","",(G361*D361)*0.00075)</f>
        <v>7.5000000000000002E-4</v>
      </c>
      <c r="K361" s="33" cm="1">
        <f t="array" ref="K361">IF(D361="","",J361+I361)</f>
        <v>1.6500000000000001E-2</v>
      </c>
      <c r="L361" s="33" cm="1">
        <f t="array" ref="L361">IF(D361=0,0,(D361-C361)*G361)</f>
        <v>-20</v>
      </c>
      <c r="M361" s="12">
        <v>40.999250000000004</v>
      </c>
      <c r="N361" s="34" cm="1">
        <f t="array" ref="N361">IFERROR((K361-J361)/J361,"–")</f>
        <v>21</v>
      </c>
      <c r="O361" s="33" cm="1">
        <f t="array" ref="O361">IF(D361=0,0,L361-K361)</f>
        <v>-20.016500000000001</v>
      </c>
      <c r="P361" s="11"/>
      <c r="Q361" s="35"/>
    </row>
    <row r="362" spans="1:17" ht="22.5" customHeight="1">
      <c r="A362" s="16" t="s">
        <v>62</v>
      </c>
      <c r="B362" s="43">
        <v>44421</v>
      </c>
      <c r="C362" s="37">
        <v>131</v>
      </c>
      <c r="D362" s="37">
        <v>1</v>
      </c>
      <c r="E362" s="19" cm="1">
        <f t="array" ref="E362">IF(D362="","",D362-C362)</f>
        <v>-130</v>
      </c>
      <c r="F362" s="20" cm="1">
        <f t="array" ref="F362">IF(D362=0,"",(D362-C362)/C362)</f>
        <v>-0.99236641221374045</v>
      </c>
      <c r="G362" s="21">
        <v>1</v>
      </c>
      <c r="H362" s="22">
        <v>1</v>
      </c>
      <c r="I362" s="23" cm="1">
        <f t="array" ref="I362">IF(D362="","",(G362*C362)*0.00075)</f>
        <v>9.8250000000000004E-2</v>
      </c>
      <c r="J362" s="23" cm="1">
        <f t="array" ref="J362">IF(D362="","",(G362*D362)*0.00075)</f>
        <v>7.5000000000000002E-4</v>
      </c>
      <c r="K362" s="24" cm="1">
        <f t="array" ref="K362">IF(D362="","",J362+I362)</f>
        <v>9.9000000000000005E-2</v>
      </c>
      <c r="L362" s="24" cm="1">
        <f t="array" ref="L362">IF(D362=0,0,(D362-C362)*G362)</f>
        <v>-130</v>
      </c>
      <c r="M362" s="25">
        <v>260.99925000000002</v>
      </c>
      <c r="N362" s="26" cm="1">
        <f t="array" ref="N362">IFERROR((K362-J362)/J362,"–")</f>
        <v>131</v>
      </c>
      <c r="O362" s="24" cm="1">
        <f t="array" ref="O362">IF(D362=0,0,L362-K362)</f>
        <v>-130.09899999999999</v>
      </c>
      <c r="P362" s="23"/>
      <c r="Q362" s="27"/>
    </row>
    <row r="363" spans="1:17" ht="22.5" customHeight="1">
      <c r="A363" s="16" t="s">
        <v>129</v>
      </c>
      <c r="B363" s="42">
        <v>44422</v>
      </c>
      <c r="C363" s="36">
        <v>14</v>
      </c>
      <c r="D363" s="36">
        <v>13.994999999999999</v>
      </c>
      <c r="E363" s="30" cm="1">
        <f t="array" ref="E363">IF(D363="","",D363-C363)</f>
        <v>-5.0000000000007816E-3</v>
      </c>
      <c r="F363" s="31" cm="1">
        <f t="array" ref="F363">IF(D363=0,"",(D363-C363)/C363)</f>
        <v>-3.5714285714291298E-4</v>
      </c>
      <c r="G363" s="32">
        <v>1671.44</v>
      </c>
      <c r="H363" s="10">
        <v>1</v>
      </c>
      <c r="I363" s="11" cm="1">
        <f t="array" ref="I363">IF(D363="","",(G363*C363)*0.00075)</f>
        <v>17.55012</v>
      </c>
      <c r="J363" s="11" cm="1">
        <f t="array" ref="J363">IF(D363="","",(G363*D363)*0.00075)</f>
        <v>17.543852099999999</v>
      </c>
      <c r="K363" s="33" cm="1">
        <f t="array" ref="K363">IF(D363="","",J363+I363)</f>
        <v>35.093972100000002</v>
      </c>
      <c r="L363" s="33" cm="1">
        <f t="array" ref="L363">IF(D363=0,0,(D363-C363)*G363)</f>
        <v>-8.3572000000013063</v>
      </c>
      <c r="M363" s="12">
        <v>23390.973347899999</v>
      </c>
      <c r="N363" s="34" cm="1">
        <f t="array" ref="N363">IFERROR((K363-J363)/J363,"–")</f>
        <v>1.0003572704537338</v>
      </c>
      <c r="O363" s="33" cm="1">
        <f t="array" ref="O363">IF(D363=0,0,L363-K363)</f>
        <v>-43.451172100001308</v>
      </c>
      <c r="P363" s="11"/>
      <c r="Q363" s="35"/>
    </row>
    <row r="364" spans="1:17" ht="22.5" customHeight="1">
      <c r="A364" s="16" t="s">
        <v>130</v>
      </c>
      <c r="B364" s="43">
        <v>44422</v>
      </c>
      <c r="C364" s="37">
        <v>0.69599999999999995</v>
      </c>
      <c r="D364" s="37">
        <v>0.71499999999999997</v>
      </c>
      <c r="E364" s="19" cm="1">
        <f t="array" ref="E364">IF(D364="","",D364-C364)</f>
        <v>1.9000000000000017E-2</v>
      </c>
      <c r="F364" s="20" cm="1">
        <f t="array" ref="F364">IF(D364=0,"",(D364-C364)/C364)</f>
        <v>2.7298850574712669E-2</v>
      </c>
      <c r="G364" s="21">
        <v>15106.69</v>
      </c>
      <c r="H364" s="22">
        <v>1</v>
      </c>
      <c r="I364" s="23" cm="1">
        <f t="array" ref="I364">IF(D364="","",(G364*C364)*0.00075)</f>
        <v>7.8856921799999995</v>
      </c>
      <c r="J364" s="23" cm="1">
        <f t="array" ref="J364">IF(D364="","",(G364*D364)*0.00075)</f>
        <v>8.1009625125000007</v>
      </c>
      <c r="K364" s="24" cm="1">
        <f t="array" ref="K364">IF(D364="","",J364+I364)</f>
        <v>15.9866546925</v>
      </c>
      <c r="L364" s="24" cm="1">
        <f t="array" ref="L364">IF(D364=0,0,(D364-C364)*G364)</f>
        <v>287.02711000000028</v>
      </c>
      <c r="M364" s="25">
        <v>10219.128167487501</v>
      </c>
      <c r="N364" s="26" cm="1">
        <f t="array" ref="N364">IFERROR((K364-J364)/J364,"–")</f>
        <v>0.97342657342657324</v>
      </c>
      <c r="O364" s="24" cm="1">
        <f t="array" ref="O364">IF(D364=0,0,L364-K364)</f>
        <v>271.04045530750028</v>
      </c>
      <c r="P364" s="23"/>
      <c r="Q364" s="27"/>
    </row>
    <row r="365" spans="1:17" ht="22.5" customHeight="1">
      <c r="A365" s="16" t="s">
        <v>130</v>
      </c>
      <c r="B365" s="42">
        <v>44422</v>
      </c>
      <c r="C365" s="36">
        <v>0.69599999999999995</v>
      </c>
      <c r="D365" s="36">
        <v>0.71660000000000001</v>
      </c>
      <c r="E365" s="30" cm="1">
        <f t="array" ref="E365">IF(D365="","",D365-C365)</f>
        <v>2.0600000000000063E-2</v>
      </c>
      <c r="F365" s="31" cm="1">
        <f t="array" ref="F365">IF(D365=0,"",(D365-C365)/C365)</f>
        <v>2.9597701149425379E-2</v>
      </c>
      <c r="G365" s="32">
        <v>15106.69</v>
      </c>
      <c r="H365" s="10">
        <v>1</v>
      </c>
      <c r="I365" s="11" cm="1">
        <f t="array" ref="I365">IF(D365="","",(G365*C365)*0.00075)</f>
        <v>7.8856921799999995</v>
      </c>
      <c r="J365" s="11" cm="1">
        <f t="array" ref="J365">IF(D365="","",(G365*D365)*0.00075)</f>
        <v>8.1190905405000002</v>
      </c>
      <c r="K365" s="33" cm="1">
        <f t="array" ref="K365">IF(D365="","",J365+I365)</f>
        <v>16.0047827205</v>
      </c>
      <c r="L365" s="33" cm="1">
        <f t="array" ref="L365">IF(D365=0,0,(D365-C365)*G365)</f>
        <v>311.19781400000096</v>
      </c>
      <c r="M365" s="12">
        <v>10194.939335459499</v>
      </c>
      <c r="N365" s="34" cm="1">
        <f t="array" ref="N365">IFERROR((K365-J365)/J365,"–")</f>
        <v>0.9712531398269606</v>
      </c>
      <c r="O365" s="33" cm="1">
        <f t="array" ref="O365">IF(D365=0,0,L365-K365)</f>
        <v>295.19303127950099</v>
      </c>
      <c r="P365" s="11"/>
      <c r="Q365" s="35"/>
    </row>
    <row r="366" spans="1:17" ht="22.5" customHeight="1">
      <c r="A366" s="16" t="s">
        <v>131</v>
      </c>
      <c r="B366" s="43">
        <v>44422</v>
      </c>
      <c r="C366" s="37">
        <v>52.924999999999997</v>
      </c>
      <c r="D366" s="37">
        <v>53</v>
      </c>
      <c r="E366" s="19" cm="1">
        <f t="array" ref="E366">IF(D366="","",D366-C366)</f>
        <v>7.5000000000002842E-2</v>
      </c>
      <c r="F366" s="20" cm="1">
        <f t="array" ref="F366">IF(D366=0,"",(D366-C366)/C366)</f>
        <v>1.4170996693434643E-3</v>
      </c>
      <c r="G366" s="21">
        <v>445.92</v>
      </c>
      <c r="H366" s="22">
        <v>1</v>
      </c>
      <c r="I366" s="23" cm="1">
        <f t="array" ref="I366">IF(D366="","",(G366*C366)*0.00075)</f>
        <v>17.700236999999998</v>
      </c>
      <c r="J366" s="23" cm="1">
        <f t="array" ref="J366">IF(D366="","",(G366*D366)*0.00075)</f>
        <v>17.725320000000004</v>
      </c>
      <c r="K366" s="24" cm="1">
        <f t="array" ref="K366">IF(D366="","",J366+I366)</f>
        <v>35.425556999999998</v>
      </c>
      <c r="L366" s="24" cm="1">
        <f t="array" ref="L366">IF(D366=0,0,(D366-C366)*G366)</f>
        <v>33.444000000001267</v>
      </c>
      <c r="M366" s="25">
        <v>23549.146680000002</v>
      </c>
      <c r="N366" s="26" cm="1">
        <f t="array" ref="N366">IFERROR((K366-J366)/J366,"–")</f>
        <v>0.99858490566037683</v>
      </c>
      <c r="O366" s="24" cm="1">
        <f t="array" ref="O366">IF(D366=0,0,L366-K366)</f>
        <v>-1.9815569999987304</v>
      </c>
      <c r="P366" s="23"/>
      <c r="Q366" s="27"/>
    </row>
    <row r="367" spans="1:17" ht="22.5" customHeight="1">
      <c r="A367" s="16" t="s">
        <v>132</v>
      </c>
      <c r="B367" s="42">
        <v>44422</v>
      </c>
      <c r="C367" s="36">
        <v>0.18060000000000001</v>
      </c>
      <c r="D367" s="36">
        <v>0.1802</v>
      </c>
      <c r="E367" s="30" cm="1">
        <f t="array" ref="E367">IF(D367="","",D367-C367)</f>
        <v>-4.0000000000001146E-4</v>
      </c>
      <c r="F367" s="31" cm="1">
        <f t="array" ref="F367">IF(D367=0,"",(D367-C367)/C367)</f>
        <v>-2.2148394241418129E-3</v>
      </c>
      <c r="G367" s="32">
        <v>132920</v>
      </c>
      <c r="H367" s="10">
        <v>1</v>
      </c>
      <c r="I367" s="11" cm="1">
        <f t="array" ref="I367">IF(D367="","",(G367*C367)*0.00075)</f>
        <v>18.004014000000002</v>
      </c>
      <c r="J367" s="11" cm="1">
        <f t="array" ref="J367">IF(D367="","",(G367*D367)*0.00075)</f>
        <v>17.964138000000002</v>
      </c>
      <c r="K367" s="33" cm="1">
        <f t="array" ref="K367">IF(D367="","",J367+I367)</f>
        <v>35.968152000000003</v>
      </c>
      <c r="L367" s="33" cm="1">
        <f t="array" ref="L367">IF(D367=0,0,(D367-C367)*G367)</f>
        <v>-53.16800000000152</v>
      </c>
      <c r="M367" s="12">
        <v>24040.555862000001</v>
      </c>
      <c r="N367" s="34" cm="1">
        <f t="array" ref="N367">IFERROR((K367-J367)/J367,"–")</f>
        <v>1.0022197558268591</v>
      </c>
      <c r="O367" s="33" cm="1">
        <f t="array" ref="O367">IF(D367=0,0,L367-K367)</f>
        <v>-89.136152000001516</v>
      </c>
      <c r="P367" s="11"/>
      <c r="Q367" s="35"/>
    </row>
    <row r="368" spans="1:17" ht="22.5" customHeight="1">
      <c r="A368" s="16" t="s">
        <v>133</v>
      </c>
      <c r="B368" s="43">
        <v>44422</v>
      </c>
      <c r="C368" s="37">
        <v>0.54649999999999999</v>
      </c>
      <c r="D368" s="37">
        <v>0.56499999999999995</v>
      </c>
      <c r="E368" s="19" cm="1">
        <f t="array" ref="E368">IF(D368="","",D368-C368)</f>
        <v>1.8499999999999961E-2</v>
      </c>
      <c r="F368" s="20" cm="1">
        <f t="array" ref="F368">IF(D368=0,"",(D368-C368)/C368)</f>
        <v>3.385178408051228E-2</v>
      </c>
      <c r="G368" s="21">
        <v>21960.58</v>
      </c>
      <c r="H368" s="22">
        <v>1</v>
      </c>
      <c r="I368" s="23" cm="1">
        <f t="array" ref="I368">IF(D368="","",(G368*C368)*0.00075)</f>
        <v>9.0010927275000014</v>
      </c>
      <c r="J368" s="23" cm="1">
        <f t="array" ref="J368">IF(D368="","",(G368*D368)*0.00075)</f>
        <v>9.305795775</v>
      </c>
      <c r="K368" s="24" cm="1">
        <f t="array" ref="K368">IF(D368="","",J368+I368)</f>
        <v>18.306888502500001</v>
      </c>
      <c r="L368" s="24" cm="1">
        <f t="array" ref="L368">IF(D368=0,0,(D368-C368)*G368)</f>
        <v>406.27072999999916</v>
      </c>
      <c r="M368" s="25">
        <v>11585.880444225</v>
      </c>
      <c r="N368" s="26" cm="1">
        <f t="array" ref="N368">IFERROR((K368-J368)/J368,"–")</f>
        <v>0.9672566371681417</v>
      </c>
      <c r="O368" s="24" cm="1">
        <f t="array" ref="O368">IF(D368=0,0,L368-K368)</f>
        <v>387.96384149749917</v>
      </c>
      <c r="P368" s="23"/>
      <c r="Q368" s="27"/>
    </row>
    <row r="369" spans="1:17" ht="22.5" customHeight="1">
      <c r="A369" s="16" t="s">
        <v>133</v>
      </c>
      <c r="B369" s="42">
        <v>44422</v>
      </c>
      <c r="C369" s="36">
        <v>0.54649999999999999</v>
      </c>
      <c r="D369" s="36">
        <v>0.57199999999999995</v>
      </c>
      <c r="E369" s="30" cm="1">
        <f t="array" ref="E369">IF(D369="","",D369-C369)</f>
        <v>2.5499999999999967E-2</v>
      </c>
      <c r="F369" s="31" cm="1">
        <f t="array" ref="F369">IF(D369=0,"",(D369-C369)/C369)</f>
        <v>4.6660567246111562E-2</v>
      </c>
      <c r="G369" s="32">
        <v>21960.58</v>
      </c>
      <c r="H369" s="10">
        <v>1</v>
      </c>
      <c r="I369" s="11" cm="1">
        <f t="array" ref="I369">IF(D369="","",(G369*C369)*0.00075)</f>
        <v>9.0010927275000014</v>
      </c>
      <c r="J369" s="11" cm="1">
        <f t="array" ref="J369">IF(D369="","",(G369*D369)*0.00075)</f>
        <v>9.4210888199999996</v>
      </c>
      <c r="K369" s="33" cm="1">
        <f t="array" ref="K369">IF(D369="","",J369+I369)</f>
        <v>18.422181547500003</v>
      </c>
      <c r="L369" s="33" cm="1">
        <f t="array" ref="L369">IF(D369=0,0,(D369-C369)*G369)</f>
        <v>559.99478999999928</v>
      </c>
      <c r="M369" s="12">
        <v>11432.041091180001</v>
      </c>
      <c r="N369" s="34" cm="1">
        <f t="array" ref="N369">IFERROR((K369-J369)/J369,"–")</f>
        <v>0.95541958041958075</v>
      </c>
      <c r="O369" s="33" cm="1">
        <f t="array" ref="O369">IF(D369=0,0,L369-K369)</f>
        <v>541.57260845249925</v>
      </c>
      <c r="P369" s="11"/>
      <c r="Q369" s="35"/>
    </row>
    <row r="370" spans="1:17" ht="22.5" customHeight="1">
      <c r="A370" s="16" t="s">
        <v>132</v>
      </c>
      <c r="B370" s="43">
        <v>44423</v>
      </c>
      <c r="C370" s="37">
        <v>0.18260000000000001</v>
      </c>
      <c r="D370" s="37">
        <v>0.18340000000000001</v>
      </c>
      <c r="E370" s="19" cm="1">
        <f t="array" ref="E370">IF(D370="","",D370-C370)</f>
        <v>7.9999999999999516E-4</v>
      </c>
      <c r="F370" s="20" cm="1">
        <f t="array" ref="F370">IF(D370=0,"",(D370-C370)/C370)</f>
        <v>4.3811610076670048E-3</v>
      </c>
      <c r="G370" s="21">
        <v>67907</v>
      </c>
      <c r="H370" s="22">
        <v>1</v>
      </c>
      <c r="I370" s="23" cm="1">
        <f t="array" ref="I370">IF(D370="","",(G370*C370)*0.00075)</f>
        <v>9.2998636500000007</v>
      </c>
      <c r="J370" s="23" cm="1">
        <f t="array" ref="J370">IF(D370="","",(G370*D370)*0.00075)</f>
        <v>9.3406078499999996</v>
      </c>
      <c r="K370" s="24" cm="1">
        <f t="array" ref="K370">IF(D370="","",J370+I370)</f>
        <v>18.6404715</v>
      </c>
      <c r="L370" s="24" cm="1">
        <f t="array" ref="L370">IF(D370=0,0,(D370-C370)*G370)</f>
        <v>54.325599999999675</v>
      </c>
      <c r="M370" s="25">
        <v>12336.15199215</v>
      </c>
      <c r="N370" s="26" cm="1">
        <f t="array" ref="N370">IFERROR((K370-J370)/J370,"–")</f>
        <v>0.99563794983642329</v>
      </c>
      <c r="O370" s="24" cm="1">
        <f t="array" ref="O370">IF(D370=0,0,L370-K370)</f>
        <v>35.685128499999678</v>
      </c>
      <c r="P370" s="23"/>
      <c r="Q370" s="27"/>
    </row>
    <row r="371" spans="1:17" ht="22.5" customHeight="1">
      <c r="A371" s="16" t="s">
        <v>132</v>
      </c>
      <c r="B371" s="42">
        <v>44423</v>
      </c>
      <c r="C371" s="36">
        <v>0.18260000000000001</v>
      </c>
      <c r="D371" s="36">
        <v>0.18210000000000001</v>
      </c>
      <c r="E371" s="30" cm="1">
        <f t="array" ref="E371">IF(D371="","",D371-C371)</f>
        <v>-5.0000000000000044E-4</v>
      </c>
      <c r="F371" s="31" cm="1">
        <f t="array" ref="F371">IF(D371=0,"",(D371-C371)/C371)</f>
        <v>-2.738225629791897E-3</v>
      </c>
      <c r="G371" s="32">
        <v>67907</v>
      </c>
      <c r="H371" s="10">
        <v>1</v>
      </c>
      <c r="I371" s="11" cm="1">
        <f t="array" ref="I371">IF(D371="","",(G371*C371)*0.00075)</f>
        <v>9.2998636500000007</v>
      </c>
      <c r="J371" s="11" cm="1">
        <f t="array" ref="J371">IF(D371="","",(G371*D371)*0.00075)</f>
        <v>9.2743985250000005</v>
      </c>
      <c r="K371" s="33" cm="1">
        <f t="array" ref="K371">IF(D371="","",J371+I371)</f>
        <v>18.574262175000001</v>
      </c>
      <c r="L371" s="33" cm="1">
        <f t="array" ref="L371">IF(D371=0,0,(D371-C371)*G371)</f>
        <v>-33.953500000000027</v>
      </c>
      <c r="M371" s="12">
        <v>12424.497301474999</v>
      </c>
      <c r="N371" s="34" cm="1">
        <f t="array" ref="N371">IFERROR((K371-J371)/J371,"–")</f>
        <v>1.0027457440966503</v>
      </c>
      <c r="O371" s="33" cm="1">
        <f t="array" ref="O371">IF(D371=0,0,L371-K371)</f>
        <v>-52.527762175000028</v>
      </c>
      <c r="P371" s="11"/>
      <c r="Q371" s="35"/>
    </row>
    <row r="372" spans="1:17" ht="22.5" customHeight="1">
      <c r="A372" s="16" t="s">
        <v>35</v>
      </c>
      <c r="B372" s="43">
        <v>44423</v>
      </c>
      <c r="C372" s="37">
        <v>2.1309999999999998</v>
      </c>
      <c r="D372" s="37">
        <v>2.1339999999999999</v>
      </c>
      <c r="E372" s="19" cm="1">
        <f t="array" ref="E372">IF(D372="","",D372-C372)</f>
        <v>3.0000000000001137E-3</v>
      </c>
      <c r="F372" s="20" cm="1">
        <f t="array" ref="F372">IF(D372=0,"",(D372-C372)/C372)</f>
        <v>1.4077897700610577E-3</v>
      </c>
      <c r="G372" s="21">
        <v>11264.991</v>
      </c>
      <c r="H372" s="22">
        <v>1</v>
      </c>
      <c r="I372" s="23" cm="1">
        <f t="array" ref="I372">IF(D372="","",(G372*C372)*0.00075)</f>
        <v>18.004271865749999</v>
      </c>
      <c r="J372" s="23" cm="1">
        <f t="array" ref="J372">IF(D372="","",(G372*D372)*0.00075)</f>
        <v>18.029618095499998</v>
      </c>
      <c r="K372" s="24" cm="1">
        <f t="array" ref="K372">IF(D372="","",J372+I372)</f>
        <v>36.033889961249997</v>
      </c>
      <c r="L372" s="24" cm="1">
        <f t="array" ref="L372">IF(D372=0,0,(D372-C372)*G372)</f>
        <v>33.794973000001278</v>
      </c>
      <c r="M372" s="25">
        <v>23953.8712299045</v>
      </c>
      <c r="N372" s="26" cm="1">
        <f t="array" ref="N372">IFERROR((K372-J372)/J372,"–")</f>
        <v>0.99859418931583888</v>
      </c>
      <c r="O372" s="24" cm="1">
        <f t="array" ref="O372">IF(D372=0,0,L372-K372)</f>
        <v>-2.2389169612487194</v>
      </c>
      <c r="P372" s="23"/>
      <c r="Q372" s="27"/>
    </row>
    <row r="373" spans="1:17" ht="22.5" customHeight="1">
      <c r="A373" s="16" t="s">
        <v>120</v>
      </c>
      <c r="B373" s="42">
        <v>44423</v>
      </c>
      <c r="C373" s="36">
        <v>0.374</v>
      </c>
      <c r="D373" s="36">
        <v>0.36499999999999999</v>
      </c>
      <c r="E373" s="30" cm="1">
        <f t="array" ref="E373">IF(D373="","",D373-C373)</f>
        <v>-9.000000000000008E-3</v>
      </c>
      <c r="F373" s="31" cm="1">
        <f t="array" ref="F373">IF(D373=0,"",(D373-C373)/C373)</f>
        <v>-2.4064171122994672E-2</v>
      </c>
      <c r="G373" s="32">
        <v>26778.502</v>
      </c>
      <c r="H373" s="10">
        <v>1</v>
      </c>
      <c r="I373" s="11" cm="1">
        <f t="array" ref="I373">IF(D373="","",(G373*C373)*0.00075)</f>
        <v>7.5113698109999998</v>
      </c>
      <c r="J373" s="11" cm="1">
        <f t="array" ref="J373">IF(D373="","",(G373*D373)*0.00075)</f>
        <v>7.3306149224999997</v>
      </c>
      <c r="K373" s="33" cm="1">
        <f t="array" ref="K373">IF(D373="","",J373+I373)</f>
        <v>14.841984733499999</v>
      </c>
      <c r="L373" s="33" cm="1">
        <f t="array" ref="L373">IF(D373=0,0,(D373-C373)*G373)</f>
        <v>-241.00651800000023</v>
      </c>
      <c r="M373" s="12">
        <v>10248.835651077499</v>
      </c>
      <c r="N373" s="34" cm="1">
        <f t="array" ref="N373">IFERROR((K373-J373)/J373,"–")</f>
        <v>1.0246575342465751</v>
      </c>
      <c r="O373" s="33" cm="1">
        <f t="array" ref="O373">IF(D373=0,0,L373-K373)</f>
        <v>-255.84850273350023</v>
      </c>
      <c r="P373" s="11"/>
      <c r="Q373" s="35"/>
    </row>
    <row r="374" spans="1:17" ht="22.5" customHeight="1">
      <c r="A374" s="16" t="s">
        <v>134</v>
      </c>
      <c r="B374" s="43">
        <v>44423</v>
      </c>
      <c r="C374" s="37">
        <v>5.5640000000000001</v>
      </c>
      <c r="D374" s="37">
        <v>5.5650000000000004</v>
      </c>
      <c r="E374" s="19" cm="1">
        <f t="array" ref="E374">IF(D374="","",D374-C374)</f>
        <v>1.000000000000334E-3</v>
      </c>
      <c r="F374" s="20" cm="1">
        <f t="array" ref="F374">IF(D374=0,"",(D374-C374)/C374)</f>
        <v>1.7972681524089395E-4</v>
      </c>
      <c r="G374" s="21">
        <v>4403.32</v>
      </c>
      <c r="H374" s="22">
        <v>1</v>
      </c>
      <c r="I374" s="23" cm="1">
        <f t="array" ref="I374">IF(D374="","",(G374*C374)*0.00075)</f>
        <v>18.37505436</v>
      </c>
      <c r="J374" s="23" cm="1">
        <f t="array" ref="J374">IF(D374="","",(G374*D374)*0.00075)</f>
        <v>18.378356849999999</v>
      </c>
      <c r="K374" s="24" cm="1">
        <f t="array" ref="K374">IF(D374="","",J374+I374)</f>
        <v>36.753411209999996</v>
      </c>
      <c r="L374" s="24" cm="1">
        <f t="array" ref="L374">IF(D374=0,0,(D374-C374)*G374)</f>
        <v>4.4033200000014698</v>
      </c>
      <c r="M374" s="25">
        <v>24477.290803150001</v>
      </c>
      <c r="N374" s="26" cm="1">
        <f t="array" ref="N374">IFERROR((K374-J374)/J374,"–")</f>
        <v>0.99982030548068268</v>
      </c>
      <c r="O374" s="24" cm="1">
        <f t="array" ref="O374">IF(D374=0,0,L374-K374)</f>
        <v>-32.350091209998524</v>
      </c>
      <c r="P374" s="23"/>
      <c r="Q374" s="27"/>
    </row>
    <row r="375" spans="1:17" ht="22.5" customHeight="1">
      <c r="A375" s="16" t="s">
        <v>135</v>
      </c>
      <c r="B375" s="42">
        <v>44423</v>
      </c>
      <c r="C375" s="36">
        <v>0.76900000000000002</v>
      </c>
      <c r="D375" s="36">
        <v>0.77500000000000002</v>
      </c>
      <c r="E375" s="30" cm="1">
        <f t="array" ref="E375">IF(D375="","",D375-C375)</f>
        <v>6.0000000000000053E-3</v>
      </c>
      <c r="F375" s="31" cm="1">
        <f t="array" ref="F375">IF(D375=0,"",(D375-C375)/C375)</f>
        <v>7.8023407022106703E-3</v>
      </c>
      <c r="G375" s="32">
        <v>9654.9699999999993</v>
      </c>
      <c r="H375" s="10">
        <v>1</v>
      </c>
      <c r="I375" s="11" cm="1">
        <f t="array" ref="I375">IF(D375="","",(G375*C375)*0.00075)</f>
        <v>5.5685039475</v>
      </c>
      <c r="J375" s="11" cm="1">
        <f t="array" ref="J375">IF(D375="","",(G375*D375)*0.00075)</f>
        <v>5.6119513124999996</v>
      </c>
      <c r="K375" s="33" cm="1">
        <f t="array" ref="K375">IF(D375="","",J375+I375)</f>
        <v>11.180455259999999</v>
      </c>
      <c r="L375" s="33" cm="1">
        <f t="array" ref="L375">IF(D375=0,0,(D375-C375)*G375)</f>
        <v>57.929820000000049</v>
      </c>
      <c r="M375" s="12">
        <v>7361.1301586874997</v>
      </c>
      <c r="N375" s="34" cm="1">
        <f t="array" ref="N375">IFERROR((K375-J375)/J375,"–")</f>
        <v>0.99225806451612897</v>
      </c>
      <c r="O375" s="33" cm="1">
        <f t="array" ref="O375">IF(D375=0,0,L375-K375)</f>
        <v>46.749364740000047</v>
      </c>
      <c r="P375" s="11"/>
      <c r="Q375" s="35"/>
    </row>
    <row r="376" spans="1:17" ht="22.5" customHeight="1">
      <c r="A376" s="16" t="s">
        <v>135</v>
      </c>
      <c r="B376" s="43">
        <v>44423</v>
      </c>
      <c r="C376" s="37">
        <v>0.76900000000000002</v>
      </c>
      <c r="D376" s="37">
        <v>0.77449999999999997</v>
      </c>
      <c r="E376" s="19" cm="1">
        <f t="array" ref="E376">IF(D376="","",D376-C376)</f>
        <v>5.4999999999999494E-3</v>
      </c>
      <c r="F376" s="20" cm="1">
        <f t="array" ref="F376">IF(D376=0,"",(D376-C376)/C376)</f>
        <v>7.152145643693042E-3</v>
      </c>
      <c r="G376" s="21">
        <v>8290.69</v>
      </c>
      <c r="H376" s="22">
        <v>1</v>
      </c>
      <c r="I376" s="23" cm="1">
        <f t="array" ref="I376">IF(D376="","",(G376*C376)*0.00075)</f>
        <v>4.7816554575000012</v>
      </c>
      <c r="J376" s="23" cm="1">
        <f t="array" ref="J376">IF(D376="","",(G376*D376)*0.00075)</f>
        <v>4.8158545537500004</v>
      </c>
      <c r="K376" s="24" cm="1">
        <f t="array" ref="K376">IF(D376="","",J376+I376)</f>
        <v>9.5975100112500016</v>
      </c>
      <c r="L376" s="24" cm="1">
        <f t="array" ref="L376">IF(D376=0,0,(D376-C376)*G376)</f>
        <v>45.598794999999583</v>
      </c>
      <c r="M376" s="25">
        <v>6325.1259604462502</v>
      </c>
      <c r="N376" s="26" cm="1">
        <f t="array" ref="N376">IFERROR((K376-J376)/J376,"–")</f>
        <v>0.99289864428663677</v>
      </c>
      <c r="O376" s="24" cm="1">
        <f t="array" ref="O376">IF(D376=0,0,L376-K376)</f>
        <v>36.001284988749582</v>
      </c>
      <c r="P376" s="23"/>
      <c r="Q376" s="27"/>
    </row>
    <row r="377" spans="1:17" ht="22.5" customHeight="1">
      <c r="A377" s="16" t="s">
        <v>135</v>
      </c>
      <c r="B377" s="42">
        <v>44423</v>
      </c>
      <c r="C377" s="36">
        <v>0.76900000000000002</v>
      </c>
      <c r="D377" s="36">
        <v>0.77410000000000001</v>
      </c>
      <c r="E377" s="30" cm="1">
        <f t="array" ref="E377">IF(D377="","",D377-C377)</f>
        <v>5.0999999999999934E-3</v>
      </c>
      <c r="F377" s="31" cm="1">
        <f t="array" ref="F377">IF(D377=0,"",(D377-C377)/C377)</f>
        <v>6.6319895968790553E-3</v>
      </c>
      <c r="G377" s="32">
        <v>15217.1</v>
      </c>
      <c r="H377" s="10">
        <v>1</v>
      </c>
      <c r="I377" s="11" cm="1">
        <f t="array" ref="I377">IF(D377="","",(G377*C377)*0.00075)</f>
        <v>8.7764624250000018</v>
      </c>
      <c r="J377" s="11" cm="1">
        <f t="array" ref="J377">IF(D377="","",(G377*D377)*0.00075)</f>
        <v>8.8346678324999992</v>
      </c>
      <c r="K377" s="33" cm="1">
        <f t="array" ref="K377">IF(D377="","",J377+I377)</f>
        <v>17.611130257500001</v>
      </c>
      <c r="L377" s="33" cm="1">
        <f t="array" ref="L377">IF(D377=0,0,(D377-C377)*G377)</f>
        <v>77.607209999999895</v>
      </c>
      <c r="M377" s="12">
        <v>11615.5080221675</v>
      </c>
      <c r="N377" s="34" cm="1">
        <f t="array" ref="N377">IFERROR((K377-J377)/J377,"–")</f>
        <v>0.99341170391422329</v>
      </c>
      <c r="O377" s="33" cm="1">
        <f t="array" ref="O377">IF(D377=0,0,L377-K377)</f>
        <v>59.996079742499894</v>
      </c>
      <c r="P377" s="11"/>
      <c r="Q377" s="35"/>
    </row>
    <row r="378" spans="1:17" ht="22.5" customHeight="1">
      <c r="A378" s="16" t="s">
        <v>115</v>
      </c>
      <c r="B378" s="43">
        <v>44423</v>
      </c>
      <c r="C378" s="37">
        <v>0.38179999999999997</v>
      </c>
      <c r="D378" s="37">
        <v>0.3841</v>
      </c>
      <c r="E378" s="19" cm="1">
        <f t="array" ref="E378">IF(D378="","",D378-C378)</f>
        <v>2.3000000000000242E-3</v>
      </c>
      <c r="F378" s="20" cm="1">
        <f t="array" ref="F378">IF(D378=0,"",(D378-C378)/C378)</f>
        <v>6.0240963855422323E-3</v>
      </c>
      <c r="G378" s="21">
        <v>2507</v>
      </c>
      <c r="H378" s="22">
        <v>1</v>
      </c>
      <c r="I378" s="23" cm="1">
        <f t="array" ref="I378">IF(D378="","",(G378*C378)*0.00075)</f>
        <v>0.71787944999999997</v>
      </c>
      <c r="J378" s="23" cm="1">
        <f t="array" ref="J378">IF(D378="","",(G378*D378)*0.00075)</f>
        <v>0.72220402500000003</v>
      </c>
      <c r="K378" s="24" cm="1">
        <f t="array" ref="K378">IF(D378="","",J378+I378)</f>
        <v>1.440083475</v>
      </c>
      <c r="L378" s="24" cm="1">
        <f t="array" ref="L378">IF(D378=0,0,(D378-C378)*G378)</f>
        <v>5.7661000000000611</v>
      </c>
      <c r="M378" s="25">
        <v>950.68429597500005</v>
      </c>
      <c r="N378" s="26" cm="1">
        <f t="array" ref="N378">IFERROR((K378-J378)/J378,"–")</f>
        <v>0.99401197604790414</v>
      </c>
      <c r="O378" s="24" cm="1">
        <f t="array" ref="O378">IF(D378=0,0,L378-K378)</f>
        <v>4.3260165250000613</v>
      </c>
      <c r="P378" s="23"/>
      <c r="Q378" s="27"/>
    </row>
    <row r="379" spans="1:17" ht="22.5" customHeight="1">
      <c r="A379" s="16" t="s">
        <v>136</v>
      </c>
      <c r="B379" s="42">
        <v>44423</v>
      </c>
      <c r="C379" s="36">
        <v>1.0535000000000001</v>
      </c>
      <c r="D379" s="36">
        <v>1.0546</v>
      </c>
      <c r="E379" s="30" cm="1">
        <f t="array" ref="E379">IF(D379="","",D379-C379)</f>
        <v>1.0999999999998789E-3</v>
      </c>
      <c r="F379" s="31" cm="1">
        <f t="array" ref="F379">IF(D379=0,"",(D379-C379)/C379)</f>
        <v>1.0441385856667098E-3</v>
      </c>
      <c r="G379" s="32">
        <v>22197.81</v>
      </c>
      <c r="H379" s="10">
        <v>1</v>
      </c>
      <c r="I379" s="11" cm="1">
        <f t="array" ref="I379">IF(D379="","",(G379*C379)*0.00075)</f>
        <v>17.539044626250003</v>
      </c>
      <c r="J379" s="11" cm="1">
        <f t="array" ref="J379">IF(D379="","",(G379*D379)*0.00075)</f>
        <v>17.557357819500002</v>
      </c>
      <c r="K379" s="33" cm="1">
        <f t="array" ref="K379">IF(D379="","",J379+I379)</f>
        <v>35.096402445750002</v>
      </c>
      <c r="L379" s="33" cm="1">
        <f t="array" ref="L379">IF(D379=0,0,(D379-C379)*G379)</f>
        <v>24.417590999997312</v>
      </c>
      <c r="M379" s="12">
        <v>23343.417886180501</v>
      </c>
      <c r="N379" s="34" cm="1">
        <f t="array" ref="N379">IFERROR((K379-J379)/J379,"–")</f>
        <v>0.99895695050256006</v>
      </c>
      <c r="O379" s="33" cm="1">
        <f t="array" ref="O379">IF(D379=0,0,L379-K379)</f>
        <v>-10.678811445752689</v>
      </c>
      <c r="P379" s="11"/>
      <c r="Q379" s="35"/>
    </row>
    <row r="380" spans="1:17" ht="22.5" customHeight="1">
      <c r="A380" s="16" t="s">
        <v>136</v>
      </c>
      <c r="B380" s="43">
        <v>44423</v>
      </c>
      <c r="C380" s="37">
        <v>1.0535000000000001</v>
      </c>
      <c r="D380" s="37">
        <v>1.054</v>
      </c>
      <c r="E380" s="19" cm="1">
        <f t="array" ref="E380">IF(D380="","",D380-C380)</f>
        <v>4.9999999999994493E-4</v>
      </c>
      <c r="F380" s="20" cm="1">
        <f t="array" ref="F380">IF(D380=0,"",(D380-C380)/C380)</f>
        <v>4.7460844803032265E-4</v>
      </c>
      <c r="G380" s="21">
        <v>1059.6300000000001</v>
      </c>
      <c r="H380" s="22">
        <v>1</v>
      </c>
      <c r="I380" s="23" cm="1">
        <f t="array" ref="I380">IF(D380="","",(G380*C380)*0.00075)</f>
        <v>0.83724015375000016</v>
      </c>
      <c r="J380" s="23" cm="1">
        <f t="array" ref="J380">IF(D380="","",(G380*D380)*0.00075)</f>
        <v>0.83763751500000005</v>
      </c>
      <c r="K380" s="24" cm="1">
        <f t="array" ref="K380">IF(D380="","",J380+I380)</f>
        <v>1.6748776687500002</v>
      </c>
      <c r="L380" s="24" cm="1">
        <f t="array" ref="L380">IF(D380=0,0,(D380-C380)*G380)</f>
        <v>0.52981499999994175</v>
      </c>
      <c r="M380" s="25">
        <v>1114.952752485</v>
      </c>
      <c r="N380" s="26" cm="1">
        <f t="array" ref="N380">IFERROR((K380-J380)/J380,"–")</f>
        <v>0.99952561669829232</v>
      </c>
      <c r="O380" s="24" cm="1">
        <f t="array" ref="O380">IF(D380=0,0,L380-K380)</f>
        <v>-1.1450626687500585</v>
      </c>
      <c r="P380" s="23"/>
      <c r="Q380" s="27"/>
    </row>
    <row r="381" spans="1:17" ht="22.5" customHeight="1">
      <c r="A381" s="16" t="s">
        <v>30</v>
      </c>
      <c r="B381" s="42">
        <v>44423</v>
      </c>
      <c r="C381" s="36">
        <v>45934.9</v>
      </c>
      <c r="D381" s="36">
        <v>45724.86</v>
      </c>
      <c r="E381" s="30" cm="1">
        <f t="array" ref="E381">IF(D381="","",D381-C381)</f>
        <v>-210.04000000000087</v>
      </c>
      <c r="F381" s="31" cm="1">
        <f t="array" ref="F381">IF(D381=0,"",(D381-C381)/C381)</f>
        <v>-4.572558120296351E-3</v>
      </c>
      <c r="G381" s="32">
        <v>6.5309000000000006E-2</v>
      </c>
      <c r="H381" s="10">
        <v>1</v>
      </c>
      <c r="I381" s="11" cm="1">
        <f t="array" ref="I381">IF(D381="","",(G381*C381)*0.00075)</f>
        <v>2.2499717880750003</v>
      </c>
      <c r="J381" s="11" cm="1">
        <f t="array" ref="J381">IF(D381="","",(G381*D381)*0.00075)</f>
        <v>2.2396836613050004</v>
      </c>
      <c r="K381" s="33" cm="1">
        <f t="array" ref="K381">IF(D381="","",J381+I381)</f>
        <v>4.4896554493800007</v>
      </c>
      <c r="L381" s="33" cm="1">
        <f t="array" ref="L381">IF(D381=0,0,(D381-C381)*G381)</f>
        <v>-13.717502360000058</v>
      </c>
      <c r="M381" s="12">
        <v>3011.4402027986998</v>
      </c>
      <c r="N381" s="34" cm="1">
        <f t="array" ref="N381">IFERROR((K381-J381)/J381,"–")</f>
        <v>1.0045935624515854</v>
      </c>
      <c r="O381" s="33" cm="1">
        <f t="array" ref="O381">IF(D381=0,0,L381-K381)</f>
        <v>-18.207157809380057</v>
      </c>
      <c r="P381" s="11"/>
      <c r="Q381" s="35"/>
    </row>
    <row r="382" spans="1:17" ht="22.5" customHeight="1">
      <c r="A382" s="16" t="s">
        <v>137</v>
      </c>
      <c r="B382" s="43">
        <v>44423</v>
      </c>
      <c r="C382" s="37">
        <v>3000</v>
      </c>
      <c r="D382" s="37">
        <v>3000</v>
      </c>
      <c r="E382" s="19" cm="1">
        <f t="array" ref="E382">IF(D382="","",D382-C382)</f>
        <v>0</v>
      </c>
      <c r="F382" s="20" cm="1">
        <f t="array" ref="F382">IF(D382=0,"",(D382-C382)/C382)</f>
        <v>0</v>
      </c>
      <c r="G382" s="21">
        <v>1</v>
      </c>
      <c r="H382" s="22">
        <v>1</v>
      </c>
      <c r="I382" s="23" cm="1">
        <f t="array" ref="I382">IF(D382="","",(G382*C382)*0.00075)</f>
        <v>2.25</v>
      </c>
      <c r="J382" s="23" cm="1">
        <f t="array" ref="J382">IF(D382="","",(G382*D382)*0.00075)</f>
        <v>2.25</v>
      </c>
      <c r="K382" s="24" cm="1">
        <f t="array" ref="K382">IF(D382="","",J382+I382)</f>
        <v>4.5</v>
      </c>
      <c r="L382" s="24" cm="1">
        <f t="array" ref="L382">IF(D382=0,0,(D382-C382)*G382)</f>
        <v>0</v>
      </c>
      <c r="M382" s="25">
        <v>2997.75</v>
      </c>
      <c r="N382" s="26" cm="1">
        <f t="array" ref="N382">IFERROR((K382-J382)/J382,"–")</f>
        <v>1</v>
      </c>
      <c r="O382" s="24" cm="1">
        <f t="array" ref="O382">IF(D382=0,0,L382-K382)</f>
        <v>-4.5</v>
      </c>
      <c r="P382" s="23"/>
      <c r="Q382" s="27"/>
    </row>
    <row r="383" spans="1:17" ht="22.5" customHeight="1">
      <c r="A383" s="16" t="s">
        <v>132</v>
      </c>
      <c r="B383" s="42">
        <v>44423</v>
      </c>
      <c r="C383" s="36">
        <v>0.1769</v>
      </c>
      <c r="D383" s="36">
        <v>0.17749999999999999</v>
      </c>
      <c r="E383" s="30" cm="1">
        <f t="array" ref="E383">IF(D383="","",D383-C383)</f>
        <v>5.9999999999998943E-4</v>
      </c>
      <c r="F383" s="31" cm="1">
        <f t="array" ref="F383">IF(D383=0,"",(D383-C383)/C383)</f>
        <v>3.3917467495759718E-3</v>
      </c>
      <c r="G383" s="32">
        <v>121601</v>
      </c>
      <c r="H383" s="10">
        <v>1</v>
      </c>
      <c r="I383" s="11" cm="1">
        <f t="array" ref="I383">IF(D383="","",(G383*C383)*0.00075)</f>
        <v>16.133412674999999</v>
      </c>
      <c r="J383" s="11" cm="1">
        <f t="array" ref="J383">IF(D383="","",(G383*D383)*0.00075)</f>
        <v>16.188133125</v>
      </c>
      <c r="K383" s="33" cm="1">
        <f t="array" ref="K383">IF(D383="","",J383+I383)</f>
        <v>32.321545799999996</v>
      </c>
      <c r="L383" s="33" cm="1">
        <f t="array" ref="L383">IF(D383=0,0,(D383-C383)*G383)</f>
        <v>72.96059999999872</v>
      </c>
      <c r="M383" s="12">
        <v>21422.068166875</v>
      </c>
      <c r="N383" s="34" cm="1">
        <f t="array" ref="N383">IFERROR((K383-J383)/J383,"–")</f>
        <v>0.99661971830985885</v>
      </c>
      <c r="O383" s="33" cm="1">
        <f t="array" ref="O383">IF(D383=0,0,L383-K383)</f>
        <v>40.639054199998725</v>
      </c>
      <c r="P383" s="11"/>
      <c r="Q383" s="35"/>
    </row>
    <row r="384" spans="1:17" ht="22.5" customHeight="1">
      <c r="A384" s="16" t="s">
        <v>138</v>
      </c>
      <c r="B384" s="43">
        <v>44424</v>
      </c>
      <c r="C384" s="37">
        <v>13.048999999999999</v>
      </c>
      <c r="D384" s="37">
        <v>13.2</v>
      </c>
      <c r="E384" s="19" cm="1">
        <f t="array" ref="E384">IF(D384="","",D384-C384)</f>
        <v>0.1509999999999998</v>
      </c>
      <c r="F384" s="20" cm="1">
        <f t="array" ref="F384">IF(D384=0,"",(D384-C384)/C384)</f>
        <v>1.1571767951567155E-2</v>
      </c>
      <c r="G384" s="21">
        <v>1061.4000000000001</v>
      </c>
      <c r="H384" s="22">
        <v>1</v>
      </c>
      <c r="I384" s="23" cm="1">
        <f t="array" ref="I384">IF(D384="","",(G384*C384)*0.00075)</f>
        <v>10.38765645</v>
      </c>
      <c r="J384" s="23" cm="1">
        <f t="array" ref="J384">IF(D384="","",(G384*D384)*0.00075)</f>
        <v>10.507859999999999</v>
      </c>
      <c r="K384" s="24" cm="1">
        <f t="array" ref="K384">IF(D384="","",J384+I384)</f>
        <v>20.895516449999999</v>
      </c>
      <c r="L384" s="24" cm="1">
        <f t="array" ref="L384">IF(D384=0,0,(D384-C384)*G384)</f>
        <v>160.2713999999998</v>
      </c>
      <c r="M384" s="25">
        <v>13679.429340000001</v>
      </c>
      <c r="N384" s="26" cm="1">
        <f t="array" ref="N384">IFERROR((K384-J384)/J384,"–")</f>
        <v>0.98856060606060614</v>
      </c>
      <c r="O384" s="24" cm="1">
        <f t="array" ref="O384">IF(D384=0,0,L384-K384)</f>
        <v>139.3758835499998</v>
      </c>
      <c r="P384" s="23"/>
      <c r="Q384" s="27"/>
    </row>
    <row r="385" spans="1:17" ht="22.5" customHeight="1">
      <c r="A385" s="16" t="s">
        <v>138</v>
      </c>
      <c r="B385" s="42">
        <v>44424</v>
      </c>
      <c r="C385" s="36">
        <v>13.048999999999999</v>
      </c>
      <c r="D385" s="36">
        <v>13.156000000000001</v>
      </c>
      <c r="E385" s="30" cm="1">
        <f t="array" ref="E385">IF(D385="","",D385-C385)</f>
        <v>0.10700000000000109</v>
      </c>
      <c r="F385" s="31" cm="1">
        <f t="array" ref="F385">IF(D385=0,"",(D385-C385)/C385)</f>
        <v>8.1998620583953637E-3</v>
      </c>
      <c r="G385" s="32">
        <v>1061.4000000000001</v>
      </c>
      <c r="H385" s="10">
        <v>1</v>
      </c>
      <c r="I385" s="11" cm="1">
        <f t="array" ref="I385">IF(D385="","",(G385*C385)*0.00075)</f>
        <v>10.38765645</v>
      </c>
      <c r="J385" s="11" cm="1">
        <f t="array" ref="J385">IF(D385="","",(G385*D385)*0.00075)</f>
        <v>10.472833800000002</v>
      </c>
      <c r="K385" s="33" cm="1">
        <f t="array" ref="K385">IF(D385="","",J385+I385)</f>
        <v>20.860490250000002</v>
      </c>
      <c r="L385" s="33" cm="1">
        <f t="array" ref="L385">IF(D385=0,0,(D385-C385)*G385)</f>
        <v>113.56980000000117</v>
      </c>
      <c r="M385" s="12">
        <v>13726.1659662</v>
      </c>
      <c r="N385" s="34" cm="1">
        <f t="array" ref="N385">IFERROR((K385-J385)/J385,"–")</f>
        <v>0.99186682882335031</v>
      </c>
      <c r="O385" s="33" cm="1">
        <f t="array" ref="O385">IF(D385=0,0,L385-K385)</f>
        <v>92.709309750001168</v>
      </c>
      <c r="P385" s="11"/>
      <c r="Q385" s="35"/>
    </row>
    <row r="386" spans="1:17" ht="22.5" customHeight="1">
      <c r="A386" s="16" t="s">
        <v>85</v>
      </c>
      <c r="B386" s="43">
        <v>44425</v>
      </c>
      <c r="C386" s="37">
        <v>2.0209999999999999</v>
      </c>
      <c r="D386" s="37">
        <v>2.0350000000000001</v>
      </c>
      <c r="E386" s="19" cm="1">
        <f t="array" ref="E386">IF(D386="","",D386-C386)</f>
        <v>1.4000000000000234E-2</v>
      </c>
      <c r="F386" s="20" cm="1">
        <f t="array" ref="F386">IF(D386=0,"",(D386-C386)/C386)</f>
        <v>6.9272637308264396E-3</v>
      </c>
      <c r="G386" s="21">
        <v>4948.357</v>
      </c>
      <c r="H386" s="22">
        <v>1</v>
      </c>
      <c r="I386" s="23" cm="1">
        <f t="array" ref="I386">IF(D386="","",(G386*C386)*0.00075)</f>
        <v>7.5004721227499997</v>
      </c>
      <c r="J386" s="23" cm="1">
        <f t="array" ref="J386">IF(D386="","",(G386*D386)*0.00075)</f>
        <v>7.5524298712500011</v>
      </c>
      <c r="K386" s="24" cm="1">
        <f t="array" ref="K386">IF(D386="","",J386+I386)</f>
        <v>15.052901994000001</v>
      </c>
      <c r="L386" s="24" cm="1">
        <f t="array" ref="L386">IF(D386=0,0,(D386-C386)*G386)</f>
        <v>69.276998000001157</v>
      </c>
      <c r="M386" s="25">
        <v>9923.8000691287507</v>
      </c>
      <c r="N386" s="26" cm="1">
        <f t="array" ref="N386">IFERROR((K386-J386)/J386,"–")</f>
        <v>0.99312039312039291</v>
      </c>
      <c r="O386" s="24" cm="1">
        <f t="array" ref="O386">IF(D386=0,0,L386-K386)</f>
        <v>54.224096006001155</v>
      </c>
      <c r="P386" s="23"/>
      <c r="Q386" s="27"/>
    </row>
    <row r="387" spans="1:17" ht="22.5" customHeight="1">
      <c r="A387" s="16" t="s">
        <v>85</v>
      </c>
      <c r="B387" s="42">
        <v>44425</v>
      </c>
      <c r="C387" s="36">
        <v>2.0209999999999999</v>
      </c>
      <c r="D387" s="36">
        <v>2.0209999999999999</v>
      </c>
      <c r="E387" s="30" cm="1">
        <f t="array" ref="E387">IF(D387="","",D387-C387)</f>
        <v>0</v>
      </c>
      <c r="F387" s="31" cm="1">
        <f t="array" ref="F387">IF(D387=0,"",(D387-C387)/C387)</f>
        <v>0</v>
      </c>
      <c r="G387" s="32">
        <v>4948.357</v>
      </c>
      <c r="H387" s="10">
        <v>1</v>
      </c>
      <c r="I387" s="11" cm="1">
        <f t="array" ref="I387">IF(D387="","",(G387*C387)*0.00075)</f>
        <v>7.5004721227499997</v>
      </c>
      <c r="J387" s="11" cm="1">
        <f t="array" ref="J387">IF(D387="","",(G387*D387)*0.00075)</f>
        <v>7.5004721227499997</v>
      </c>
      <c r="K387" s="33" cm="1">
        <f t="array" ref="K387">IF(D387="","",J387+I387)</f>
        <v>15.000944245499999</v>
      </c>
      <c r="L387" s="33" cm="1">
        <f t="array" ref="L387">IF(D387=0,0,(D387-C387)*G387)</f>
        <v>0</v>
      </c>
      <c r="M387" s="12">
        <v>9993.1290248772493</v>
      </c>
      <c r="N387" s="34" cm="1">
        <f t="array" ref="N387">IFERROR((K387-J387)/J387,"–")</f>
        <v>1</v>
      </c>
      <c r="O387" s="33" cm="1">
        <f t="array" ref="O387">IF(D387=0,0,L387-K387)</f>
        <v>-15.000944245499999</v>
      </c>
      <c r="P387" s="11"/>
      <c r="Q387" s="35"/>
    </row>
    <row r="388" spans="1:17" ht="22.5" customHeight="1">
      <c r="A388" s="16" t="s">
        <v>89</v>
      </c>
      <c r="B388" s="43">
        <v>44425</v>
      </c>
      <c r="C388" s="37">
        <v>0.13147</v>
      </c>
      <c r="D388" s="37">
        <v>0.13161</v>
      </c>
      <c r="E388" s="19" cm="1">
        <f t="array" ref="E388">IF(D388="","",D388-C388)</f>
        <v>1.4000000000000123E-4</v>
      </c>
      <c r="F388" s="20" cm="1">
        <f t="array" ref="F388">IF(D388=0,"",(D388-C388)/C388)</f>
        <v>1.0648817220658799E-3</v>
      </c>
      <c r="G388" s="21">
        <v>152128.70000000001</v>
      </c>
      <c r="H388" s="22">
        <v>1</v>
      </c>
      <c r="I388" s="23" cm="1">
        <f t="array" ref="I388">IF(D388="","",(G388*C388)*0.00075)</f>
        <v>15.000270141750002</v>
      </c>
      <c r="J388" s="23" cm="1">
        <f t="array" ref="J388">IF(D388="","",(G388*D388)*0.00075)</f>
        <v>15.016243655250003</v>
      </c>
      <c r="K388" s="24" cm="1">
        <f t="array" ref="K388">IF(D388="","",J388+I388)</f>
        <v>30.016513797000005</v>
      </c>
      <c r="L388" s="24" cm="1">
        <f t="array" ref="L388">IF(D388=0,0,(D388-C388)*G388)</f>
        <v>21.298018000000191</v>
      </c>
      <c r="M388" s="25">
        <v>19964.0459273448</v>
      </c>
      <c r="N388" s="26" cm="1">
        <f t="array" ref="N388">IFERROR((K388-J388)/J388,"–")</f>
        <v>0.99893625104475336</v>
      </c>
      <c r="O388" s="24" cm="1">
        <f t="array" ref="O388">IF(D388=0,0,L388-K388)</f>
        <v>-8.7184957969998145</v>
      </c>
      <c r="P388" s="23"/>
      <c r="Q388" s="27"/>
    </row>
    <row r="389" spans="1:17" ht="22.5" customHeight="1">
      <c r="A389" s="16" t="s">
        <v>139</v>
      </c>
      <c r="B389" s="42">
        <v>44425</v>
      </c>
      <c r="C389" s="36">
        <v>3.1368999999999998</v>
      </c>
      <c r="D389" s="36">
        <v>3.14</v>
      </c>
      <c r="E389" s="30" cm="1">
        <f t="array" ref="E389">IF(D389="","",D389-C389)</f>
        <v>3.1000000000003247E-3</v>
      </c>
      <c r="F389" s="31" cm="1">
        <f t="array" ref="F389">IF(D389=0,"",(D389-C389)/C389)</f>
        <v>9.882367942874574E-4</v>
      </c>
      <c r="G389" s="32">
        <v>3187.96</v>
      </c>
      <c r="H389" s="10">
        <v>1</v>
      </c>
      <c r="I389" s="11" cm="1">
        <f t="array" ref="I389">IF(D389="","",(G389*C389)*0.00075)</f>
        <v>7.5002337929999996</v>
      </c>
      <c r="J389" s="11" cm="1">
        <f t="array" ref="J389">IF(D389="","",(G389*D389)*0.00075)</f>
        <v>7.5076458000000006</v>
      </c>
      <c r="K389" s="33" cm="1">
        <f t="array" ref="K389">IF(D389="","",J389+I389)</f>
        <v>15.007879593</v>
      </c>
      <c r="L389" s="33" cm="1">
        <f t="array" ref="L389">IF(D389=0,0,(D389-C389)*G389)</f>
        <v>9.8826760000010356</v>
      </c>
      <c r="M389" s="12">
        <v>9982.9214021999996</v>
      </c>
      <c r="N389" s="34" cm="1">
        <f t="array" ref="N389">IFERROR((K389-J389)/J389,"–")</f>
        <v>0.99901273885350306</v>
      </c>
      <c r="O389" s="33" cm="1">
        <f t="array" ref="O389">IF(D389=0,0,L389-K389)</f>
        <v>-5.1252035929989646</v>
      </c>
      <c r="P389" s="11"/>
      <c r="Q389" s="35"/>
    </row>
    <row r="390" spans="1:17" ht="22.5" customHeight="1">
      <c r="A390" s="16" t="s">
        <v>139</v>
      </c>
      <c r="B390" s="43">
        <v>44425</v>
      </c>
      <c r="C390" s="37">
        <v>3.1368999999999998</v>
      </c>
      <c r="D390" s="37">
        <v>3.12</v>
      </c>
      <c r="E390" s="19" cm="1">
        <f t="array" ref="E390">IF(D390="","",D390-C390)</f>
        <v>-1.6899999999999693E-2</v>
      </c>
      <c r="F390" s="20" cm="1">
        <f t="array" ref="F390">IF(D390=0,"",(D390-C390)/C390)</f>
        <v>-5.387484459179347E-3</v>
      </c>
      <c r="G390" s="21">
        <v>3187.96</v>
      </c>
      <c r="H390" s="22">
        <v>1</v>
      </c>
      <c r="I390" s="23" cm="1">
        <f t="array" ref="I390">IF(D390="","",(G390*C390)*0.00075)</f>
        <v>7.5002337929999996</v>
      </c>
      <c r="J390" s="23" cm="1">
        <f t="array" ref="J390">IF(D390="","",(G390*D390)*0.00075)</f>
        <v>7.4598263999999999</v>
      </c>
      <c r="K390" s="24" cm="1">
        <f t="array" ref="K390">IF(D390="","",J390+I390)</f>
        <v>14.960060193</v>
      </c>
      <c r="L390" s="24" cm="1">
        <f t="array" ref="L390">IF(D390=0,0,(D390-C390)*G390)</f>
        <v>-53.876523999999023</v>
      </c>
      <c r="M390" s="25">
        <v>10046.728421600001</v>
      </c>
      <c r="N390" s="26" cm="1">
        <f t="array" ref="N390">IFERROR((K390-J390)/J390,"–")</f>
        <v>1.0054166666666668</v>
      </c>
      <c r="O390" s="24" cm="1">
        <f t="array" ref="O390">IF(D390=0,0,L390-K390)</f>
        <v>-68.836584192999027</v>
      </c>
      <c r="P390" s="23"/>
      <c r="Q390" s="27"/>
    </row>
    <row r="391" spans="1:17" ht="22.5" customHeight="1">
      <c r="A391" s="16" t="s">
        <v>140</v>
      </c>
      <c r="B391" s="42">
        <v>44425</v>
      </c>
      <c r="C391" s="36">
        <v>7.7839999999999998</v>
      </c>
      <c r="D391" s="36">
        <v>7.9109999999999996</v>
      </c>
      <c r="E391" s="30" cm="1">
        <f t="array" ref="E391">IF(D391="","",D391-C391)</f>
        <v>0.12699999999999978</v>
      </c>
      <c r="F391" s="31" cm="1">
        <f t="array" ref="F391">IF(D391=0,"",(D391-C391)/C391)</f>
        <v>1.6315519013360712E-2</v>
      </c>
      <c r="G391" s="32">
        <v>659</v>
      </c>
      <c r="H391" s="10">
        <v>1</v>
      </c>
      <c r="I391" s="11" cm="1">
        <f t="array" ref="I391">IF(D391="","",(G391*C391)*0.00075)</f>
        <v>3.8472420000000001</v>
      </c>
      <c r="J391" s="11" cm="1">
        <f t="array" ref="J391">IF(D391="","",(G391*D391)*0.00075)</f>
        <v>3.9100117500000002</v>
      </c>
      <c r="K391" s="33" cm="1">
        <f t="array" ref="K391">IF(D391="","",J391+I391)</f>
        <v>7.7572537500000003</v>
      </c>
      <c r="L391" s="33" cm="1">
        <f t="array" ref="L391">IF(D391=0,0,(D391-C391)*G391)</f>
        <v>83.692999999999856</v>
      </c>
      <c r="M391" s="12">
        <v>5042.0529882500005</v>
      </c>
      <c r="N391" s="34" cm="1">
        <f t="array" ref="N391">IFERROR((K391-J391)/J391,"–")</f>
        <v>0.98394640374162556</v>
      </c>
      <c r="O391" s="33" cm="1">
        <f t="array" ref="O391">IF(D391=0,0,L391-K391)</f>
        <v>75.935746249999852</v>
      </c>
      <c r="P391" s="11"/>
      <c r="Q391" s="35"/>
    </row>
    <row r="392" spans="1:17" ht="22.5" customHeight="1">
      <c r="A392" s="16" t="s">
        <v>140</v>
      </c>
      <c r="B392" s="43">
        <v>44425</v>
      </c>
      <c r="C392" s="37">
        <v>7.82</v>
      </c>
      <c r="D392" s="37">
        <v>7.9359999999999999</v>
      </c>
      <c r="E392" s="19" cm="1">
        <f t="array" ref="E392">IF(D392="","",D392-C392)</f>
        <v>0.11599999999999966</v>
      </c>
      <c r="F392" s="20" cm="1">
        <f t="array" ref="F392">IF(D392=0,"",(D392-C392)/C392)</f>
        <v>1.4833759590792795E-2</v>
      </c>
      <c r="G392" s="21">
        <v>563.4</v>
      </c>
      <c r="H392" s="22">
        <v>1</v>
      </c>
      <c r="I392" s="23" cm="1">
        <f t="array" ref="I392">IF(D392="","",(G392*C392)*0.00075)</f>
        <v>3.3043409999999995</v>
      </c>
      <c r="J392" s="23" cm="1">
        <f t="array" ref="J392">IF(D392="","",(G392*D392)*0.00075)</f>
        <v>3.3533567999999998</v>
      </c>
      <c r="K392" s="24" cm="1">
        <f t="array" ref="K392">IF(D392="","",J392+I392)</f>
        <v>6.6576977999999993</v>
      </c>
      <c r="L392" s="24" cm="1">
        <f t="array" ref="L392">IF(D392=0,0,(D392-C392)*G392)</f>
        <v>65.354399999999799</v>
      </c>
      <c r="M392" s="25">
        <v>4337.0802432</v>
      </c>
      <c r="N392" s="26" cm="1">
        <f t="array" ref="N392">IFERROR((K392-J392)/J392,"–")</f>
        <v>0.985383064516129</v>
      </c>
      <c r="O392" s="24" cm="1">
        <f t="array" ref="O392">IF(D392=0,0,L392-K392)</f>
        <v>58.696702199999798</v>
      </c>
      <c r="P392" s="23"/>
      <c r="Q392" s="27"/>
    </row>
    <row r="393" spans="1:17" ht="22.5" customHeight="1">
      <c r="A393" s="16" t="s">
        <v>140</v>
      </c>
      <c r="B393" s="42">
        <v>44425</v>
      </c>
      <c r="C393" s="36">
        <v>7.7839999999999998</v>
      </c>
      <c r="D393" s="36">
        <v>7.9359999999999999</v>
      </c>
      <c r="E393" s="30" cm="1">
        <f t="array" ref="E393">IF(D393="","",D393-C393)</f>
        <v>0.15200000000000014</v>
      </c>
      <c r="F393" s="31" cm="1">
        <f t="array" ref="F393">IF(D393=0,"",(D393-C393)/C393)</f>
        <v>1.9527235354573503E-2</v>
      </c>
      <c r="G393" s="32">
        <v>95.6</v>
      </c>
      <c r="H393" s="10">
        <v>1</v>
      </c>
      <c r="I393" s="11" cm="1">
        <f t="array" ref="I393">IF(D393="","",(G393*C393)*0.00075)</f>
        <v>0.55811279999999996</v>
      </c>
      <c r="J393" s="11" cm="1">
        <f t="array" ref="J393">IF(D393="","",(G393*D393)*0.00075)</f>
        <v>0.56901120000000005</v>
      </c>
      <c r="K393" s="33" cm="1">
        <f t="array" ref="K393">IF(D393="","",J393+I393)</f>
        <v>1.127124</v>
      </c>
      <c r="L393" s="33" cm="1">
        <f t="array" ref="L393">IF(D393=0,0,(D393-C393)*G393)</f>
        <v>14.531200000000013</v>
      </c>
      <c r="M393" s="12">
        <v>729.0501888</v>
      </c>
      <c r="N393" s="34" cm="1">
        <f t="array" ref="N393">IFERROR((K393-J393)/J393,"–")</f>
        <v>0.98084677419354827</v>
      </c>
      <c r="O393" s="33" cm="1">
        <f t="array" ref="O393">IF(D393=0,0,L393-K393)</f>
        <v>13.404076000000012</v>
      </c>
      <c r="P393" s="11"/>
      <c r="Q393" s="35"/>
    </row>
    <row r="394" spans="1:17" ht="22.5" customHeight="1">
      <c r="A394" s="16" t="s">
        <v>70</v>
      </c>
      <c r="B394" s="43">
        <v>44425</v>
      </c>
      <c r="C394" s="37">
        <v>4.5251999999999999</v>
      </c>
      <c r="D394" s="37">
        <v>4.55</v>
      </c>
      <c r="E394" s="19" cm="1">
        <f t="array" ref="E394">IF(D394="","",D394-C394)</f>
        <v>2.4799999999999933E-2</v>
      </c>
      <c r="F394" s="20" cm="1">
        <f t="array" ref="F394">IF(D394=0,"",(D394-C394)/C394)</f>
        <v>5.4804207548837473E-3</v>
      </c>
      <c r="G394" s="21">
        <v>2585.56</v>
      </c>
      <c r="H394" s="22">
        <v>1</v>
      </c>
      <c r="I394" s="23" cm="1">
        <f t="array" ref="I394">IF(D394="","",(G394*C394)*0.00075)</f>
        <v>8.7751320839999991</v>
      </c>
      <c r="J394" s="23" cm="1">
        <f t="array" ref="J394">IF(D394="","",(G394*D394)*0.00075)</f>
        <v>8.8232234999999992</v>
      </c>
      <c r="K394" s="24" cm="1">
        <f t="array" ref="K394">IF(D394="","",J394+I394)</f>
        <v>17.598355583999997</v>
      </c>
      <c r="L394" s="24" cm="1">
        <f t="array" ref="L394">IF(D394=0,0,(D394-C394)*G394)</f>
        <v>64.121887999999828</v>
      </c>
      <c r="M394" s="25">
        <v>11627.2310005</v>
      </c>
      <c r="N394" s="26" cm="1">
        <f t="array" ref="N394">IFERROR((K394-J394)/J394,"–")</f>
        <v>0.99454945054945032</v>
      </c>
      <c r="O394" s="24" cm="1">
        <f t="array" ref="O394">IF(D394=0,0,L394-K394)</f>
        <v>46.523532415999831</v>
      </c>
      <c r="P394" s="23"/>
      <c r="Q394" s="27"/>
    </row>
    <row r="395" spans="1:17" ht="22.5" customHeight="1">
      <c r="A395" s="16" t="s">
        <v>70</v>
      </c>
      <c r="B395" s="42">
        <v>44425</v>
      </c>
      <c r="C395" s="36">
        <v>4.5251999999999999</v>
      </c>
      <c r="D395" s="36">
        <v>4.5362</v>
      </c>
      <c r="E395" s="30" cm="1">
        <f t="array" ref="E395">IF(D395="","",D395-C395)</f>
        <v>1.1000000000000121E-2</v>
      </c>
      <c r="F395" s="31" cm="1">
        <f t="array" ref="F395">IF(D395=0,"",(D395-C395)/C395)</f>
        <v>2.430831786440405E-3</v>
      </c>
      <c r="G395" s="32">
        <v>2585.5700000000002</v>
      </c>
      <c r="H395" s="10">
        <v>1</v>
      </c>
      <c r="I395" s="11" cm="1">
        <f t="array" ref="I395">IF(D395="","",(G395*C395)*0.00075)</f>
        <v>8.7751660230000006</v>
      </c>
      <c r="J395" s="11" cm="1">
        <f t="array" ref="J395">IF(D395="","",(G395*D395)*0.00075)</f>
        <v>8.7964969755000002</v>
      </c>
      <c r="K395" s="33" cm="1">
        <f t="array" ref="K395">IF(D395="","",J395+I395)</f>
        <v>17.571662998500003</v>
      </c>
      <c r="L395" s="33" cm="1">
        <f t="array" ref="L395">IF(D395=0,0,(D395-C395)*G395)</f>
        <v>28.441270000000316</v>
      </c>
      <c r="M395" s="12">
        <v>11662.9835970245</v>
      </c>
      <c r="N395" s="34" cm="1">
        <f t="array" ref="N395">IFERROR((K395-J395)/J395,"–")</f>
        <v>0.99757506282791786</v>
      </c>
      <c r="O395" s="33" cm="1">
        <f t="array" ref="O395">IF(D395=0,0,L395-K395)</f>
        <v>10.869607001500313</v>
      </c>
      <c r="P395" s="11"/>
      <c r="Q395" s="35"/>
    </row>
    <row r="396" spans="1:17" ht="22.5" customHeight="1">
      <c r="A396" s="16" t="s">
        <v>17</v>
      </c>
      <c r="B396" s="43">
        <v>44425</v>
      </c>
      <c r="C396" s="37">
        <v>1.0846</v>
      </c>
      <c r="D396" s="37">
        <v>1.097</v>
      </c>
      <c r="E396" s="19" cm="1">
        <f t="array" ref="E396">IF(D396="","",D396-C396)</f>
        <v>1.2399999999999967E-2</v>
      </c>
      <c r="F396" s="20" cm="1">
        <f t="array" ref="F396">IF(D396=0,"",(D396-C396)/C396)</f>
        <v>1.1432786280656432E-2</v>
      </c>
      <c r="G396" s="21">
        <v>5670.56</v>
      </c>
      <c r="H396" s="22">
        <v>1</v>
      </c>
      <c r="I396" s="23" cm="1">
        <f t="array" ref="I396">IF(D396="","",(G396*C396)*0.00075)</f>
        <v>4.6127170320000008</v>
      </c>
      <c r="J396" s="23" cm="1">
        <f t="array" ref="J396">IF(D396="","",(G396*D396)*0.00075)</f>
        <v>4.6654532400000006</v>
      </c>
      <c r="K396" s="24" cm="1">
        <f t="array" ref="K396">IF(D396="","",J396+I396)</f>
        <v>9.2781702720000006</v>
      </c>
      <c r="L396" s="24" cm="1">
        <f t="array" ref="L396">IF(D396=0,0,(D396-C396)*G396)</f>
        <v>70.314943999999812</v>
      </c>
      <c r="M396" s="25">
        <v>6075.3089787600002</v>
      </c>
      <c r="N396" s="26" cm="1">
        <f t="array" ref="N396">IFERROR((K396-J396)/J396,"–")</f>
        <v>0.98869644484958963</v>
      </c>
      <c r="O396" s="24" cm="1">
        <f t="array" ref="O396">IF(D396=0,0,L396-K396)</f>
        <v>61.036773727999815</v>
      </c>
      <c r="P396" s="23"/>
      <c r="Q396" s="27"/>
    </row>
    <row r="397" spans="1:17" ht="22.5" customHeight="1">
      <c r="A397" s="16" t="s">
        <v>17</v>
      </c>
      <c r="B397" s="42">
        <v>44425</v>
      </c>
      <c r="C397" s="36">
        <v>1.0846</v>
      </c>
      <c r="D397" s="36">
        <v>1.099</v>
      </c>
      <c r="E397" s="30" cm="1">
        <f t="array" ref="E397">IF(D397="","",D397-C397)</f>
        <v>1.4399999999999968E-2</v>
      </c>
      <c r="F397" s="31" cm="1">
        <f t="array" ref="F397">IF(D397=0,"",(D397-C397)/C397)</f>
        <v>1.327678406785909E-2</v>
      </c>
      <c r="G397" s="32">
        <v>5670.56</v>
      </c>
      <c r="H397" s="10">
        <v>1</v>
      </c>
      <c r="I397" s="11" cm="1">
        <f t="array" ref="I397">IF(D397="","",(G397*C397)*0.00075)</f>
        <v>4.6127170320000008</v>
      </c>
      <c r="J397" s="11" cm="1">
        <f t="array" ref="J397">IF(D397="","",(G397*D397)*0.00075)</f>
        <v>4.6739590800000004</v>
      </c>
      <c r="K397" s="33" cm="1">
        <f t="array" ref="K397">IF(D397="","",J397+I397)</f>
        <v>9.2866761120000021</v>
      </c>
      <c r="L397" s="33" cm="1">
        <f t="array" ref="L397">IF(D397=0,0,(D397-C397)*G397)</f>
        <v>81.65606399999983</v>
      </c>
      <c r="M397" s="12">
        <v>6063.9593529200001</v>
      </c>
      <c r="N397" s="34" cm="1">
        <f t="array" ref="N397">IFERROR((K397-J397)/J397,"–")</f>
        <v>0.98689717925386744</v>
      </c>
      <c r="O397" s="33" cm="1">
        <f t="array" ref="O397">IF(D397=0,0,L397-K397)</f>
        <v>72.369387887999835</v>
      </c>
      <c r="P397" s="11"/>
      <c r="Q397" s="35"/>
    </row>
    <row r="398" spans="1:17" ht="22.5" customHeight="1">
      <c r="A398" s="16" t="s">
        <v>17</v>
      </c>
      <c r="B398" s="43">
        <v>44425</v>
      </c>
      <c r="C398" s="37">
        <v>1.0846</v>
      </c>
      <c r="D398" s="37">
        <v>1.1014999999999999</v>
      </c>
      <c r="E398" s="19" cm="1">
        <f t="array" ref="E398">IF(D398="","",D398-C398)</f>
        <v>1.6899999999999915E-2</v>
      </c>
      <c r="F398" s="20" cm="1">
        <f t="array" ref="F398">IF(D398=0,"",(D398-C398)/C398)</f>
        <v>1.5581781301862359E-2</v>
      </c>
      <c r="G398" s="21">
        <v>2835.28</v>
      </c>
      <c r="H398" s="22">
        <v>1</v>
      </c>
      <c r="I398" s="23" cm="1">
        <f t="array" ref="I398">IF(D398="","",(G398*C398)*0.00075)</f>
        <v>2.3063585160000004</v>
      </c>
      <c r="J398" s="23" cm="1">
        <f t="array" ref="J398">IF(D398="","",(G398*D398)*0.00075)</f>
        <v>2.3422956899999998</v>
      </c>
      <c r="K398" s="24" cm="1">
        <f t="array" ref="K398">IF(D398="","",J398+I398)</f>
        <v>4.6486542059999998</v>
      </c>
      <c r="L398" s="24" cm="1">
        <f t="array" ref="L398">IF(D398=0,0,(D398-C398)*G398)</f>
        <v>47.916231999999759</v>
      </c>
      <c r="M398" s="25">
        <v>3024.8861603099999</v>
      </c>
      <c r="N398" s="26" cm="1">
        <f t="array" ref="N398">IFERROR((K398-J398)/J398,"–")</f>
        <v>0.98465728551974585</v>
      </c>
      <c r="O398" s="24" cm="1">
        <f t="array" ref="O398">IF(D398=0,0,L398-K398)</f>
        <v>43.267577793999763</v>
      </c>
      <c r="P398" s="23"/>
      <c r="Q398" s="27"/>
    </row>
    <row r="399" spans="1:17" ht="22.5" customHeight="1">
      <c r="A399" s="16" t="s">
        <v>17</v>
      </c>
      <c r="B399" s="42">
        <v>44425</v>
      </c>
      <c r="C399" s="36">
        <v>1.0846</v>
      </c>
      <c r="D399" s="36">
        <v>1.1040000000000001</v>
      </c>
      <c r="E399" s="30" cm="1">
        <f t="array" ref="E399">IF(D399="","",D399-C399)</f>
        <v>1.9400000000000084E-2</v>
      </c>
      <c r="F399" s="31" cm="1">
        <f t="array" ref="F399">IF(D399=0,"",(D399-C399)/C399)</f>
        <v>1.7886778535865833E-2</v>
      </c>
      <c r="G399" s="32">
        <v>4252.9399999999996</v>
      </c>
      <c r="H399" s="10">
        <v>1</v>
      </c>
      <c r="I399" s="11" cm="1">
        <f t="array" ref="I399">IF(D399="","",(G399*C399)*0.00075)</f>
        <v>3.4595540429999998</v>
      </c>
      <c r="J399" s="11" cm="1">
        <f t="array" ref="J399">IF(D399="","",(G399*D399)*0.00075)</f>
        <v>3.52143432</v>
      </c>
      <c r="K399" s="33" cm="1">
        <f t="array" ref="K399">IF(D399="","",J399+I399)</f>
        <v>6.9809883629999998</v>
      </c>
      <c r="L399" s="33" cm="1">
        <f t="array" ref="L399">IF(D399=0,0,(D399-C399)*G399)</f>
        <v>82.507036000000355</v>
      </c>
      <c r="M399" s="12">
        <v>4526.7102536800003</v>
      </c>
      <c r="N399" s="34" cm="1">
        <f t="array" ref="N399">IFERROR((K399-J399)/J399,"–")</f>
        <v>0.98242753623188395</v>
      </c>
      <c r="O399" s="33" cm="1">
        <f t="array" ref="O399">IF(D399=0,0,L399-K399)</f>
        <v>75.52604763700036</v>
      </c>
      <c r="P399" s="11"/>
      <c r="Q399" s="35"/>
    </row>
    <row r="400" spans="1:17" ht="22.5" customHeight="1">
      <c r="A400" s="16" t="s">
        <v>17</v>
      </c>
      <c r="B400" s="43">
        <v>44425</v>
      </c>
      <c r="C400" s="37">
        <v>1.0846</v>
      </c>
      <c r="D400" s="37">
        <v>1.1000000000000001</v>
      </c>
      <c r="E400" s="19" cm="1">
        <f t="array" ref="E400">IF(D400="","",D400-C400)</f>
        <v>1.540000000000008E-2</v>
      </c>
      <c r="F400" s="20" cm="1">
        <f t="array" ref="F400">IF(D400=0,"",(D400-C400)/C400)</f>
        <v>1.4198782961460521E-2</v>
      </c>
      <c r="G400" s="21">
        <v>4252.93</v>
      </c>
      <c r="H400" s="22">
        <v>1</v>
      </c>
      <c r="I400" s="23" cm="1">
        <f t="array" ref="I400">IF(D400="","",(G400*C400)*0.00075)</f>
        <v>3.4595459085000004</v>
      </c>
      <c r="J400" s="23" cm="1">
        <f t="array" ref="J400">IF(D400="","",(G400*D400)*0.00075)</f>
        <v>3.5086672500000007</v>
      </c>
      <c r="K400" s="24" cm="1">
        <f t="array" ref="K400">IF(D400="","",J400+I400)</f>
        <v>6.9682131585000011</v>
      </c>
      <c r="L400" s="24" cm="1">
        <f t="array" ref="L400">IF(D400=0,0,(D400-C400)*G400)</f>
        <v>65.49512200000035</v>
      </c>
      <c r="M400" s="25">
        <v>4543.7240887500002</v>
      </c>
      <c r="N400" s="26" cm="1">
        <f t="array" ref="N400">IFERROR((K400-J400)/J400,"–")</f>
        <v>0.98599999999999988</v>
      </c>
      <c r="O400" s="24" cm="1">
        <f t="array" ref="O400">IF(D400=0,0,L400-K400)</f>
        <v>58.526908841500351</v>
      </c>
      <c r="P400" s="23"/>
      <c r="Q400" s="27"/>
    </row>
    <row r="401" spans="1:17" ht="22.5" customHeight="1">
      <c r="A401" s="16" t="s">
        <v>56</v>
      </c>
      <c r="B401" s="42">
        <v>44425</v>
      </c>
      <c r="C401" s="36">
        <v>4.496E-2</v>
      </c>
      <c r="D401" s="36">
        <v>4.4999999999999998E-2</v>
      </c>
      <c r="E401" s="30" cm="1">
        <f t="array" ref="E401">IF(D401="","",D401-C401)</f>
        <v>3.999999999999837E-5</v>
      </c>
      <c r="F401" s="31" cm="1">
        <f t="array" ref="F401">IF(D401=0,"",(D401-C401)/C401)</f>
        <v>8.8967971530245485E-4</v>
      </c>
      <c r="G401" s="32">
        <v>265844</v>
      </c>
      <c r="H401" s="10">
        <v>1</v>
      </c>
      <c r="I401" s="11" cm="1">
        <f t="array" ref="I401">IF(D401="","",(G401*C401)*0.00075)</f>
        <v>8.9642596800000014</v>
      </c>
      <c r="J401" s="11" cm="1">
        <f t="array" ref="J401">IF(D401="","",(G401*D401)*0.00075)</f>
        <v>8.9722349999999995</v>
      </c>
      <c r="K401" s="33" cm="1">
        <f t="array" ref="K401">IF(D401="","",J401+I401)</f>
        <v>17.936494680000003</v>
      </c>
      <c r="L401" s="33" cm="1">
        <f t="array" ref="L401">IF(D401=0,0,(D401-C401)*G401)</f>
        <v>10.633759999999567</v>
      </c>
      <c r="M401" s="12">
        <v>11932.740245000001</v>
      </c>
      <c r="N401" s="34" cm="1">
        <f t="array" ref="N401">IFERROR((K401-J401)/J401,"–")</f>
        <v>0.99911111111111151</v>
      </c>
      <c r="O401" s="33" cm="1">
        <f t="array" ref="O401">IF(D401=0,0,L401-K401)</f>
        <v>-7.3027346800004356</v>
      </c>
      <c r="P401" s="11"/>
      <c r="Q401" s="35"/>
    </row>
    <row r="402" spans="1:17" ht="22.5" customHeight="1">
      <c r="A402" s="16" t="s">
        <v>56</v>
      </c>
      <c r="B402" s="43">
        <v>44425</v>
      </c>
      <c r="C402" s="37">
        <v>4.496E-2</v>
      </c>
      <c r="D402" s="37">
        <v>4.53E-2</v>
      </c>
      <c r="E402" s="19" cm="1">
        <f t="array" ref="E402">IF(D402="","",D402-C402)</f>
        <v>3.4000000000000002E-4</v>
      </c>
      <c r="F402" s="20" cm="1">
        <f t="array" ref="F402">IF(D402=0,"",(D402-C402)/C402)</f>
        <v>7.5622775800711752E-3</v>
      </c>
      <c r="G402" s="21">
        <v>132922</v>
      </c>
      <c r="H402" s="22">
        <v>1</v>
      </c>
      <c r="I402" s="23" cm="1">
        <f t="array" ref="I402">IF(D402="","",(G402*C402)*0.00075)</f>
        <v>4.4821298400000007</v>
      </c>
      <c r="J402" s="23" cm="1">
        <f t="array" ref="J402">IF(D402="","",(G402*D402)*0.00075)</f>
        <v>4.5160249500000003</v>
      </c>
      <c r="K402" s="24" cm="1">
        <f t="array" ref="K402">IF(D402="","",J402+I402)</f>
        <v>8.998154790000001</v>
      </c>
      <c r="L402" s="24" cm="1">
        <f t="array" ref="L402">IF(D402=0,0,(D402-C402)*G402)</f>
        <v>45.193480000000001</v>
      </c>
      <c r="M402" s="25">
        <v>5926.46361505</v>
      </c>
      <c r="N402" s="26" cm="1">
        <f t="array" ref="N402">IFERROR((K402-J402)/J402,"–")</f>
        <v>0.99249448123620321</v>
      </c>
      <c r="O402" s="24" cm="1">
        <f t="array" ref="O402">IF(D402=0,0,L402-K402)</f>
        <v>36.19532521</v>
      </c>
      <c r="P402" s="23"/>
      <c r="Q402" s="27"/>
    </row>
    <row r="403" spans="1:17" ht="22.5" customHeight="1">
      <c r="A403" s="16" t="s">
        <v>56</v>
      </c>
      <c r="B403" s="42">
        <v>44425</v>
      </c>
      <c r="C403" s="36">
        <v>4.496E-2</v>
      </c>
      <c r="D403" s="36">
        <v>4.4999999999999998E-2</v>
      </c>
      <c r="E403" s="30" cm="1">
        <f t="array" ref="E403">IF(D403="","",D403-C403)</f>
        <v>3.999999999999837E-5</v>
      </c>
      <c r="F403" s="31" cm="1">
        <f t="array" ref="F403">IF(D403=0,"",(D403-C403)/C403)</f>
        <v>8.8967971530245485E-4</v>
      </c>
      <c r="G403" s="32">
        <v>56074.6</v>
      </c>
      <c r="H403" s="10">
        <v>1</v>
      </c>
      <c r="I403" s="11" cm="1">
        <f t="array" ref="I403">IF(D403="","",(G403*C403)*0.00075)</f>
        <v>1.890835512</v>
      </c>
      <c r="J403" s="11" cm="1">
        <f t="array" ref="J403">IF(D403="","",(G403*D403)*0.00075)</f>
        <v>1.8925177500000001</v>
      </c>
      <c r="K403" s="33" cm="1">
        <f t="array" ref="K403">IF(D403="","",J403+I403)</f>
        <v>3.7833532620000003</v>
      </c>
      <c r="L403" s="33" cm="1">
        <f t="array" ref="L403">IF(D403=0,0,(D403-C403)*G403)</f>
        <v>2.2429839999999084</v>
      </c>
      <c r="M403" s="12">
        <v>2516.97851425</v>
      </c>
      <c r="N403" s="34" cm="1">
        <f t="array" ref="N403">IFERROR((K403-J403)/J403,"–")</f>
        <v>0.99911111111111117</v>
      </c>
      <c r="O403" s="33" cm="1">
        <f t="array" ref="O403">IF(D403=0,0,L403-K403)</f>
        <v>-1.5403692620000919</v>
      </c>
      <c r="P403" s="11"/>
      <c r="Q403" s="35"/>
    </row>
    <row r="404" spans="1:17" ht="22.5" customHeight="1">
      <c r="A404" s="16" t="s">
        <v>56</v>
      </c>
      <c r="B404" s="43">
        <v>44425</v>
      </c>
      <c r="C404" s="37">
        <v>4.496E-2</v>
      </c>
      <c r="D404" s="37">
        <v>4.53E-2</v>
      </c>
      <c r="E404" s="19" cm="1">
        <f t="array" ref="E404">IF(D404="","",D404-C404)</f>
        <v>3.4000000000000002E-4</v>
      </c>
      <c r="F404" s="20" cm="1">
        <f t="array" ref="F404">IF(D404=0,"",(D404-C404)/C404)</f>
        <v>7.5622775800711752E-3</v>
      </c>
      <c r="G404" s="21">
        <v>76847.5</v>
      </c>
      <c r="H404" s="22">
        <v>1</v>
      </c>
      <c r="I404" s="23" cm="1">
        <f t="array" ref="I404">IF(D404="","",(G404*C404)*0.00075)</f>
        <v>2.5912977000000001</v>
      </c>
      <c r="J404" s="23" cm="1">
        <f t="array" ref="J404">IF(D404="","",(G404*D404)*0.00075)</f>
        <v>2.6108938125000001</v>
      </c>
      <c r="K404" s="24" cm="1">
        <f t="array" ref="K404">IF(D404="","",J404+I404)</f>
        <v>5.2021915125000007</v>
      </c>
      <c r="L404" s="24" cm="1">
        <f t="array" ref="L404">IF(D404=0,0,(D404-C404)*G404)</f>
        <v>26.128150000000002</v>
      </c>
      <c r="M404" s="25">
        <v>3426.3245561875001</v>
      </c>
      <c r="N404" s="26" cm="1">
        <f t="array" ref="N404">IFERROR((K404-J404)/J404,"–")</f>
        <v>0.99249448123620332</v>
      </c>
      <c r="O404" s="24" cm="1">
        <f t="array" ref="O404">IF(D404=0,0,L404-K404)</f>
        <v>20.925958487500001</v>
      </c>
      <c r="P404" s="23"/>
      <c r="Q404" s="27"/>
    </row>
    <row r="405" spans="1:17" ht="22.5" customHeight="1">
      <c r="A405" s="16" t="s">
        <v>141</v>
      </c>
      <c r="B405" s="42">
        <v>44425</v>
      </c>
      <c r="C405" s="36">
        <v>5.78</v>
      </c>
      <c r="D405" s="36">
        <v>5.89</v>
      </c>
      <c r="E405" s="30" cm="1">
        <f t="array" ref="E405">IF(D405="","",D405-C405)</f>
        <v>0.10999999999999943</v>
      </c>
      <c r="F405" s="31" cm="1">
        <f t="array" ref="F405">IF(D405=0,"",(D405-C405)/C405)</f>
        <v>1.903114186851201E-2</v>
      </c>
      <c r="G405" s="32">
        <v>2076.3000000000002</v>
      </c>
      <c r="H405" s="10">
        <v>1</v>
      </c>
      <c r="I405" s="11" cm="1">
        <f t="array" ref="I405">IF(D405="","",(G405*C405)*0.00075)</f>
        <v>9.0007605000000002</v>
      </c>
      <c r="J405" s="11" cm="1">
        <f t="array" ref="J405">IF(D405="","",(G405*D405)*0.00075)</f>
        <v>9.1720552500000014</v>
      </c>
      <c r="K405" s="33" cm="1">
        <f t="array" ref="K405">IF(D405="","",J405+I405)</f>
        <v>18.172815750000002</v>
      </c>
      <c r="L405" s="33" cm="1">
        <f t="array" ref="L405">IF(D405=0,0,(D405-C405)*G405)</f>
        <v>228.39299999999884</v>
      </c>
      <c r="M405" s="12">
        <v>11763.44894475</v>
      </c>
      <c r="N405" s="34" cm="1">
        <f t="array" ref="N405">IFERROR((K405-J405)/J405,"–")</f>
        <v>0.98132427843803038</v>
      </c>
      <c r="O405" s="33" cm="1">
        <f t="array" ref="O405">IF(D405=0,0,L405-K405)</f>
        <v>210.22018424999882</v>
      </c>
      <c r="P405" s="11"/>
      <c r="Q405" s="35"/>
    </row>
    <row r="406" spans="1:17" ht="22.5" customHeight="1">
      <c r="A406" s="16" t="s">
        <v>141</v>
      </c>
      <c r="B406" s="43">
        <v>44425</v>
      </c>
      <c r="C406" s="37">
        <v>5.78</v>
      </c>
      <c r="D406" s="37">
        <v>5.79</v>
      </c>
      <c r="E406" s="19" cm="1">
        <f t="array" ref="E406">IF(D406="","",D406-C406)</f>
        <v>9.9999999999997868E-3</v>
      </c>
      <c r="F406" s="20" cm="1">
        <f t="array" ref="F406">IF(D406=0,"",(D406-C406)/C406)</f>
        <v>1.7301038062283367E-3</v>
      </c>
      <c r="G406" s="21">
        <v>1038.2</v>
      </c>
      <c r="H406" s="22">
        <v>1</v>
      </c>
      <c r="I406" s="23" cm="1">
        <f t="array" ref="I406">IF(D406="","",(G406*C406)*0.00075)</f>
        <v>4.500597</v>
      </c>
      <c r="J406" s="23" cm="1">
        <f t="array" ref="J406">IF(D406="","",(G406*D406)*0.00075)</f>
        <v>4.5083834999999999</v>
      </c>
      <c r="K406" s="24" cm="1">
        <f t="array" ref="K406">IF(D406="","",J406+I406)</f>
        <v>9.0089804999999998</v>
      </c>
      <c r="L406" s="24" cm="1">
        <f t="array" ref="L406">IF(D406=0,0,(D406-C406)*G406)</f>
        <v>10.381999999999779</v>
      </c>
      <c r="M406" s="25">
        <v>5985.9056165000002</v>
      </c>
      <c r="N406" s="26" cm="1">
        <f t="array" ref="N406">IFERROR((K406-J406)/J406,"–")</f>
        <v>0.99827288428324701</v>
      </c>
      <c r="O406" s="24" cm="1">
        <f t="array" ref="O406">IF(D406=0,0,L406-K406)</f>
        <v>1.3730194999997796</v>
      </c>
      <c r="P406" s="23"/>
      <c r="Q406" s="27"/>
    </row>
    <row r="407" spans="1:17" ht="22.5" customHeight="1">
      <c r="A407" s="16" t="s">
        <v>141</v>
      </c>
      <c r="B407" s="42">
        <v>44425</v>
      </c>
      <c r="C407" s="36">
        <v>5.78</v>
      </c>
      <c r="D407" s="36">
        <v>5.89</v>
      </c>
      <c r="E407" s="30" cm="1">
        <f t="array" ref="E407">IF(D407="","",D407-C407)</f>
        <v>0.10999999999999943</v>
      </c>
      <c r="F407" s="31" cm="1">
        <f t="array" ref="F407">IF(D407=0,"",(D407-C407)/C407)</f>
        <v>1.903114186851201E-2</v>
      </c>
      <c r="G407" s="32">
        <v>1038.2</v>
      </c>
      <c r="H407" s="10">
        <v>1</v>
      </c>
      <c r="I407" s="11" cm="1">
        <f t="array" ref="I407">IF(D407="","",(G407*C407)*0.00075)</f>
        <v>4.500597</v>
      </c>
      <c r="J407" s="11" cm="1">
        <f t="array" ref="J407">IF(D407="","",(G407*D407)*0.00075)</f>
        <v>4.5862485</v>
      </c>
      <c r="K407" s="33" cm="1">
        <f t="array" ref="K407">IF(D407="","",J407+I407)</f>
        <v>9.086845499999999</v>
      </c>
      <c r="L407" s="33" cm="1">
        <f t="array" ref="L407">IF(D407=0,0,(D407-C407)*G407)</f>
        <v>114.20199999999942</v>
      </c>
      <c r="M407" s="12">
        <v>5882.0077515000003</v>
      </c>
      <c r="N407" s="34" cm="1">
        <f t="array" ref="N407">IFERROR((K407-J407)/J407,"–")</f>
        <v>0.98132427843803038</v>
      </c>
      <c r="O407" s="33" cm="1">
        <f t="array" ref="O407">IF(D407=0,0,L407-K407)</f>
        <v>105.11515449999942</v>
      </c>
      <c r="P407" s="11"/>
      <c r="Q407" s="35"/>
    </row>
    <row r="408" spans="1:17" ht="22.5" customHeight="1">
      <c r="A408" s="16" t="s">
        <v>141</v>
      </c>
      <c r="B408" s="43">
        <v>44425</v>
      </c>
      <c r="C408" s="37">
        <v>5.9</v>
      </c>
      <c r="D408" s="37">
        <v>5.83</v>
      </c>
      <c r="E408" s="19" cm="1">
        <f t="array" ref="E408">IF(D408="","",D408-C408)</f>
        <v>-7.0000000000000284E-2</v>
      </c>
      <c r="F408" s="20" cm="1">
        <f t="array" ref="F408">IF(D408=0,"",(D408-C408)/C408)</f>
        <v>-1.1864406779661064E-2</v>
      </c>
      <c r="G408" s="21">
        <v>517.6</v>
      </c>
      <c r="H408" s="22">
        <v>1</v>
      </c>
      <c r="I408" s="23" cm="1">
        <f t="array" ref="I408">IF(D408="","",(G408*C408)*0.00075)</f>
        <v>2.2903800000000003</v>
      </c>
      <c r="J408" s="23" cm="1">
        <f t="array" ref="J408">IF(D408="","",(G408*D408)*0.00075)</f>
        <v>2.2632060000000003</v>
      </c>
      <c r="K408" s="24" cm="1">
        <f t="array" ref="K408">IF(D408="","",J408+I408)</f>
        <v>4.553586000000001</v>
      </c>
      <c r="L408" s="24" cm="1">
        <f t="array" ref="L408">IF(D408=0,0,(D408-C408)*G408)</f>
        <v>-36.232000000000149</v>
      </c>
      <c r="M408" s="25">
        <v>3087.808794</v>
      </c>
      <c r="N408" s="26" cm="1">
        <f t="array" ref="N408">IFERROR((K408-J408)/J408,"–")</f>
        <v>1.0120068610634649</v>
      </c>
      <c r="O408" s="24" cm="1">
        <f t="array" ref="O408">IF(D408=0,0,L408-K408)</f>
        <v>-40.785586000000151</v>
      </c>
      <c r="P408" s="23"/>
      <c r="Q408" s="27"/>
    </row>
    <row r="409" spans="1:17" ht="22.5" customHeight="1">
      <c r="A409" s="16" t="s">
        <v>141</v>
      </c>
      <c r="B409" s="42">
        <v>44425</v>
      </c>
      <c r="C409" s="36">
        <v>5.9</v>
      </c>
      <c r="D409" s="36">
        <v>5.76</v>
      </c>
      <c r="E409" s="30" cm="1">
        <f t="array" ref="E409">IF(D409="","",D409-C409)</f>
        <v>-0.14000000000000057</v>
      </c>
      <c r="F409" s="31" cm="1">
        <f t="array" ref="F409">IF(D409=0,"",(D409-C409)/C409)</f>
        <v>-2.3728813559322128E-2</v>
      </c>
      <c r="G409" s="32">
        <v>517.6</v>
      </c>
      <c r="H409" s="10">
        <v>1</v>
      </c>
      <c r="I409" s="11" cm="1">
        <f t="array" ref="I409">IF(D409="","",(G409*C409)*0.00075)</f>
        <v>2.2903800000000003</v>
      </c>
      <c r="J409" s="11" cm="1">
        <f t="array" ref="J409">IF(D409="","",(G409*D409)*0.00075)</f>
        <v>2.2360320000000002</v>
      </c>
      <c r="K409" s="33" cm="1">
        <f t="array" ref="K409">IF(D409="","",J409+I409)</f>
        <v>4.5264120000000005</v>
      </c>
      <c r="L409" s="33" cm="1">
        <f t="array" ref="L409">IF(D409=0,0,(D409-C409)*G409)</f>
        <v>-72.464000000000297</v>
      </c>
      <c r="M409" s="12">
        <v>3124.0679679999998</v>
      </c>
      <c r="N409" s="34" cm="1">
        <f t="array" ref="N409">IFERROR((K409-J409)/J409,"–")</f>
        <v>1.0243055555555556</v>
      </c>
      <c r="O409" s="33" cm="1">
        <f t="array" ref="O409">IF(D409=0,0,L409-K409)</f>
        <v>-76.990412000000305</v>
      </c>
      <c r="P409" s="11"/>
      <c r="Q409" s="35"/>
    </row>
    <row r="410" spans="1:17" ht="22.5" customHeight="1">
      <c r="A410" s="16" t="s">
        <v>50</v>
      </c>
      <c r="B410" s="43">
        <v>44427</v>
      </c>
      <c r="C410" s="37">
        <v>11.95</v>
      </c>
      <c r="D410" s="37">
        <v>12.03</v>
      </c>
      <c r="E410" s="19" cm="1">
        <f t="array" ref="E410">IF(D410="","",D410-C410)</f>
        <v>8.0000000000000071E-2</v>
      </c>
      <c r="F410" s="20" cm="1">
        <f t="array" ref="F410">IF(D410=0,"",(D410-C410)/C410)</f>
        <v>6.6945606694560735E-3</v>
      </c>
      <c r="G410" s="21">
        <v>1012.55</v>
      </c>
      <c r="H410" s="22">
        <v>1</v>
      </c>
      <c r="I410" s="23" cm="1">
        <f t="array" ref="I410">IF(D410="","",(G410*C410)*0.00075)</f>
        <v>9.0749793749999981</v>
      </c>
      <c r="J410" s="23" cm="1">
        <f t="array" ref="J410">IF(D410="","",(G410*D410)*0.00075)</f>
        <v>9.1357323749999999</v>
      </c>
      <c r="K410" s="24" cm="1">
        <f t="array" ref="K410">IF(D410="","",J410+I410)</f>
        <v>18.210711749999998</v>
      </c>
      <c r="L410" s="24" cm="1">
        <f t="array" ref="L410">IF(D410=0,0,(D410-C410)*G410)</f>
        <v>81.004000000000062</v>
      </c>
      <c r="M410" s="25">
        <v>12009.832767624999</v>
      </c>
      <c r="N410" s="26" cm="1">
        <f t="array" ref="N410">IFERROR((K410-J410)/J410,"–")</f>
        <v>0.99334995843724005</v>
      </c>
      <c r="O410" s="24" cm="1">
        <f t="array" ref="O410">IF(D410=0,0,L410-K410)</f>
        <v>62.79328825000006</v>
      </c>
      <c r="P410" s="23"/>
      <c r="Q410" s="27"/>
    </row>
    <row r="411" spans="1:17" ht="22.5" customHeight="1">
      <c r="A411" s="16" t="s">
        <v>50</v>
      </c>
      <c r="B411" s="42">
        <v>44427</v>
      </c>
      <c r="C411" s="36">
        <v>11.95</v>
      </c>
      <c r="D411" s="36">
        <v>12.0451</v>
      </c>
      <c r="E411" s="30" cm="1">
        <f t="array" ref="E411">IF(D411="","",D411-C411)</f>
        <v>9.5100000000000406E-2</v>
      </c>
      <c r="F411" s="31" cm="1">
        <f t="array" ref="F411">IF(D411=0,"",(D411-C411)/C411)</f>
        <v>7.9581589958159348E-3</v>
      </c>
      <c r="G411" s="32">
        <v>1012.56</v>
      </c>
      <c r="H411" s="10">
        <v>1</v>
      </c>
      <c r="I411" s="11" cm="1">
        <f t="array" ref="I411">IF(D411="","",(G411*C411)*0.00075)</f>
        <v>9.0750689999999992</v>
      </c>
      <c r="J411" s="11" cm="1">
        <f t="array" ref="J411">IF(D411="","",(G411*D411)*0.00075)</f>
        <v>9.1472898419999993</v>
      </c>
      <c r="K411" s="33" cm="1">
        <f t="array" ref="K411">IF(D411="","",J411+I411)</f>
        <v>18.222358841999998</v>
      </c>
      <c r="L411" s="33" cm="1">
        <f t="array" ref="L411">IF(D411=0,0,(D411-C411)*G411)</f>
        <v>96.294456000000409</v>
      </c>
      <c r="M411" s="12">
        <v>11994.650254157999</v>
      </c>
      <c r="N411" s="34" cm="1">
        <f t="array" ref="N411">IFERROR((K411-J411)/J411,"–")</f>
        <v>0.99210467326962826</v>
      </c>
      <c r="O411" s="33" cm="1">
        <f t="array" ref="O411">IF(D411=0,0,L411-K411)</f>
        <v>78.072097158000417</v>
      </c>
      <c r="P411" s="11"/>
      <c r="Q411" s="35"/>
    </row>
    <row r="412" spans="1:17" ht="22.5" customHeight="1">
      <c r="A412" s="16" t="s">
        <v>142</v>
      </c>
      <c r="B412" s="43">
        <v>44427</v>
      </c>
      <c r="C412" s="37">
        <v>2.4586999999999999</v>
      </c>
      <c r="D412" s="37">
        <v>2.4769999999999999</v>
      </c>
      <c r="E412" s="19" cm="1">
        <f t="array" ref="E412">IF(D412="","",D412-C412)</f>
        <v>1.8299999999999983E-2</v>
      </c>
      <c r="F412" s="20" cm="1">
        <f t="array" ref="F412">IF(D412=0,"",(D412-C412)/C412)</f>
        <v>7.4429576605523178E-3</v>
      </c>
      <c r="G412" s="21">
        <v>1169.3</v>
      </c>
      <c r="H412" s="22">
        <v>1</v>
      </c>
      <c r="I412" s="23" cm="1">
        <f t="array" ref="I412">IF(D412="","",(G412*C412)*0.00075)</f>
        <v>2.1562184324999998</v>
      </c>
      <c r="J412" s="23" cm="1">
        <f t="array" ref="J412">IF(D412="","",(G412*D412)*0.00075)</f>
        <v>2.1722670749999997</v>
      </c>
      <c r="K412" s="24" cm="1">
        <f t="array" ref="K412">IF(D412="","",J412+I412)</f>
        <v>4.3284855074999999</v>
      </c>
      <c r="L412" s="24" cm="1">
        <f t="array" ref="L412">IF(D412=0,0,(D412-C412)*G412)</f>
        <v>21.398189999999978</v>
      </c>
      <c r="M412" s="25">
        <v>2851.3874529250002</v>
      </c>
      <c r="N412" s="26" cm="1">
        <f t="array" ref="N412">IFERROR((K412-J412)/J412,"–")</f>
        <v>0.99261203068227721</v>
      </c>
      <c r="O412" s="24" cm="1">
        <f t="array" ref="O412">IF(D412=0,0,L412-K412)</f>
        <v>17.06970449249998</v>
      </c>
      <c r="P412" s="23"/>
      <c r="Q412" s="27"/>
    </row>
    <row r="413" spans="1:17" ht="22.5" customHeight="1">
      <c r="A413" s="16" t="s">
        <v>142</v>
      </c>
      <c r="B413" s="42">
        <v>44427</v>
      </c>
      <c r="C413" s="36">
        <v>2.4586999999999999</v>
      </c>
      <c r="D413" s="36">
        <v>2.488</v>
      </c>
      <c r="E413" s="30" cm="1">
        <f t="array" ref="E413">IF(D413="","",D413-C413)</f>
        <v>2.9300000000000104E-2</v>
      </c>
      <c r="F413" s="31" cm="1">
        <f t="array" ref="F413">IF(D413=0,"",(D413-C413)/C413)</f>
        <v>1.191686663684065E-2</v>
      </c>
      <c r="G413" s="32">
        <v>1169.3</v>
      </c>
      <c r="H413" s="10">
        <v>1</v>
      </c>
      <c r="I413" s="11" cm="1">
        <f t="array" ref="I413">IF(D413="","",(G413*C413)*0.00075)</f>
        <v>2.1562184324999998</v>
      </c>
      <c r="J413" s="11" cm="1">
        <f t="array" ref="J413">IF(D413="","",(G413*D413)*0.00075)</f>
        <v>2.1819137999999998</v>
      </c>
      <c r="K413" s="33" cm="1">
        <f t="array" ref="K413">IF(D413="","",J413+I413)</f>
        <v>4.3381322324999996</v>
      </c>
      <c r="L413" s="33" cm="1">
        <f t="array" ref="L413">IF(D413=0,0,(D413-C413)*G413)</f>
        <v>34.260490000000118</v>
      </c>
      <c r="M413" s="12">
        <v>2838.5155061999999</v>
      </c>
      <c r="N413" s="34" cm="1">
        <f t="array" ref="N413">IFERROR((K413-J413)/J413,"–")</f>
        <v>0.98822347266881028</v>
      </c>
      <c r="O413" s="33" cm="1">
        <f t="array" ref="O413">IF(D413=0,0,L413-K413)</f>
        <v>29.922357767500117</v>
      </c>
      <c r="P413" s="11"/>
      <c r="Q413" s="35"/>
    </row>
    <row r="414" spans="1:17" ht="22.5" customHeight="1">
      <c r="A414" s="16" t="s">
        <v>114</v>
      </c>
      <c r="B414" s="43">
        <v>44427</v>
      </c>
      <c r="C414" s="37">
        <v>2.9914999999999998</v>
      </c>
      <c r="D414" s="37">
        <v>2.9009</v>
      </c>
      <c r="E414" s="19" cm="1">
        <f t="array" ref="E414">IF(D414="","",D414-C414)</f>
        <v>-9.0599999999999792E-2</v>
      </c>
      <c r="F414" s="20" cm="1">
        <f t="array" ref="F414">IF(D414=0,"",(D414-C414)/C414)</f>
        <v>-3.0285809794417449E-2</v>
      </c>
      <c r="G414" s="21">
        <v>3305.83</v>
      </c>
      <c r="H414" s="22">
        <v>1</v>
      </c>
      <c r="I414" s="23" cm="1">
        <f t="array" ref="I414">IF(D414="","",(G414*C414)*0.00075)</f>
        <v>7.4170428337499992</v>
      </c>
      <c r="J414" s="23" cm="1">
        <f t="array" ref="J414">IF(D414="","",(G414*D414)*0.00075)</f>
        <v>7.1924116852499997</v>
      </c>
      <c r="K414" s="24" cm="1">
        <f t="array" ref="K414">IF(D414="","",J414+I414)</f>
        <v>14.609454519</v>
      </c>
      <c r="L414" s="24" cm="1">
        <f t="array" ref="L414">IF(D414=0,0,(D414-C414)*G414)</f>
        <v>-299.50819799999931</v>
      </c>
      <c r="M414" s="25">
        <v>10181.7062313148</v>
      </c>
      <c r="N414" s="26" cm="1">
        <f t="array" ref="N414">IFERROR((K414-J414)/J414,"–")</f>
        <v>1.0312316867179152</v>
      </c>
      <c r="O414" s="24" cm="1">
        <f t="array" ref="O414">IF(D414=0,0,L414-K414)</f>
        <v>-314.11765251899931</v>
      </c>
      <c r="P414" s="23"/>
      <c r="Q414" s="27"/>
    </row>
    <row r="415" spans="1:17" ht="22.5" customHeight="1">
      <c r="A415" s="16" t="s">
        <v>114</v>
      </c>
      <c r="B415" s="42">
        <v>44427</v>
      </c>
      <c r="C415" s="36">
        <v>2.9914999999999998</v>
      </c>
      <c r="D415" s="36">
        <v>2.895</v>
      </c>
      <c r="E415" s="30" cm="1">
        <f t="array" ref="E415">IF(D415="","",D415-C415)</f>
        <v>-9.6499999999999808E-2</v>
      </c>
      <c r="F415" s="31" cm="1">
        <f t="array" ref="F415">IF(D415=0,"",(D415-C415)/C415)</f>
        <v>-3.2258064516128969E-2</v>
      </c>
      <c r="G415" s="32">
        <v>2811.51</v>
      </c>
      <c r="H415" s="10">
        <v>1</v>
      </c>
      <c r="I415" s="11" cm="1">
        <f t="array" ref="I415">IF(D415="","",(G415*C415)*0.00075)</f>
        <v>6.3079741237500011</v>
      </c>
      <c r="J415" s="11" cm="1">
        <f t="array" ref="J415">IF(D415="","",(G415*D415)*0.00075)</f>
        <v>6.1044910875000005</v>
      </c>
      <c r="K415" s="33" cm="1">
        <f t="array" ref="K415">IF(D415="","",J415+I415)</f>
        <v>12.412465211250002</v>
      </c>
      <c r="L415" s="33" cm="1">
        <f t="array" ref="L415">IF(D415=0,0,(D415-C415)*G415)</f>
        <v>-271.3107149999995</v>
      </c>
      <c r="M415" s="12">
        <v>8675.8383889124998</v>
      </c>
      <c r="N415" s="34" cm="1">
        <f t="array" ref="N415">IFERROR((K415-J415)/J415,"–")</f>
        <v>1.0333333333333334</v>
      </c>
      <c r="O415" s="33" cm="1">
        <f t="array" ref="O415">IF(D415=0,0,L415-K415)</f>
        <v>-283.72318021124948</v>
      </c>
      <c r="P415" s="11"/>
      <c r="Q415" s="35"/>
    </row>
    <row r="416" spans="1:17" ht="22.5" customHeight="1">
      <c r="A416" s="16" t="s">
        <v>114</v>
      </c>
      <c r="B416" s="43">
        <v>44427</v>
      </c>
      <c r="C416" s="37">
        <v>2.9914999999999998</v>
      </c>
      <c r="D416" s="37">
        <v>2.8956</v>
      </c>
      <c r="E416" s="19" cm="1">
        <f t="array" ref="E416">IF(D416="","",D416-C416)</f>
        <v>-9.5899999999999874E-2</v>
      </c>
      <c r="F416" s="20" cm="1">
        <f t="array" ref="F416">IF(D416=0,"",(D416-C416)/C416)</f>
        <v>-3.2057496239344771E-2</v>
      </c>
      <c r="G416" s="21">
        <v>2039.11</v>
      </c>
      <c r="H416" s="22">
        <v>1</v>
      </c>
      <c r="I416" s="23" cm="1">
        <f t="array" ref="I416">IF(D416="","",(G416*C416)*0.00075)</f>
        <v>4.5749981737500001</v>
      </c>
      <c r="J416" s="23" cm="1">
        <f t="array" ref="J416">IF(D416="","",(G416*D416)*0.00075)</f>
        <v>4.4283351870000001</v>
      </c>
      <c r="K416" s="24" cm="1">
        <f t="array" ref="K416">IF(D416="","",J416+I416)</f>
        <v>9.0033333607500001</v>
      </c>
      <c r="L416" s="24" cm="1">
        <f t="array" ref="L416">IF(D416=0,0,(D416-C416)*G416)</f>
        <v>-195.55064899999974</v>
      </c>
      <c r="M416" s="25">
        <v>6291.1198788129996</v>
      </c>
      <c r="N416" s="26" cm="1">
        <f t="array" ref="N416">IFERROR((K416-J416)/J416,"–")</f>
        <v>1.0331192153612376</v>
      </c>
      <c r="O416" s="24" cm="1">
        <f t="array" ref="O416">IF(D416=0,0,L416-K416)</f>
        <v>-204.55398236074973</v>
      </c>
      <c r="P416" s="23"/>
      <c r="Q416" s="27"/>
    </row>
    <row r="417" spans="1:17" ht="22.5" customHeight="1">
      <c r="A417" s="16" t="s">
        <v>143</v>
      </c>
      <c r="B417" s="42">
        <v>44427</v>
      </c>
      <c r="C417" s="36">
        <v>4.76</v>
      </c>
      <c r="D417" s="36">
        <v>4.8099999999999996</v>
      </c>
      <c r="E417" s="30" cm="1">
        <f t="array" ref="E417">IF(D417="","",D417-C417)</f>
        <v>4.9999999999999822E-2</v>
      </c>
      <c r="F417" s="31" cm="1">
        <f t="array" ref="F417">IF(D417=0,"",(D417-C417)/C417)</f>
        <v>1.0504201680672232E-2</v>
      </c>
      <c r="G417" s="32">
        <v>630.20000000000005</v>
      </c>
      <c r="H417" s="10">
        <v>1</v>
      </c>
      <c r="I417" s="11" cm="1">
        <f t="array" ref="I417">IF(D417="","",(G417*C417)*0.00075)</f>
        <v>2.2498140000000002</v>
      </c>
      <c r="J417" s="11" cm="1">
        <f t="array" ref="J417">IF(D417="","",(G417*D417)*0.00075)</f>
        <v>2.2734465000000004</v>
      </c>
      <c r="K417" s="33" cm="1">
        <f t="array" ref="K417">IF(D417="","",J417+I417)</f>
        <v>4.523260500000001</v>
      </c>
      <c r="L417" s="33" cm="1">
        <f t="array" ref="L417">IF(D417=0,0,(D417-C417)*G417)</f>
        <v>31.509999999999891</v>
      </c>
      <c r="M417" s="12">
        <v>2965.9685534999999</v>
      </c>
      <c r="N417" s="34" cm="1">
        <f t="array" ref="N417">IFERROR((K417-J417)/J417,"–")</f>
        <v>0.98960498960498977</v>
      </c>
      <c r="O417" s="33" cm="1">
        <f t="array" ref="O417">IF(D417=0,0,L417-K417)</f>
        <v>26.986739499999892</v>
      </c>
      <c r="P417" s="11"/>
      <c r="Q417" s="35"/>
    </row>
    <row r="418" spans="1:17" ht="22.5" customHeight="1">
      <c r="A418" s="16" t="s">
        <v>91</v>
      </c>
      <c r="B418" s="43">
        <v>44427</v>
      </c>
      <c r="C418" s="37">
        <v>0.37019999999999997</v>
      </c>
      <c r="D418" s="37">
        <v>0.36699999999999999</v>
      </c>
      <c r="E418" s="19" cm="1">
        <f t="array" ref="E418">IF(D418="","",D418-C418)</f>
        <v>-3.1999999999999806E-3</v>
      </c>
      <c r="F418" s="20" cm="1">
        <f t="array" ref="F418">IF(D418=0,"",(D418-C418)/C418)</f>
        <v>-8.6439762290653182E-3</v>
      </c>
      <c r="G418" s="21">
        <v>31608.37</v>
      </c>
      <c r="H418" s="22">
        <v>1</v>
      </c>
      <c r="I418" s="23" cm="1">
        <f t="array" ref="I418">IF(D418="","",(G418*C418)*0.00075)</f>
        <v>8.7760639304999994</v>
      </c>
      <c r="J418" s="23" cm="1">
        <f t="array" ref="J418">IF(D418="","",(G418*D418)*0.00075)</f>
        <v>8.7002038424999988</v>
      </c>
      <c r="K418" s="24" cm="1">
        <f t="array" ref="K418">IF(D418="","",J418+I418)</f>
        <v>17.476267772999996</v>
      </c>
      <c r="L418" s="24" cm="1">
        <f t="array" ref="L418">IF(D418=0,0,(D418-C418)*G418)</f>
        <v>-101.14678399999939</v>
      </c>
      <c r="M418" s="25">
        <v>11793.8651541575</v>
      </c>
      <c r="N418" s="26" cm="1">
        <f t="array" ref="N418">IFERROR((K418-J418)/J418,"–")</f>
        <v>1.0087193460490462</v>
      </c>
      <c r="O418" s="24" cm="1">
        <f t="array" ref="O418">IF(D418=0,0,L418-K418)</f>
        <v>-118.62305177299939</v>
      </c>
      <c r="P418" s="23"/>
      <c r="Q418" s="27"/>
    </row>
    <row r="419" spans="1:17" ht="22.5" customHeight="1">
      <c r="A419" s="16" t="s">
        <v>91</v>
      </c>
      <c r="B419" s="42">
        <v>44427</v>
      </c>
      <c r="C419" s="36">
        <v>0.37019999999999997</v>
      </c>
      <c r="D419" s="36">
        <v>0.36799999999999999</v>
      </c>
      <c r="E419" s="30" cm="1">
        <f t="array" ref="E419">IF(D419="","",D419-C419)</f>
        <v>-2.1999999999999797E-3</v>
      </c>
      <c r="F419" s="31" cm="1">
        <f t="array" ref="F419">IF(D419=0,"",(D419-C419)/C419)</f>
        <v>-5.9427336574823875E-3</v>
      </c>
      <c r="G419" s="32">
        <v>2044.26</v>
      </c>
      <c r="H419" s="10">
        <v>1</v>
      </c>
      <c r="I419" s="11" cm="1">
        <f t="array" ref="I419">IF(D419="","",(G419*C419)*0.00075)</f>
        <v>0.56758878899999998</v>
      </c>
      <c r="J419" s="11" cm="1">
        <f t="array" ref="J419">IF(D419="","",(G419*D419)*0.00075)</f>
        <v>0.56421576000000007</v>
      </c>
      <c r="K419" s="33" cm="1">
        <f t="array" ref="K419">IF(D419="","",J419+I419)</f>
        <v>1.1318045489999999</v>
      </c>
      <c r="L419" s="33" cm="1">
        <f t="array" ref="L419">IF(D419=0,0,(D419-C419)*G419)</f>
        <v>-4.4973719999999586</v>
      </c>
      <c r="M419" s="12">
        <v>760.71820823999997</v>
      </c>
      <c r="N419" s="34" cm="1">
        <f t="array" ref="N419">IFERROR((K419-J419)/J419,"–")</f>
        <v>1.0059782608695649</v>
      </c>
      <c r="O419" s="33" cm="1">
        <f t="array" ref="O419">IF(D419=0,0,L419-K419)</f>
        <v>-5.6291765489999586</v>
      </c>
      <c r="P419" s="11"/>
      <c r="Q419" s="35"/>
    </row>
    <row r="420" spans="1:17" ht="22.5" customHeight="1">
      <c r="A420" s="16" t="s">
        <v>91</v>
      </c>
      <c r="B420" s="43">
        <v>44427</v>
      </c>
      <c r="C420" s="37">
        <v>0.37019999999999997</v>
      </c>
      <c r="D420" s="37">
        <v>0.36599999999999999</v>
      </c>
      <c r="E420" s="19" cm="1">
        <f t="array" ref="E420">IF(D420="","",D420-C420)</f>
        <v>-4.1999999999999815E-3</v>
      </c>
      <c r="F420" s="20" cm="1">
        <f t="array" ref="F420">IF(D420=0,"",(D420-C420)/C420)</f>
        <v>-1.134521880064825E-2</v>
      </c>
      <c r="G420" s="21">
        <v>29564.12</v>
      </c>
      <c r="H420" s="22">
        <v>1</v>
      </c>
      <c r="I420" s="23" cm="1">
        <f t="array" ref="I420">IF(D420="","",(G420*C420)*0.00075)</f>
        <v>8.208477917999998</v>
      </c>
      <c r="J420" s="23" cm="1">
        <f t="array" ref="J420">IF(D420="","",(G420*D420)*0.00075)</f>
        <v>8.115350939999999</v>
      </c>
      <c r="K420" s="24" cm="1">
        <f t="array" ref="K420">IF(D420="","",J420+I420)</f>
        <v>16.323828857999999</v>
      </c>
      <c r="L420" s="24" cm="1">
        <f t="array" ref="L420">IF(D420=0,0,(D420-C420)*G420)</f>
        <v>-124.16930399999944</v>
      </c>
      <c r="M420" s="25">
        <v>11060.69117706</v>
      </c>
      <c r="N420" s="26" cm="1">
        <f t="array" ref="N420">IFERROR((K420-J420)/J420,"–")</f>
        <v>1.0114754098360657</v>
      </c>
      <c r="O420" s="24" cm="1">
        <f t="array" ref="O420">IF(D420=0,0,L420-K420)</f>
        <v>-140.49313285799946</v>
      </c>
      <c r="P420" s="23"/>
      <c r="Q420" s="27"/>
    </row>
    <row r="421" spans="1:17" ht="22.5" customHeight="1">
      <c r="A421" s="16" t="s">
        <v>123</v>
      </c>
      <c r="B421" s="42">
        <v>44427</v>
      </c>
      <c r="C421" s="36">
        <v>2.8237000000000001</v>
      </c>
      <c r="D421" s="36">
        <v>2.86</v>
      </c>
      <c r="E421" s="30" cm="1">
        <f t="array" ref="E421">IF(D421="","",D421-C421)</f>
        <v>3.6299999999999777E-2</v>
      </c>
      <c r="F421" s="31" cm="1">
        <f t="array" ref="F421">IF(D421=0,"",(D421-C421)/C421)</f>
        <v>1.2855473315153796E-2</v>
      </c>
      <c r="G421" s="32">
        <v>4710.13</v>
      </c>
      <c r="H421" s="10">
        <v>1</v>
      </c>
      <c r="I421" s="11" cm="1">
        <f t="array" ref="I421">IF(D421="","",(G421*C421)*0.00075)</f>
        <v>9.9749955607500009</v>
      </c>
      <c r="J421" s="11" cm="1">
        <f t="array" ref="J421">IF(D421="","",(G421*D421)*0.00075)</f>
        <v>10.103228849999999</v>
      </c>
      <c r="K421" s="33" cm="1">
        <f t="array" ref="K421">IF(D421="","",J421+I421)</f>
        <v>20.07822441075</v>
      </c>
      <c r="L421" s="33" cm="1">
        <f t="array" ref="L421">IF(D421=0,0,(D421-C421)*G421)</f>
        <v>170.97771899999896</v>
      </c>
      <c r="M421" s="12">
        <v>13118.913133149999</v>
      </c>
      <c r="N421" s="34" cm="1">
        <f t="array" ref="N421">IFERROR((K421-J421)/J421,"–")</f>
        <v>0.98730769230769255</v>
      </c>
      <c r="O421" s="33" cm="1">
        <f t="array" ref="O421">IF(D421=0,0,L421-K421)</f>
        <v>150.89949458924895</v>
      </c>
      <c r="P421" s="11"/>
      <c r="Q421" s="35"/>
    </row>
    <row r="422" spans="1:17" ht="22.5" customHeight="1">
      <c r="A422" s="16" t="s">
        <v>123</v>
      </c>
      <c r="B422" s="43">
        <v>44427</v>
      </c>
      <c r="C422" s="37">
        <v>2.8237000000000001</v>
      </c>
      <c r="D422" s="37">
        <v>2.85</v>
      </c>
      <c r="E422" s="19" cm="1">
        <f t="array" ref="E422">IF(D422="","",D422-C422)</f>
        <v>2.629999999999999E-2</v>
      </c>
      <c r="F422" s="20" cm="1">
        <f t="array" ref="F422">IF(D422=0,"",(D422-C422)/C422)</f>
        <v>9.3140206112547336E-3</v>
      </c>
      <c r="G422" s="21">
        <v>2355.0700000000002</v>
      </c>
      <c r="H422" s="22">
        <v>1</v>
      </c>
      <c r="I422" s="23" cm="1">
        <f t="array" ref="I422">IF(D422="","",(G422*C422)*0.00075)</f>
        <v>4.9875083692500004</v>
      </c>
      <c r="J422" s="23" cm="1">
        <f t="array" ref="J422">IF(D422="","",(G422*D422)*0.00075)</f>
        <v>5.0339621250000004</v>
      </c>
      <c r="K422" s="24" cm="1">
        <f t="array" ref="K422">IF(D422="","",J422+I422)</f>
        <v>10.02147049425</v>
      </c>
      <c r="L422" s="24" cm="1">
        <f t="array" ref="L422">IF(D422=0,0,(D422-C422)*G422)</f>
        <v>61.93834099999998</v>
      </c>
      <c r="M422" s="25">
        <v>6583.0388558750001</v>
      </c>
      <c r="N422" s="26" cm="1">
        <f t="array" ref="N422">IFERROR((K422-J422)/J422,"–")</f>
        <v>0.99077192982456119</v>
      </c>
      <c r="O422" s="24" cm="1">
        <f t="array" ref="O422">IF(D422=0,0,L422-K422)</f>
        <v>51.916870505749984</v>
      </c>
      <c r="P422" s="23"/>
      <c r="Q422" s="27"/>
    </row>
    <row r="423" spans="1:17" ht="22.5" customHeight="1">
      <c r="A423" s="16" t="s">
        <v>123</v>
      </c>
      <c r="B423" s="42">
        <v>44427</v>
      </c>
      <c r="C423" s="36">
        <v>2.8237000000000001</v>
      </c>
      <c r="D423" s="36">
        <v>2.8483999999999998</v>
      </c>
      <c r="E423" s="30" cm="1">
        <f t="array" ref="E423">IF(D423="","",D423-C423)</f>
        <v>2.4699999999999722E-2</v>
      </c>
      <c r="F423" s="31" cm="1">
        <f t="array" ref="F423">IF(D423=0,"",(D423-C423)/C423)</f>
        <v>8.7473881786307751E-3</v>
      </c>
      <c r="G423" s="32">
        <v>2355.06</v>
      </c>
      <c r="H423" s="10">
        <v>1</v>
      </c>
      <c r="I423" s="11" cm="1">
        <f t="array" ref="I423">IF(D423="","",(G423*C423)*0.00075)</f>
        <v>4.9874871915000005</v>
      </c>
      <c r="J423" s="11" cm="1">
        <f t="array" ref="J423">IF(D423="","",(G423*D423)*0.00075)</f>
        <v>5.0311146779999998</v>
      </c>
      <c r="K423" s="33" cm="1">
        <f t="array" ref="K423">IF(D423="","",J423+I423)</f>
        <v>10.018601869499999</v>
      </c>
      <c r="L423" s="33" cm="1">
        <f t="array" ref="L423">IF(D423=0,0,(D423-C423)*G423)</f>
        <v>58.169981999999344</v>
      </c>
      <c r="M423" s="12">
        <v>6586.7818253220003</v>
      </c>
      <c r="N423" s="34" cm="1">
        <f t="array" ref="N423">IFERROR((K423-J423)/J423,"–")</f>
        <v>0.99132846510321582</v>
      </c>
      <c r="O423" s="33" cm="1">
        <f t="array" ref="O423">IF(D423=0,0,L423-K423)</f>
        <v>48.151380130499348</v>
      </c>
      <c r="P423" s="11"/>
      <c r="Q423" s="35"/>
    </row>
    <row r="424" spans="1:17" ht="22.5" customHeight="1">
      <c r="A424" s="16" t="s">
        <v>38</v>
      </c>
      <c r="B424" s="43">
        <v>44427</v>
      </c>
      <c r="C424" s="37">
        <v>9.5129999999999999</v>
      </c>
      <c r="D424" s="37">
        <v>9.548</v>
      </c>
      <c r="E424" s="19" cm="1">
        <f t="array" ref="E424">IF(D424="","",D424-C424)</f>
        <v>3.5000000000000142E-2</v>
      </c>
      <c r="F424" s="20" cm="1">
        <f t="array" ref="F424">IF(D424=0,"",(D424-C424)/C424)</f>
        <v>3.6791758646063434E-3</v>
      </c>
      <c r="G424" s="21">
        <v>525.60500000000002</v>
      </c>
      <c r="H424" s="22">
        <v>1</v>
      </c>
      <c r="I424" s="23" cm="1">
        <f t="array" ref="I424">IF(D424="","",(G424*C424)*0.00075)</f>
        <v>3.75006027375</v>
      </c>
      <c r="J424" s="23" cm="1">
        <f t="array" ref="J424">IF(D424="","",(G424*D424)*0.00075)</f>
        <v>3.7638574050000004</v>
      </c>
      <c r="K424" s="24" cm="1">
        <f t="array" ref="K424">IF(D424="","",J424+I424)</f>
        <v>7.5139176787500004</v>
      </c>
      <c r="L424" s="24" cm="1">
        <f t="array" ref="L424">IF(D424=0,0,(D424-C424)*G424)</f>
        <v>18.396175000000074</v>
      </c>
      <c r="M424" s="25">
        <v>4977.9203325950002</v>
      </c>
      <c r="N424" s="26" cm="1">
        <f t="array" ref="N424">IFERROR((K424-J424)/J424,"–")</f>
        <v>0.99633431085043977</v>
      </c>
      <c r="O424" s="24" cm="1">
        <f t="array" ref="O424">IF(D424=0,0,L424-K424)</f>
        <v>10.882257321250073</v>
      </c>
      <c r="P424" s="23"/>
      <c r="Q424" s="27"/>
    </row>
    <row r="425" spans="1:17" ht="22.5" customHeight="1">
      <c r="A425" s="16" t="s">
        <v>38</v>
      </c>
      <c r="B425" s="42">
        <v>44427</v>
      </c>
      <c r="C425" s="36">
        <v>9.5129999999999999</v>
      </c>
      <c r="D425" s="36">
        <v>9.57</v>
      </c>
      <c r="E425" s="30" cm="1">
        <f t="array" ref="E425">IF(D425="","",D425-C425)</f>
        <v>5.7000000000000384E-2</v>
      </c>
      <c r="F425" s="31" cm="1">
        <f t="array" ref="F425">IF(D425=0,"",(D425-C425)/C425)</f>
        <v>5.9918006937874895E-3</v>
      </c>
      <c r="G425" s="32">
        <v>525.60500000000002</v>
      </c>
      <c r="H425" s="10">
        <v>1</v>
      </c>
      <c r="I425" s="11" cm="1">
        <f t="array" ref="I425">IF(D425="","",(G425*C425)*0.00075)</f>
        <v>3.75006027375</v>
      </c>
      <c r="J425" s="11" cm="1">
        <f t="array" ref="J425">IF(D425="","",(G425*D425)*0.00075)</f>
        <v>3.7725298875000002</v>
      </c>
      <c r="K425" s="33" cm="1">
        <f t="array" ref="K425">IF(D425="","",J425+I425)</f>
        <v>7.5225901612500001</v>
      </c>
      <c r="L425" s="33" cm="1">
        <f t="array" ref="L425">IF(D425=0,0,(D425-C425)*G425)</f>
        <v>29.959485000000203</v>
      </c>
      <c r="M425" s="12">
        <v>4966.3483501125002</v>
      </c>
      <c r="N425" s="34" cm="1">
        <f t="array" ref="N425">IFERROR((K425-J425)/J425,"–")</f>
        <v>0.99404388714733538</v>
      </c>
      <c r="O425" s="33" cm="1">
        <f t="array" ref="O425">IF(D425=0,0,L425-K425)</f>
        <v>22.436894838750202</v>
      </c>
      <c r="P425" s="11"/>
      <c r="Q425" s="35"/>
    </row>
    <row r="426" spans="1:17" ht="22.5" customHeight="1">
      <c r="A426" s="16" t="s">
        <v>144</v>
      </c>
      <c r="B426" s="43">
        <v>44427</v>
      </c>
      <c r="C426" s="37">
        <v>3.1445000000000001E-2</v>
      </c>
      <c r="D426" s="37">
        <v>3.1571000000000002E-2</v>
      </c>
      <c r="E426" s="19" cm="1">
        <f t="array" ref="E426">IF(D426="","",D426-C426)</f>
        <v>1.2600000000000111E-4</v>
      </c>
      <c r="F426" s="20" cm="1">
        <f t="array" ref="F426">IF(D426=0,"",(D426-C426)/C426)</f>
        <v>4.0069963428208339E-3</v>
      </c>
      <c r="G426" s="21">
        <v>318019</v>
      </c>
      <c r="H426" s="22">
        <v>1</v>
      </c>
      <c r="I426" s="23" cm="1">
        <f t="array" ref="I426">IF(D426="","",(G426*C426)*0.00075)</f>
        <v>7.5000805912499997</v>
      </c>
      <c r="J426" s="23" cm="1">
        <f t="array" ref="J426">IF(D426="","",(G426*D426)*0.00075)</f>
        <v>7.5301333867500002</v>
      </c>
      <c r="K426" s="24" cm="1">
        <f t="array" ref="K426">IF(D426="","",J426+I426)</f>
        <v>15.030213977999999</v>
      </c>
      <c r="L426" s="24" cm="1">
        <f t="array" ref="L426">IF(D426=0,0,(D426-C426)*G426)</f>
        <v>40.070394000000356</v>
      </c>
      <c r="M426" s="25">
        <v>9952.5069276132508</v>
      </c>
      <c r="N426" s="26" cm="1">
        <f t="array" ref="N426">IFERROR((K426-J426)/J426,"–")</f>
        <v>0.99600899559722511</v>
      </c>
      <c r="O426" s="24" cm="1">
        <f t="array" ref="O426">IF(D426=0,0,L426-K426)</f>
        <v>25.040180022000357</v>
      </c>
      <c r="P426" s="23"/>
      <c r="Q426" s="27"/>
    </row>
    <row r="427" spans="1:17" ht="22.5" customHeight="1">
      <c r="A427" s="16" t="s">
        <v>144</v>
      </c>
      <c r="B427" s="42">
        <v>44427</v>
      </c>
      <c r="C427" s="36">
        <v>3.1445000000000001E-2</v>
      </c>
      <c r="D427" s="36">
        <v>3.1649999999999998E-2</v>
      </c>
      <c r="E427" s="30" cm="1">
        <f t="array" ref="E427">IF(D427="","",D427-C427)</f>
        <v>2.0499999999999685E-4</v>
      </c>
      <c r="F427" s="31" cm="1">
        <f t="array" ref="F427">IF(D427=0,"",(D427-C427)/C427)</f>
        <v>6.5193194466527859E-3</v>
      </c>
      <c r="G427" s="32">
        <v>318019</v>
      </c>
      <c r="H427" s="10">
        <v>1</v>
      </c>
      <c r="I427" s="11" cm="1">
        <f t="array" ref="I427">IF(D427="","",(G427*C427)*0.00075)</f>
        <v>7.5000805912499997</v>
      </c>
      <c r="J427" s="11" cm="1">
        <f t="array" ref="J427">IF(D427="","",(G427*D427)*0.00075)</f>
        <v>7.5489760124999998</v>
      </c>
      <c r="K427" s="33" cm="1">
        <f t="array" ref="K427">IF(D427="","",J427+I427)</f>
        <v>15.04905660375</v>
      </c>
      <c r="L427" s="33" cm="1">
        <f t="array" ref="L427">IF(D427=0,0,(D427-C427)*G427)</f>
        <v>65.193894999999003</v>
      </c>
      <c r="M427" s="12">
        <v>9927.3645839875007</v>
      </c>
      <c r="N427" s="34" cm="1">
        <f t="array" ref="N427">IFERROR((K427-J427)/J427,"–")</f>
        <v>0.993522906793049</v>
      </c>
      <c r="O427" s="33" cm="1">
        <f t="array" ref="O427">IF(D427=0,0,L427-K427)</f>
        <v>50.144838396249</v>
      </c>
      <c r="P427" s="11"/>
      <c r="Q427" s="35"/>
    </row>
    <row r="428" spans="1:17" ht="22.5" customHeight="1">
      <c r="A428" s="16" t="s">
        <v>38</v>
      </c>
      <c r="B428" s="43">
        <v>44427</v>
      </c>
      <c r="C428" s="37">
        <v>9.7759999999999998</v>
      </c>
      <c r="D428" s="37">
        <v>9.84</v>
      </c>
      <c r="E428" s="19" cm="1">
        <f t="array" ref="E428">IF(D428="","",D428-C428)</f>
        <v>6.4000000000000057E-2</v>
      </c>
      <c r="F428" s="20" cm="1">
        <f t="array" ref="F428">IF(D428=0,"",(D428-C428)/C428)</f>
        <v>6.5466448445171913E-3</v>
      </c>
      <c r="G428" s="21">
        <v>1196.8979999999999</v>
      </c>
      <c r="H428" s="22">
        <v>1</v>
      </c>
      <c r="I428" s="23" cm="1">
        <f t="array" ref="I428">IF(D428="","",(G428*C428)*0.00075)</f>
        <v>8.7756561360000003</v>
      </c>
      <c r="J428" s="23" cm="1">
        <f t="array" ref="J428">IF(D428="","",(G428*D428)*0.00075)</f>
        <v>8.8331072400000004</v>
      </c>
      <c r="K428" s="24" cm="1">
        <f t="array" ref="K428">IF(D428="","",J428+I428)</f>
        <v>17.608763375999999</v>
      </c>
      <c r="L428" s="24" cm="1">
        <f t="array" ref="L428">IF(D428=0,0,(D428-C428)*G428)</f>
        <v>76.601472000000058</v>
      </c>
      <c r="M428" s="25">
        <v>11615.44026876</v>
      </c>
      <c r="N428" s="26" cm="1">
        <f t="array" ref="N428">IFERROR((K428-J428)/J428,"–")</f>
        <v>0.9934959349593494</v>
      </c>
      <c r="O428" s="24" cm="1">
        <f t="array" ref="O428">IF(D428=0,0,L428-K428)</f>
        <v>58.992708624000059</v>
      </c>
      <c r="P428" s="23"/>
      <c r="Q428" s="27"/>
    </row>
    <row r="429" spans="1:17" ht="22.5" customHeight="1">
      <c r="A429" s="16" t="s">
        <v>38</v>
      </c>
      <c r="B429" s="42">
        <v>44427</v>
      </c>
      <c r="C429" s="36">
        <v>9.7759999999999998</v>
      </c>
      <c r="D429" s="36">
        <v>9.8810000000000002</v>
      </c>
      <c r="E429" s="30" cm="1">
        <f t="array" ref="E429">IF(D429="","",D429-C429)</f>
        <v>0.10500000000000043</v>
      </c>
      <c r="F429" s="31" cm="1">
        <f t="array" ref="F429">IF(D429=0,"",(D429-C429)/C429)</f>
        <v>1.0740589198036051E-2</v>
      </c>
      <c r="G429" s="32">
        <v>598.44899999999996</v>
      </c>
      <c r="H429" s="10">
        <v>1</v>
      </c>
      <c r="I429" s="11" cm="1">
        <f t="array" ref="I429">IF(D429="","",(G429*C429)*0.00075)</f>
        <v>4.3878280680000001</v>
      </c>
      <c r="J429" s="11" cm="1">
        <f t="array" ref="J429">IF(D429="","",(G429*D429)*0.00075)</f>
        <v>4.4349559267499998</v>
      </c>
      <c r="K429" s="33" cm="1">
        <f t="array" ref="K429">IF(D429="","",J429+I429)</f>
        <v>8.8227839947500009</v>
      </c>
      <c r="L429" s="33" cm="1">
        <f t="array" ref="L429">IF(D429=0,0,(D429-C429)*G429)</f>
        <v>62.837145000000248</v>
      </c>
      <c r="M429" s="12">
        <v>5783.16532307325</v>
      </c>
      <c r="N429" s="34" cm="1">
        <f t="array" ref="N429">IFERROR((K429-J429)/J429,"–")</f>
        <v>0.98937354518773435</v>
      </c>
      <c r="O429" s="33" cm="1">
        <f t="array" ref="O429">IF(D429=0,0,L429-K429)</f>
        <v>54.014361005250251</v>
      </c>
      <c r="P429" s="11"/>
      <c r="Q429" s="35"/>
    </row>
    <row r="430" spans="1:17" ht="22.5" customHeight="1">
      <c r="A430" s="16" t="s">
        <v>38</v>
      </c>
      <c r="B430" s="43">
        <v>44427</v>
      </c>
      <c r="C430" s="37">
        <v>9.7759999999999998</v>
      </c>
      <c r="D430" s="37">
        <v>9.8409999999999993</v>
      </c>
      <c r="E430" s="19" cm="1">
        <f t="array" ref="E430">IF(D430="","",D430-C430)</f>
        <v>6.4999999999999503E-2</v>
      </c>
      <c r="F430" s="20" cm="1">
        <f t="array" ref="F430">IF(D430=0,"",(D430-C430)/C430)</f>
        <v>6.6489361702127148E-3</v>
      </c>
      <c r="G430" s="21">
        <v>598.44899999999996</v>
      </c>
      <c r="H430" s="22">
        <v>1</v>
      </c>
      <c r="I430" s="23" cm="1">
        <f t="array" ref="I430">IF(D430="","",(G430*C430)*0.00075)</f>
        <v>4.3878280680000001</v>
      </c>
      <c r="J430" s="23" cm="1">
        <f t="array" ref="J430">IF(D430="","",(G430*D430)*0.00075)</f>
        <v>4.4170024567499997</v>
      </c>
      <c r="K430" s="24" cm="1">
        <f t="array" ref="K430">IF(D430="","",J430+I430)</f>
        <v>8.8048305247499989</v>
      </c>
      <c r="L430" s="24" cm="1">
        <f t="array" ref="L430">IF(D430=0,0,(D430-C430)*G430)</f>
        <v>38.899184999999697</v>
      </c>
      <c r="M430" s="25">
        <v>5807.1212365432502</v>
      </c>
      <c r="N430" s="26" cm="1">
        <f t="array" ref="N430">IFERROR((K430-J430)/J430,"–")</f>
        <v>0.99339498018494043</v>
      </c>
      <c r="O430" s="24" cm="1">
        <f t="array" ref="O430">IF(D430=0,0,L430-K430)</f>
        <v>30.094354475249698</v>
      </c>
      <c r="P430" s="23"/>
      <c r="Q430" s="27"/>
    </row>
    <row r="431" spans="1:17" ht="22.5" customHeight="1">
      <c r="A431" s="16" t="s">
        <v>127</v>
      </c>
      <c r="B431" s="42">
        <v>44428</v>
      </c>
      <c r="C431" s="36">
        <v>1</v>
      </c>
      <c r="D431" s="36">
        <v>21</v>
      </c>
      <c r="E431" s="30" cm="1">
        <f t="array" ref="E431">IF(D431="","",D431-C431)</f>
        <v>20</v>
      </c>
      <c r="F431" s="31" cm="1">
        <f t="array" ref="F431">IF(D431=0,"",(D431-C431)/C431)</f>
        <v>20</v>
      </c>
      <c r="G431" s="32">
        <v>1</v>
      </c>
      <c r="H431" s="10">
        <v>1</v>
      </c>
      <c r="I431" s="11" cm="1">
        <f t="array" ref="I431">IF(D431="","",(G431*C431)*0.00075)</f>
        <v>7.5000000000000002E-4</v>
      </c>
      <c r="J431" s="11" cm="1">
        <f t="array" ref="J431">IF(D431="","",(G431*D431)*0.00075)</f>
        <v>1.575E-2</v>
      </c>
      <c r="K431" s="33" cm="1">
        <f t="array" ref="K431">IF(D431="","",J431+I431)</f>
        <v>1.6500000000000001E-2</v>
      </c>
      <c r="L431" s="33" cm="1">
        <f t="array" ref="L431">IF(D431=0,0,(D431-C431)*G431)</f>
        <v>20</v>
      </c>
      <c r="M431" s="12">
        <v>-19.015750000000001</v>
      </c>
      <c r="N431" s="34" cm="1">
        <f t="array" ref="N431">IFERROR((K431-J431)/J431,"–")</f>
        <v>4.7619047619047658E-2</v>
      </c>
      <c r="O431" s="33" cm="1">
        <f t="array" ref="O431">IF(D431=0,0,L431-K431)</f>
        <v>19.983499999999999</v>
      </c>
      <c r="P431" s="11"/>
      <c r="Q431" s="35"/>
    </row>
    <row r="432" spans="1:17" ht="22.5" customHeight="1">
      <c r="A432" s="16" t="s">
        <v>52</v>
      </c>
      <c r="B432" s="43">
        <v>44428</v>
      </c>
      <c r="C432" s="37">
        <v>270.76</v>
      </c>
      <c r="D432" s="37">
        <v>272.11</v>
      </c>
      <c r="E432" s="19" cm="1">
        <f t="array" ref="E432">IF(D432="","",D432-C432)</f>
        <v>1.3500000000000227</v>
      </c>
      <c r="F432" s="20" cm="1">
        <f t="array" ref="F432">IF(D432=0,"",(D432-C432)/C432)</f>
        <v>4.9859654306397654E-3</v>
      </c>
      <c r="G432" s="21">
        <v>73.866770000000002</v>
      </c>
      <c r="H432" s="22">
        <v>1</v>
      </c>
      <c r="I432" s="23" cm="1">
        <f t="array" ref="I432">IF(D432="","",(G432*C432)*0.00075)</f>
        <v>15.000124983899999</v>
      </c>
      <c r="J432" s="23" cm="1">
        <f t="array" ref="J432">IF(D432="","",(G432*D432)*0.00075)</f>
        <v>15.074915088525</v>
      </c>
      <c r="K432" s="24" cm="1">
        <f t="array" ref="K432">IF(D432="","",J432+I432)</f>
        <v>30.075040072424997</v>
      </c>
      <c r="L432" s="24" cm="1">
        <f t="array" ref="L432">IF(D432=0,0,(D432-C432)*G432)</f>
        <v>99.720139500001679</v>
      </c>
      <c r="M432" s="25">
        <v>19885.371590611499</v>
      </c>
      <c r="N432" s="26" cm="1">
        <f t="array" ref="N432">IFERROR((K432-J432)/J432,"–")</f>
        <v>0.99503877108522276</v>
      </c>
      <c r="O432" s="24" cm="1">
        <f t="array" ref="O432">IF(D432=0,0,L432-K432)</f>
        <v>69.645099427576682</v>
      </c>
      <c r="P432" s="23"/>
      <c r="Q432" s="27"/>
    </row>
    <row r="433" spans="1:17" ht="22.5" customHeight="1">
      <c r="A433" s="16" t="s">
        <v>52</v>
      </c>
      <c r="B433" s="42">
        <v>44428</v>
      </c>
      <c r="C433" s="36">
        <v>274.60000000000002</v>
      </c>
      <c r="D433" s="36">
        <v>274.26</v>
      </c>
      <c r="E433" s="30" cm="1">
        <f t="array" ref="E433">IF(D433="","",D433-C433)</f>
        <v>-0.34000000000003183</v>
      </c>
      <c r="F433" s="31" cm="1">
        <f t="array" ref="F433">IF(D433=0,"",(D433-C433)/C433)</f>
        <v>-1.2381646030591108E-3</v>
      </c>
      <c r="G433" s="32">
        <v>42.790500000000002</v>
      </c>
      <c r="H433" s="10">
        <v>1</v>
      </c>
      <c r="I433" s="11" cm="1">
        <f t="array" ref="I433">IF(D433="","",(G433*C433)*0.00075)</f>
        <v>8.8127034750000011</v>
      </c>
      <c r="J433" s="11" cm="1">
        <f t="array" ref="J433">IF(D433="","",(G433*D433)*0.00075)</f>
        <v>8.8017918975000011</v>
      </c>
      <c r="K433" s="33" cm="1">
        <f t="array" ref="K433">IF(D433="","",J433+I433)</f>
        <v>17.614495372500002</v>
      </c>
      <c r="L433" s="33" cm="1">
        <f t="array" ref="L433">IF(D433=0,0,(D433-C433)*G433)</f>
        <v>-14.548770000001362</v>
      </c>
      <c r="M433" s="12">
        <v>11756.0182781025</v>
      </c>
      <c r="N433" s="34" cm="1">
        <f t="array" ref="N433">IFERROR((K433-J433)/J433,"–")</f>
        <v>1.0012396995551667</v>
      </c>
      <c r="O433" s="33" cm="1">
        <f t="array" ref="O433">IF(D433=0,0,L433-K433)</f>
        <v>-32.163265372501364</v>
      </c>
      <c r="P433" s="11"/>
      <c r="Q433" s="35"/>
    </row>
    <row r="434" spans="1:17" ht="22.5" customHeight="1">
      <c r="A434" s="16" t="s">
        <v>52</v>
      </c>
      <c r="B434" s="43">
        <v>44428</v>
      </c>
      <c r="C434" s="37">
        <v>274.60000000000002</v>
      </c>
      <c r="D434" s="37">
        <v>274.39999999999998</v>
      </c>
      <c r="E434" s="19" cm="1">
        <f t="array" ref="E434">IF(D434="","",D434-C434)</f>
        <v>-0.20000000000004547</v>
      </c>
      <c r="F434" s="20" cm="1">
        <f t="array" ref="F434">IF(D434=0,"",(D434-C434)/C434)</f>
        <v>-7.2833211944663319E-4</v>
      </c>
      <c r="G434" s="21">
        <v>42.790500000000002</v>
      </c>
      <c r="H434" s="22">
        <v>1</v>
      </c>
      <c r="I434" s="23" cm="1">
        <f t="array" ref="I434">IF(D434="","",(G434*C434)*0.00075)</f>
        <v>8.8127034750000011</v>
      </c>
      <c r="J434" s="23" cm="1">
        <f t="array" ref="J434">IF(D434="","",(G434*D434)*0.00075)</f>
        <v>8.8062848999999996</v>
      </c>
      <c r="K434" s="24" cm="1">
        <f t="array" ref="K434">IF(D434="","",J434+I434)</f>
        <v>17.618988375000001</v>
      </c>
      <c r="L434" s="24" cm="1">
        <f t="array" ref="L434">IF(D434=0,0,(D434-C434)*G434)</f>
        <v>-8.5581000000019465</v>
      </c>
      <c r="M434" s="25">
        <v>11750.023115100001</v>
      </c>
      <c r="N434" s="26" cm="1">
        <f t="array" ref="N434">IFERROR((K434-J434)/J434,"–")</f>
        <v>1.0007288629737612</v>
      </c>
      <c r="O434" s="24" cm="1">
        <f t="array" ref="O434">IF(D434=0,0,L434-K434)</f>
        <v>-26.177088375001947</v>
      </c>
      <c r="P434" s="23"/>
      <c r="Q434" s="27"/>
    </row>
    <row r="435" spans="1:17" ht="22.5" customHeight="1">
      <c r="A435" s="16" t="s">
        <v>53</v>
      </c>
      <c r="B435" s="42">
        <v>44428</v>
      </c>
      <c r="C435" s="36">
        <v>0.94350000000000001</v>
      </c>
      <c r="D435" s="36">
        <v>0.94599999999999995</v>
      </c>
      <c r="E435" s="30" cm="1">
        <f t="array" ref="E435">IF(D435="","",D435-C435)</f>
        <v>2.4999999999999467E-3</v>
      </c>
      <c r="F435" s="31" cm="1">
        <f t="array" ref="F435">IF(D435=0,"",(D435-C435)/C435)</f>
        <v>2.6497085320614168E-3</v>
      </c>
      <c r="G435" s="32">
        <v>8387.1200000000008</v>
      </c>
      <c r="H435" s="10">
        <v>1</v>
      </c>
      <c r="I435" s="11" cm="1">
        <f t="array" ref="I435">IF(D435="","",(G435*C435)*0.00075)</f>
        <v>5.9349357900000008</v>
      </c>
      <c r="J435" s="11" cm="1">
        <f t="array" ref="J435">IF(D435="","",(G435*D435)*0.00075)</f>
        <v>5.9506616400000008</v>
      </c>
      <c r="K435" s="33" cm="1">
        <f t="array" ref="K435">IF(D435="","",J435+I435)</f>
        <v>11.885597430000001</v>
      </c>
      <c r="L435" s="33" cm="1">
        <f t="array" ref="L435">IF(D435=0,0,(D435-C435)*G435)</f>
        <v>20.967799999999556</v>
      </c>
      <c r="M435" s="12">
        <v>7886.3292583599996</v>
      </c>
      <c r="N435" s="34" cm="1">
        <f t="array" ref="N435">IFERROR((K435-J435)/J435,"–")</f>
        <v>0.99735729386892169</v>
      </c>
      <c r="O435" s="33" cm="1">
        <f t="array" ref="O435">IF(D435=0,0,L435-K435)</f>
        <v>9.0822025699995557</v>
      </c>
      <c r="P435" s="11"/>
      <c r="Q435" s="35"/>
    </row>
    <row r="436" spans="1:17" ht="22.5" customHeight="1">
      <c r="A436" s="16" t="s">
        <v>53</v>
      </c>
      <c r="B436" s="43">
        <v>44428</v>
      </c>
      <c r="C436" s="37">
        <v>0.94350000000000001</v>
      </c>
      <c r="D436" s="37">
        <v>0.93799999999999994</v>
      </c>
      <c r="E436" s="19" cm="1">
        <f t="array" ref="E436">IF(D436="","",D436-C436)</f>
        <v>-5.5000000000000604E-3</v>
      </c>
      <c r="F436" s="20" cm="1">
        <f t="array" ref="F436">IF(D436=0,"",(D436-C436)/C436)</f>
        <v>-5.8293587705353055E-3</v>
      </c>
      <c r="G436" s="21">
        <v>10598.98</v>
      </c>
      <c r="H436" s="22">
        <v>1</v>
      </c>
      <c r="I436" s="23" cm="1">
        <f t="array" ref="I436">IF(D436="","",(G436*C436)*0.00075)</f>
        <v>7.5001032224999999</v>
      </c>
      <c r="J436" s="23" cm="1">
        <f t="array" ref="J436">IF(D436="","",(G436*D436)*0.00075)</f>
        <v>7.4563824299999988</v>
      </c>
      <c r="K436" s="24" cm="1">
        <f t="array" ref="K436">IF(D436="","",J436+I436)</f>
        <v>14.9564856525</v>
      </c>
      <c r="L436" s="24" cm="1">
        <f t="array" ref="L436">IF(D436=0,0,(D436-C436)*G436)</f>
        <v>-58.294390000000639</v>
      </c>
      <c r="M436" s="25">
        <v>10050.97563757</v>
      </c>
      <c r="N436" s="26" cm="1">
        <f t="array" ref="N436">IFERROR((K436-J436)/J436,"–")</f>
        <v>1.0058635394456292</v>
      </c>
      <c r="O436" s="24" cm="1">
        <f t="array" ref="O436">IF(D436=0,0,L436-K436)</f>
        <v>-73.250875652500639</v>
      </c>
      <c r="P436" s="23"/>
      <c r="Q436" s="27"/>
    </row>
    <row r="437" spans="1:17" ht="22.5" customHeight="1">
      <c r="A437" s="16" t="s">
        <v>53</v>
      </c>
      <c r="B437" s="42">
        <v>44428</v>
      </c>
      <c r="C437" s="36">
        <v>0.94350000000000001</v>
      </c>
      <c r="D437" s="36">
        <v>0.93500000000000005</v>
      </c>
      <c r="E437" s="30" cm="1">
        <f t="array" ref="E437">IF(D437="","",D437-C437)</f>
        <v>-8.499999999999952E-3</v>
      </c>
      <c r="F437" s="31" cm="1">
        <f t="array" ref="F437">IF(D437=0,"",(D437-C437)/C437)</f>
        <v>-9.0090090090089586E-3</v>
      </c>
      <c r="G437" s="32">
        <v>2211.85</v>
      </c>
      <c r="H437" s="10">
        <v>1</v>
      </c>
      <c r="I437" s="11" cm="1">
        <f t="array" ref="I437">IF(D437="","",(G437*C437)*0.00075)</f>
        <v>1.5651603562500001</v>
      </c>
      <c r="J437" s="11" cm="1">
        <f t="array" ref="J437">IF(D437="","",(G437*D437)*0.00075)</f>
        <v>1.5510598124999999</v>
      </c>
      <c r="K437" s="33" cm="1">
        <f t="array" ref="K437">IF(D437="","",J437+I437)</f>
        <v>3.11622016875</v>
      </c>
      <c r="L437" s="33" cm="1">
        <f t="array" ref="L437">IF(D437=0,0,(D437-C437)*G437)</f>
        <v>-18.800724999999893</v>
      </c>
      <c r="M437" s="12">
        <v>2104.1301401874998</v>
      </c>
      <c r="N437" s="34" cm="1">
        <f t="array" ref="N437">IFERROR((K437-J437)/J437,"–")</f>
        <v>1.0090909090909093</v>
      </c>
      <c r="O437" s="33" cm="1">
        <f t="array" ref="O437">IF(D437=0,0,L437-K437)</f>
        <v>-21.916945168749894</v>
      </c>
      <c r="P437" s="11"/>
      <c r="Q437" s="35"/>
    </row>
    <row r="438" spans="1:17" ht="22.5" customHeight="1">
      <c r="A438" s="16" t="s">
        <v>145</v>
      </c>
      <c r="B438" s="43">
        <v>44428</v>
      </c>
      <c r="C438" s="37">
        <v>13</v>
      </c>
      <c r="D438" s="37">
        <v>12.952</v>
      </c>
      <c r="E438" s="19" cm="1">
        <f t="array" ref="E438">IF(D438="","",D438-C438)</f>
        <v>-4.8000000000000043E-2</v>
      </c>
      <c r="F438" s="20" cm="1">
        <f t="array" ref="F438">IF(D438=0,"",(D438-C438)/C438)</f>
        <v>-3.6923076923076957E-3</v>
      </c>
      <c r="G438" s="21">
        <v>1221.76</v>
      </c>
      <c r="H438" s="22">
        <v>1</v>
      </c>
      <c r="I438" s="23" cm="1">
        <f t="array" ref="I438">IF(D438="","",(G438*C438)*0.00075)</f>
        <v>11.91216</v>
      </c>
      <c r="J438" s="23" cm="1">
        <f t="array" ref="J438">IF(D438="","",(G438*D438)*0.00075)</f>
        <v>11.86817664</v>
      </c>
      <c r="K438" s="24" cm="1">
        <f t="array" ref="K438">IF(D438="","",J438+I438)</f>
        <v>23.780336640000002</v>
      </c>
      <c r="L438" s="24" cm="1">
        <f t="array" ref="L438">IF(D438=0,0,(D438-C438)*G438)</f>
        <v>-58.644480000000051</v>
      </c>
      <c r="M438" s="25">
        <v>15929.65630336</v>
      </c>
      <c r="N438" s="26" cm="1">
        <f t="array" ref="N438">IFERROR((K438-J438)/J438,"–")</f>
        <v>1.0037059913526871</v>
      </c>
      <c r="O438" s="24" cm="1">
        <f t="array" ref="O438">IF(D438=0,0,L438-K438)</f>
        <v>-82.424816640000046</v>
      </c>
      <c r="P438" s="23"/>
      <c r="Q438" s="27"/>
    </row>
    <row r="439" spans="1:17" ht="22.5" customHeight="1">
      <c r="A439" s="16" t="s">
        <v>145</v>
      </c>
      <c r="B439" s="42">
        <v>44428</v>
      </c>
      <c r="C439" s="36">
        <v>13</v>
      </c>
      <c r="D439" s="36">
        <v>12.755000000000001</v>
      </c>
      <c r="E439" s="30" cm="1">
        <f t="array" ref="E439">IF(D439="","",D439-C439)</f>
        <v>-0.24499999999999922</v>
      </c>
      <c r="F439" s="31" cm="1">
        <f t="array" ref="F439">IF(D439=0,"",(D439-C439)/C439)</f>
        <v>-1.8846153846153787E-2</v>
      </c>
      <c r="G439" s="32">
        <v>316.70999999999998</v>
      </c>
      <c r="H439" s="10">
        <v>1</v>
      </c>
      <c r="I439" s="11" cm="1">
        <f t="array" ref="I439">IF(D439="","",(G439*C439)*0.00075)</f>
        <v>3.0879224999999999</v>
      </c>
      <c r="J439" s="11" cm="1">
        <f t="array" ref="J439">IF(D439="","",(G439*D439)*0.00075)</f>
        <v>3.0297270375000003</v>
      </c>
      <c r="K439" s="33" cm="1">
        <f t="array" ref="K439">IF(D439="","",J439+I439)</f>
        <v>6.1176495375000002</v>
      </c>
      <c r="L439" s="33" cm="1">
        <f t="array" ref="L439">IF(D439=0,0,(D439-C439)*G439)</f>
        <v>-77.593949999999751</v>
      </c>
      <c r="M439" s="12">
        <v>4191.7942229624996</v>
      </c>
      <c r="N439" s="34" cm="1">
        <f t="array" ref="N439">IFERROR((K439-J439)/J439,"–")</f>
        <v>1.0192081536652291</v>
      </c>
      <c r="O439" s="33" cm="1">
        <f t="array" ref="O439">IF(D439=0,0,L439-K439)</f>
        <v>-83.711599537499751</v>
      </c>
      <c r="P439" s="11"/>
      <c r="Q439" s="35"/>
    </row>
    <row r="440" spans="1:17" ht="22.5" customHeight="1">
      <c r="A440" s="16" t="s">
        <v>94</v>
      </c>
      <c r="B440" s="43">
        <v>44429</v>
      </c>
      <c r="C440" s="37">
        <v>3.5051000000000001</v>
      </c>
      <c r="D440" s="37">
        <v>3.5049999999999999</v>
      </c>
      <c r="E440" s="19" cm="1">
        <f t="array" ref="E440">IF(D440="","",D440-C440)</f>
        <v>-1.0000000000021103E-4</v>
      </c>
      <c r="F440" s="20" cm="1">
        <f t="array" ref="F440">IF(D440=0,"",(D440-C440)/C440)</f>
        <v>-2.8529856494882038E-5</v>
      </c>
      <c r="G440" s="21">
        <v>1658.34</v>
      </c>
      <c r="H440" s="22">
        <v>1</v>
      </c>
      <c r="I440" s="23" cm="1">
        <f t="array" ref="I440">IF(D440="","",(G440*C440)*0.00075)</f>
        <v>4.3594856504999999</v>
      </c>
      <c r="J440" s="23" cm="1">
        <f t="array" ref="J440">IF(D440="","",(G440*D440)*0.00075)</f>
        <v>4.3593612749999995</v>
      </c>
      <c r="K440" s="24" cm="1">
        <f t="array" ref="K440">IF(D440="","",J440+I440)</f>
        <v>8.7188469254999994</v>
      </c>
      <c r="L440" s="24" cm="1">
        <f t="array" ref="L440">IF(D440=0,0,(D440-C440)*G440)</f>
        <v>-0.16583400000034995</v>
      </c>
      <c r="M440" s="25">
        <v>5808.454006725</v>
      </c>
      <c r="N440" s="26" cm="1">
        <f t="array" ref="N440">IFERROR((K440-J440)/J440,"–")</f>
        <v>1.0000285306704708</v>
      </c>
      <c r="O440" s="24" cm="1">
        <f t="array" ref="O440">IF(D440=0,0,L440-K440)</f>
        <v>-8.8846809255003496</v>
      </c>
      <c r="P440" s="23"/>
      <c r="Q440" s="27"/>
    </row>
    <row r="441" spans="1:17" ht="22.5" customHeight="1">
      <c r="A441" s="16" t="s">
        <v>83</v>
      </c>
      <c r="B441" s="42">
        <v>44429</v>
      </c>
      <c r="C441" s="36">
        <v>3.0967999999999999E-2</v>
      </c>
      <c r="D441" s="36">
        <v>3.1E-2</v>
      </c>
      <c r="E441" s="30" cm="1">
        <f t="array" ref="E441">IF(D441="","",D441-C441)</f>
        <v>3.2000000000000778E-5</v>
      </c>
      <c r="F441" s="31" cm="1">
        <f t="array" ref="F441">IF(D441=0,"",(D441-C441)/C441)</f>
        <v>1.033324722294006E-3</v>
      </c>
      <c r="G441" s="32">
        <v>372755</v>
      </c>
      <c r="H441" s="10">
        <v>1</v>
      </c>
      <c r="I441" s="11" cm="1">
        <f t="array" ref="I441">IF(D441="","",(G441*C441)*0.00075)</f>
        <v>8.6576076299999993</v>
      </c>
      <c r="J441" s="11" cm="1">
        <f t="array" ref="J441">IF(D441="","",(G441*D441)*0.00075)</f>
        <v>8.6665537500000003</v>
      </c>
      <c r="K441" s="33" cm="1">
        <f t="array" ref="K441">IF(D441="","",J441+I441)</f>
        <v>17.32416138</v>
      </c>
      <c r="L441" s="33" cm="1">
        <f t="array" ref="L441">IF(D441=0,0,(D441-C441)*G441)</f>
        <v>11.92816000000029</v>
      </c>
      <c r="M441" s="12">
        <v>11522.882126250001</v>
      </c>
      <c r="N441" s="34" cm="1">
        <f t="array" ref="N441">IFERROR((K441-J441)/J441,"–")</f>
        <v>0.99896774193548377</v>
      </c>
      <c r="O441" s="33" cm="1">
        <f t="array" ref="O441">IF(D441=0,0,L441-K441)</f>
        <v>-5.39600137999971</v>
      </c>
      <c r="P441" s="11"/>
      <c r="Q441" s="35"/>
    </row>
    <row r="442" spans="1:17" ht="22.5" customHeight="1">
      <c r="A442" s="16" t="s">
        <v>83</v>
      </c>
      <c r="B442" s="43">
        <v>44429</v>
      </c>
      <c r="C442" s="37">
        <v>3.0967999999999999E-2</v>
      </c>
      <c r="D442" s="37">
        <v>3.1095000000000001E-2</v>
      </c>
      <c r="E442" s="19" cm="1">
        <f t="array" ref="E442">IF(D442="","",D442-C442)</f>
        <v>1.2700000000000211E-4</v>
      </c>
      <c r="F442" s="20" cm="1">
        <f t="array" ref="F442">IF(D442=0,"",(D442-C442)/C442)</f>
        <v>4.1010074916043053E-3</v>
      </c>
      <c r="G442" s="21">
        <v>372755</v>
      </c>
      <c r="H442" s="22">
        <v>1</v>
      </c>
      <c r="I442" s="23" cm="1">
        <f t="array" ref="I442">IF(D442="","",(G442*C442)*0.00075)</f>
        <v>8.6576076299999993</v>
      </c>
      <c r="J442" s="23" cm="1">
        <f t="array" ref="J442">IF(D442="","",(G442*D442)*0.00075)</f>
        <v>8.6931125437500008</v>
      </c>
      <c r="K442" s="24" cm="1">
        <f t="array" ref="K442">IF(D442="","",J442+I442)</f>
        <v>17.350720173749998</v>
      </c>
      <c r="L442" s="24" cm="1">
        <f t="array" ref="L442">IF(D442=0,0,(D442-C442)*G442)</f>
        <v>47.339885000000784</v>
      </c>
      <c r="M442" s="25">
        <v>11487.4438424563</v>
      </c>
      <c r="N442" s="26" cm="1">
        <f t="array" ref="N442">IFERROR((K442-J442)/J442,"–")</f>
        <v>0.99591574208071998</v>
      </c>
      <c r="O442" s="24" cm="1">
        <f t="array" ref="O442">IF(D442=0,0,L442-K442)</f>
        <v>29.989164826250786</v>
      </c>
      <c r="P442" s="23"/>
      <c r="Q442" s="27"/>
    </row>
    <row r="443" spans="1:17" ht="22.5" customHeight="1">
      <c r="A443" s="16" t="s">
        <v>146</v>
      </c>
      <c r="B443" s="42">
        <v>44429</v>
      </c>
      <c r="C443" s="36">
        <v>2.1090000000000001E-2</v>
      </c>
      <c r="D443" s="36">
        <v>2.2499999999999999E-2</v>
      </c>
      <c r="E443" s="30" cm="1">
        <f t="array" ref="E443">IF(D443="","",D443-C443)</f>
        <v>1.4099999999999981E-3</v>
      </c>
      <c r="F443" s="31" cm="1">
        <f t="array" ref="F443">IF(D443=0,"",(D443-C443)/C443)</f>
        <v>6.6856330014224655E-2</v>
      </c>
      <c r="G443" s="32">
        <v>547845</v>
      </c>
      <c r="H443" s="10">
        <v>1</v>
      </c>
      <c r="I443" s="11" cm="1">
        <f t="array" ref="I443">IF(D443="","",(G443*C443)*0.00075)</f>
        <v>8.6655382875000004</v>
      </c>
      <c r="J443" s="11" cm="1">
        <f t="array" ref="J443">IF(D443="","",(G443*D443)*0.00075)</f>
        <v>9.2448843749999998</v>
      </c>
      <c r="K443" s="33" cm="1">
        <f t="array" ref="K443">IF(D443="","",J443+I443)</f>
        <v>17.9104226625</v>
      </c>
      <c r="L443" s="33" cm="1">
        <f t="array" ref="L443">IF(D443=0,0,(D443-C443)*G443)</f>
        <v>772.46144999999899</v>
      </c>
      <c r="M443" s="12">
        <v>10772.344715625</v>
      </c>
      <c r="N443" s="34" cm="1">
        <f t="array" ref="N443">IFERROR((K443-J443)/J443,"–")</f>
        <v>0.93733333333333335</v>
      </c>
      <c r="O443" s="33" cm="1">
        <f t="array" ref="O443">IF(D443=0,0,L443-K443)</f>
        <v>754.55102733749902</v>
      </c>
      <c r="P443" s="11"/>
      <c r="Q443" s="35"/>
    </row>
    <row r="444" spans="1:17" ht="22.5" customHeight="1">
      <c r="A444" s="16" t="s">
        <v>146</v>
      </c>
      <c r="B444" s="43">
        <v>44429</v>
      </c>
      <c r="C444" s="37">
        <v>2.1090000000000001E-2</v>
      </c>
      <c r="D444" s="37">
        <v>2.2599999999999999E-2</v>
      </c>
      <c r="E444" s="19" cm="1">
        <f t="array" ref="E444">IF(D444="","",D444-C444)</f>
        <v>1.5099999999999975E-3</v>
      </c>
      <c r="F444" s="20" cm="1">
        <f t="array" ref="F444">IF(D444=0,"",(D444-C444)/C444)</f>
        <v>7.1597913703176738E-2</v>
      </c>
      <c r="G444" s="21">
        <v>547845</v>
      </c>
      <c r="H444" s="22">
        <v>1</v>
      </c>
      <c r="I444" s="23" cm="1">
        <f t="array" ref="I444">IF(D444="","",(G444*C444)*0.00075)</f>
        <v>8.6655382875000004</v>
      </c>
      <c r="J444" s="23" cm="1">
        <f t="array" ref="J444">IF(D444="","",(G444*D444)*0.00075)</f>
        <v>9.2859727499999991</v>
      </c>
      <c r="K444" s="24" cm="1">
        <f t="array" ref="K444">IF(D444="","",J444+I444)</f>
        <v>17.951511037499998</v>
      </c>
      <c r="L444" s="24" cm="1">
        <f t="array" ref="L444">IF(D444=0,0,(D444-C444)*G444)</f>
        <v>827.24594999999863</v>
      </c>
      <c r="M444" s="25">
        <v>10717.51912725</v>
      </c>
      <c r="N444" s="26" cm="1">
        <f t="array" ref="N444">IFERROR((K444-J444)/J444,"–")</f>
        <v>0.93318584070796451</v>
      </c>
      <c r="O444" s="24" cm="1">
        <f t="array" ref="O444">IF(D444=0,0,L444-K444)</f>
        <v>809.29443896249859</v>
      </c>
      <c r="P444" s="23"/>
      <c r="Q444" s="27"/>
    </row>
    <row r="445" spans="1:17" ht="22.5" customHeight="1">
      <c r="A445" s="16" t="s">
        <v>133</v>
      </c>
      <c r="B445" s="42">
        <v>44429</v>
      </c>
      <c r="C445" s="36">
        <v>0.81710000000000005</v>
      </c>
      <c r="D445" s="36">
        <v>0.83350000000000002</v>
      </c>
      <c r="E445" s="30" cm="1">
        <f t="array" ref="E445">IF(D445="","",D445-C445)</f>
        <v>1.639999999999997E-2</v>
      </c>
      <c r="F445" s="31" cm="1">
        <f t="array" ref="F445">IF(D445=0,"",(D445-C445)/C445)</f>
        <v>2.0070982743850163E-2</v>
      </c>
      <c r="G445" s="32">
        <v>14992.04</v>
      </c>
      <c r="H445" s="10">
        <v>1</v>
      </c>
      <c r="I445" s="11" cm="1">
        <f t="array" ref="I445">IF(D445="","",(G445*C445)*0.00075)</f>
        <v>9.1874969130000022</v>
      </c>
      <c r="J445" s="11" cm="1">
        <f t="array" ref="J445">IF(D445="","",(G445*D445)*0.00075)</f>
        <v>9.3718990050000013</v>
      </c>
      <c r="K445" s="33" cm="1">
        <f t="array" ref="K445">IF(D445="","",J445+I445)</f>
        <v>18.559395918000003</v>
      </c>
      <c r="L445" s="33" cm="1">
        <f t="array" ref="L445">IF(D445=0,0,(D445-C445)*G445)</f>
        <v>245.86945599999956</v>
      </c>
      <c r="M445" s="12">
        <v>11994.754528994999</v>
      </c>
      <c r="N445" s="34" cm="1">
        <f t="array" ref="N445">IFERROR((K445-J445)/J445,"–")</f>
        <v>0.98032393521295746</v>
      </c>
      <c r="O445" s="33" cm="1">
        <f t="array" ref="O445">IF(D445=0,0,L445-K445)</f>
        <v>227.31006008199955</v>
      </c>
      <c r="P445" s="11"/>
      <c r="Q445" s="35"/>
    </row>
    <row r="446" spans="1:17" ht="22.5" customHeight="1">
      <c r="A446" s="16" t="s">
        <v>133</v>
      </c>
      <c r="B446" s="43">
        <v>44429</v>
      </c>
      <c r="C446" s="37">
        <v>0.81710000000000005</v>
      </c>
      <c r="D446" s="37">
        <v>0.86080000000000001</v>
      </c>
      <c r="E446" s="19" cm="1">
        <f t="array" ref="E446">IF(D446="","",D446-C446)</f>
        <v>4.3699999999999961E-2</v>
      </c>
      <c r="F446" s="20" cm="1">
        <f t="array" ref="F446">IF(D446=0,"",(D446-C446)/C446)</f>
        <v>5.3481825969893475E-2</v>
      </c>
      <c r="G446" s="21">
        <v>14992.04</v>
      </c>
      <c r="H446" s="22">
        <v>1</v>
      </c>
      <c r="I446" s="23" cm="1">
        <f t="array" ref="I446">IF(D446="","",(G446*C446)*0.00075)</f>
        <v>9.1874969130000022</v>
      </c>
      <c r="J446" s="23" cm="1">
        <f t="array" ref="J446">IF(D446="","",(G446*D446)*0.00075)</f>
        <v>9.6788610240000015</v>
      </c>
      <c r="K446" s="24" cm="1">
        <f t="array" ref="K446">IF(D446="","",J446+I446)</f>
        <v>18.866357937000004</v>
      </c>
      <c r="L446" s="24" cm="1">
        <f t="array" ref="L446">IF(D446=0,0,(D446-C446)*G446)</f>
        <v>655.15214799999944</v>
      </c>
      <c r="M446" s="25">
        <v>11585.164874976001</v>
      </c>
      <c r="N446" s="26" cm="1">
        <f t="array" ref="N446">IFERROR((K446-J446)/J446,"–")</f>
        <v>0.94923327137546476</v>
      </c>
      <c r="O446" s="24" cm="1">
        <f t="array" ref="O446">IF(D446=0,0,L446-K446)</f>
        <v>636.28579006299947</v>
      </c>
      <c r="P446" s="23"/>
      <c r="Q446" s="27"/>
    </row>
    <row r="447" spans="1:17" ht="22.5" customHeight="1">
      <c r="A447" s="16" t="s">
        <v>21</v>
      </c>
      <c r="B447" s="42">
        <v>44429</v>
      </c>
      <c r="C447" s="36">
        <v>5.9630000000000002E-2</v>
      </c>
      <c r="D447" s="36">
        <v>0.06</v>
      </c>
      <c r="E447" s="30" cm="1">
        <f t="array" ref="E447">IF(D447="","",D447-C447)</f>
        <v>3.6999999999999533E-4</v>
      </c>
      <c r="F447" s="31" cm="1">
        <f t="array" ref="F447">IF(D447=0,"",(D447-C447)/C447)</f>
        <v>6.2049304041589017E-3</v>
      </c>
      <c r="G447" s="32">
        <v>213008.6</v>
      </c>
      <c r="H447" s="10">
        <v>1</v>
      </c>
      <c r="I447" s="11" cm="1">
        <f t="array" ref="I447">IF(D447="","",(G447*C447)*0.00075)</f>
        <v>9.5262771135000008</v>
      </c>
      <c r="J447" s="11" cm="1">
        <f t="array" ref="J447">IF(D447="","",(G447*D447)*0.00075)</f>
        <v>9.5853870000000008</v>
      </c>
      <c r="K447" s="33" cm="1">
        <f t="array" ref="K447">IF(D447="","",J447+I447)</f>
        <v>19.111664113500002</v>
      </c>
      <c r="L447" s="33" cm="1">
        <f t="array" ref="L447">IF(D447=0,0,(D447-C447)*G447)</f>
        <v>78.813181999999003</v>
      </c>
      <c r="M447" s="12">
        <v>12613.304249000001</v>
      </c>
      <c r="N447" s="34" cm="1">
        <f t="array" ref="N447">IFERROR((K447-J447)/J447,"–")</f>
        <v>0.99383333333333335</v>
      </c>
      <c r="O447" s="33" cm="1">
        <f t="array" ref="O447">IF(D447=0,0,L447-K447)</f>
        <v>59.701517886499005</v>
      </c>
      <c r="P447" s="11"/>
      <c r="Q447" s="35"/>
    </row>
    <row r="448" spans="1:17" ht="22.5" customHeight="1">
      <c r="A448" s="16" t="s">
        <v>21</v>
      </c>
      <c r="B448" s="43">
        <v>44429</v>
      </c>
      <c r="C448" s="37">
        <v>5.9630000000000002E-2</v>
      </c>
      <c r="D448" s="37">
        <v>6.0150000000000002E-2</v>
      </c>
      <c r="E448" s="19" cm="1">
        <f t="array" ref="E448">IF(D448="","",D448-C448)</f>
        <v>5.1999999999999963E-4</v>
      </c>
      <c r="F448" s="20" cm="1">
        <f t="array" ref="F448">IF(D448=0,"",(D448-C448)/C448)</f>
        <v>8.7204427301693713E-3</v>
      </c>
      <c r="G448" s="21">
        <v>106504.3</v>
      </c>
      <c r="H448" s="22">
        <v>1</v>
      </c>
      <c r="I448" s="23" cm="1">
        <f t="array" ref="I448">IF(D448="","",(G448*C448)*0.00075)</f>
        <v>4.7631385567500004</v>
      </c>
      <c r="J448" s="23" cm="1">
        <f t="array" ref="J448">IF(D448="","",(G448*D448)*0.00075)</f>
        <v>4.8046752337500003</v>
      </c>
      <c r="K448" s="24" cm="1">
        <f t="array" ref="K448">IF(D448="","",J448+I448)</f>
        <v>9.5678137905000007</v>
      </c>
      <c r="L448" s="24" cm="1">
        <f t="array" ref="L448">IF(D448=0,0,(D448-C448)*G448)</f>
        <v>55.382235999999963</v>
      </c>
      <c r="M448" s="25">
        <v>6290.66449776625</v>
      </c>
      <c r="N448" s="26" cm="1">
        <f t="array" ref="N448">IFERROR((K448-J448)/J448,"–")</f>
        <v>0.99135494596841234</v>
      </c>
      <c r="O448" s="24" cm="1">
        <f t="array" ref="O448">IF(D448=0,0,L448-K448)</f>
        <v>45.814422209499966</v>
      </c>
      <c r="P448" s="23"/>
      <c r="Q448" s="27"/>
    </row>
    <row r="449" spans="1:17" ht="22.5" customHeight="1">
      <c r="A449" s="16" t="s">
        <v>21</v>
      </c>
      <c r="B449" s="42">
        <v>44429</v>
      </c>
      <c r="C449" s="36">
        <v>5.9630000000000002E-2</v>
      </c>
      <c r="D449" s="36">
        <v>6.0260000000000001E-2</v>
      </c>
      <c r="E449" s="30" cm="1">
        <f t="array" ref="E449">IF(D449="","",D449-C449)</f>
        <v>6.2999999999999862E-4</v>
      </c>
      <c r="F449" s="31" cm="1">
        <f t="array" ref="F449">IF(D449=0,"",(D449-C449)/C449)</f>
        <v>1.0565151769243646E-2</v>
      </c>
      <c r="G449" s="32">
        <v>106504.3</v>
      </c>
      <c r="H449" s="10">
        <v>1</v>
      </c>
      <c r="I449" s="11" cm="1">
        <f t="array" ref="I449">IF(D449="","",(G449*C449)*0.00075)</f>
        <v>4.7631385567500004</v>
      </c>
      <c r="J449" s="11" cm="1">
        <f t="array" ref="J449">IF(D449="","",(G449*D449)*0.00075)</f>
        <v>4.8134618385000003</v>
      </c>
      <c r="K449" s="33" cm="1">
        <f t="array" ref="K449">IF(D449="","",J449+I449)</f>
        <v>9.5766003952500007</v>
      </c>
      <c r="L449" s="33" cm="1">
        <f t="array" ref="L449">IF(D449=0,0,(D449-C449)*G449)</f>
        <v>67.097708999999853</v>
      </c>
      <c r="M449" s="12">
        <v>6278.9402381615</v>
      </c>
      <c r="N449" s="34" cm="1">
        <f t="array" ref="N449">IFERROR((K449-J449)/J449,"–")</f>
        <v>0.98954530368403582</v>
      </c>
      <c r="O449" s="33" cm="1">
        <f t="array" ref="O449">IF(D449=0,0,L449-K449)</f>
        <v>57.521108604749855</v>
      </c>
      <c r="P449" s="11"/>
      <c r="Q449" s="35"/>
    </row>
    <row r="450" spans="1:17" ht="22.5" customHeight="1">
      <c r="A450" s="16" t="s">
        <v>147</v>
      </c>
      <c r="B450" s="43">
        <v>44429</v>
      </c>
      <c r="C450" s="37">
        <v>0.21990000000000001</v>
      </c>
      <c r="D450" s="37">
        <v>0.21859999999999999</v>
      </c>
      <c r="E450" s="19" cm="1">
        <f t="array" ref="E450">IF(D450="","",D450-C450)</f>
        <v>-1.3000000000000234E-3</v>
      </c>
      <c r="F450" s="20" cm="1">
        <f t="array" ref="F450">IF(D450=0,"",(D450-C450)/C450)</f>
        <v>-5.9117780809459907E-3</v>
      </c>
      <c r="G450" s="21">
        <v>21964.240000000002</v>
      </c>
      <c r="H450" s="22">
        <v>1</v>
      </c>
      <c r="I450" s="23" cm="1">
        <f t="array" ref="I450">IF(D450="","",(G450*C450)*0.00075)</f>
        <v>3.6224522820000007</v>
      </c>
      <c r="J450" s="23" cm="1">
        <f t="array" ref="J450">IF(D450="","",(G450*D450)*0.00075)</f>
        <v>3.6010371480000001</v>
      </c>
      <c r="K450" s="24" cm="1">
        <f t="array" ref="K450">IF(D450="","",J450+I450)</f>
        <v>7.2234894300000008</v>
      </c>
      <c r="L450" s="24" cm="1">
        <f t="array" ref="L450">IF(D450=0,0,(D450-C450)*G450)</f>
        <v>-28.553512000000516</v>
      </c>
      <c r="M450" s="25">
        <v>4854.8888508520004</v>
      </c>
      <c r="N450" s="26" cm="1">
        <f t="array" ref="N450">IFERROR((K450-J450)/J450,"–")</f>
        <v>1.0059469350411712</v>
      </c>
      <c r="O450" s="24" cm="1">
        <f t="array" ref="O450">IF(D450=0,0,L450-K450)</f>
        <v>-35.777001430000517</v>
      </c>
      <c r="P450" s="23"/>
      <c r="Q450" s="27"/>
    </row>
    <row r="451" spans="1:17" ht="22.5" customHeight="1">
      <c r="A451" s="16" t="s">
        <v>147</v>
      </c>
      <c r="B451" s="42">
        <v>44429</v>
      </c>
      <c r="C451" s="36">
        <v>0.21990000000000001</v>
      </c>
      <c r="D451" s="36">
        <v>0.21859999999999999</v>
      </c>
      <c r="E451" s="30" cm="1">
        <f t="array" ref="E451">IF(D451="","",D451-C451)</f>
        <v>-1.3000000000000234E-3</v>
      </c>
      <c r="F451" s="31" cm="1">
        <f t="array" ref="F451">IF(D451=0,"",(D451-C451)/C451)</f>
        <v>-5.9117780809459907E-3</v>
      </c>
      <c r="G451" s="32">
        <v>45476.11</v>
      </c>
      <c r="H451" s="10">
        <v>1</v>
      </c>
      <c r="I451" s="11" cm="1">
        <f t="array" ref="I451">IF(D451="","",(G451*C451)*0.00075)</f>
        <v>7.5001474417500011</v>
      </c>
      <c r="J451" s="11" cm="1">
        <f t="array" ref="J451">IF(D451="","",(G451*D451)*0.00075)</f>
        <v>7.4558082345000001</v>
      </c>
      <c r="K451" s="33" cm="1">
        <f t="array" ref="K451">IF(D451="","",J451+I451)</f>
        <v>14.955955676250001</v>
      </c>
      <c r="L451" s="33" cm="1">
        <f t="array" ref="L451">IF(D451=0,0,(D451-C451)*G451)</f>
        <v>-59.11894300000106</v>
      </c>
      <c r="M451" s="12">
        <v>10051.859723765499</v>
      </c>
      <c r="N451" s="34" cm="1">
        <f t="array" ref="N451">IFERROR((K451-J451)/J451,"–")</f>
        <v>1.0059469350411712</v>
      </c>
      <c r="O451" s="33" cm="1">
        <f t="array" ref="O451">IF(D451=0,0,L451-K451)</f>
        <v>-74.074898676251067</v>
      </c>
      <c r="P451" s="11"/>
      <c r="Q451" s="35"/>
    </row>
    <row r="452" spans="1:17" ht="22.5" customHeight="1">
      <c r="A452" s="16" t="s">
        <v>147</v>
      </c>
      <c r="B452" s="43">
        <v>44429</v>
      </c>
      <c r="C452" s="37">
        <v>0.21990000000000001</v>
      </c>
      <c r="D452" s="37">
        <v>0.219</v>
      </c>
      <c r="E452" s="19" cm="1">
        <f t="array" ref="E452">IF(D452="","",D452-C452)</f>
        <v>-9.000000000000119E-4</v>
      </c>
      <c r="F452" s="20" cm="1">
        <f t="array" ref="F452">IF(D452=0,"",(D452-C452)/C452)</f>
        <v>-4.0927694406548967E-3</v>
      </c>
      <c r="G452" s="21">
        <v>22738.05</v>
      </c>
      <c r="H452" s="22">
        <v>1</v>
      </c>
      <c r="I452" s="23" cm="1">
        <f t="array" ref="I452">IF(D452="","",(G452*C452)*0.00075)</f>
        <v>3.7500728962500003</v>
      </c>
      <c r="J452" s="23" cm="1">
        <f t="array" ref="J452">IF(D452="","",(G452*D452)*0.00075)</f>
        <v>3.7347247125000003</v>
      </c>
      <c r="K452" s="24" cm="1">
        <f t="array" ref="K452">IF(D452="","",J452+I452)</f>
        <v>7.4847976087500001</v>
      </c>
      <c r="L452" s="24" cm="1">
        <f t="array" ref="L452">IF(D452=0,0,(D452-C452)*G452)</f>
        <v>-20.464245000000268</v>
      </c>
      <c r="M452" s="25">
        <v>5016.8267152874996</v>
      </c>
      <c r="N452" s="26" cm="1">
        <f t="array" ref="N452">IFERROR((K452-J452)/J452,"–")</f>
        <v>1.0041095890410958</v>
      </c>
      <c r="O452" s="24" cm="1">
        <f t="array" ref="O452">IF(D452=0,0,L452-K452)</f>
        <v>-27.949042608750268</v>
      </c>
      <c r="P452" s="23"/>
      <c r="Q452" s="27"/>
    </row>
    <row r="453" spans="1:17" ht="22.5" customHeight="1">
      <c r="A453" s="16" t="s">
        <v>147</v>
      </c>
      <c r="B453" s="42">
        <v>44429</v>
      </c>
      <c r="C453" s="36">
        <v>0.21990000000000001</v>
      </c>
      <c r="D453" s="36">
        <v>0.2195</v>
      </c>
      <c r="E453" s="30" cm="1">
        <f t="array" ref="E453">IF(D453="","",D453-C453)</f>
        <v>-4.0000000000001146E-4</v>
      </c>
      <c r="F453" s="31" cm="1">
        <f t="array" ref="F453">IF(D453=0,"",(D453-C453)/C453)</f>
        <v>-1.8190086402910934E-3</v>
      </c>
      <c r="G453" s="32">
        <v>773.82</v>
      </c>
      <c r="H453" s="10">
        <v>1</v>
      </c>
      <c r="I453" s="11" cm="1">
        <f t="array" ref="I453">IF(D453="","",(G453*C453)*0.00075)</f>
        <v>0.12762226350000003</v>
      </c>
      <c r="J453" s="11" cm="1">
        <f t="array" ref="J453">IF(D453="","",(G453*D453)*0.00075)</f>
        <v>0.12739011750000001</v>
      </c>
      <c r="K453" s="33" cm="1">
        <f t="array" ref="K453">IF(D453="","",J453+I453)</f>
        <v>0.25501238100000001</v>
      </c>
      <c r="L453" s="33" cm="1">
        <f t="array" ref="L453">IF(D453=0,0,(D453-C453)*G453)</f>
        <v>-0.30952800000000891</v>
      </c>
      <c r="M453" s="12">
        <v>170.34515588249999</v>
      </c>
      <c r="N453" s="34" cm="1">
        <f t="array" ref="N453">IFERROR((K453-J453)/J453,"–")</f>
        <v>1.0018223234624144</v>
      </c>
      <c r="O453" s="33" cm="1">
        <f t="array" ref="O453">IF(D453=0,0,L453-K453)</f>
        <v>-0.56454038100000892</v>
      </c>
      <c r="P453" s="11"/>
      <c r="Q453" s="35"/>
    </row>
    <row r="454" spans="1:17" ht="22.5" customHeight="1">
      <c r="A454" s="16" t="s">
        <v>144</v>
      </c>
      <c r="B454" s="43">
        <v>44429</v>
      </c>
      <c r="C454" s="37">
        <v>3.4332000000000001E-2</v>
      </c>
      <c r="D454" s="37">
        <v>3.4439999999999998E-2</v>
      </c>
      <c r="E454" s="19" cm="1">
        <f t="array" ref="E454">IF(D454="","",D454-C454)</f>
        <v>1.0799999999999699E-4</v>
      </c>
      <c r="F454" s="20" cm="1">
        <f t="array" ref="F454">IF(D454=0,"",(D454-C454)/C454)</f>
        <v>3.1457532331351794E-3</v>
      </c>
      <c r="G454" s="21">
        <v>369917</v>
      </c>
      <c r="H454" s="22">
        <v>1</v>
      </c>
      <c r="I454" s="23" cm="1">
        <f t="array" ref="I454">IF(D454="","",(G454*C454)*0.00075)</f>
        <v>9.5249928330000007</v>
      </c>
      <c r="J454" s="23" cm="1">
        <f t="array" ref="J454">IF(D454="","",(G454*D454)*0.00075)</f>
        <v>9.5549561099999991</v>
      </c>
      <c r="K454" s="24" cm="1">
        <f t="array" ref="K454">IF(D454="","",J454+I454)</f>
        <v>19.079948942999998</v>
      </c>
      <c r="L454" s="24" cm="1">
        <f t="array" ref="L454">IF(D454=0,0,(D454-C454)*G454)</f>
        <v>39.951035999998886</v>
      </c>
      <c r="M454" s="25">
        <v>12650.484451890001</v>
      </c>
      <c r="N454" s="26" cm="1">
        <f t="array" ref="N454">IFERROR((K454-J454)/J454,"–")</f>
        <v>0.99686411149825782</v>
      </c>
      <c r="O454" s="24" cm="1">
        <f t="array" ref="O454">IF(D454=0,0,L454-K454)</f>
        <v>20.871087056998888</v>
      </c>
      <c r="P454" s="23"/>
      <c r="Q454" s="27"/>
    </row>
    <row r="455" spans="1:17" ht="22.5" customHeight="1">
      <c r="A455" s="16" t="s">
        <v>144</v>
      </c>
      <c r="B455" s="42">
        <v>44429</v>
      </c>
      <c r="C455" s="36">
        <v>3.4332000000000001E-2</v>
      </c>
      <c r="D455" s="36">
        <v>3.4500000000000003E-2</v>
      </c>
      <c r="E455" s="30" cm="1">
        <f t="array" ref="E455">IF(D455="","",D455-C455)</f>
        <v>1.6800000000000148E-4</v>
      </c>
      <c r="F455" s="31" cm="1">
        <f t="array" ref="F455">IF(D455=0,"",(D455-C455)/C455)</f>
        <v>4.8933939182104593E-3</v>
      </c>
      <c r="G455" s="32">
        <v>369917</v>
      </c>
      <c r="H455" s="10">
        <v>1</v>
      </c>
      <c r="I455" s="11" cm="1">
        <f t="array" ref="I455">IF(D455="","",(G455*C455)*0.00075)</f>
        <v>9.5249928330000007</v>
      </c>
      <c r="J455" s="11" cm="1">
        <f t="array" ref="J455">IF(D455="","",(G455*D455)*0.00075)</f>
        <v>9.5716023750000012</v>
      </c>
      <c r="K455" s="33" cm="1">
        <f t="array" ref="K455">IF(D455="","",J455+I455)</f>
        <v>19.096595208000004</v>
      </c>
      <c r="L455" s="33" cm="1">
        <f t="array" ref="L455">IF(D455=0,0,(D455-C455)*G455)</f>
        <v>62.146056000000549</v>
      </c>
      <c r="M455" s="12">
        <v>12628.272785625</v>
      </c>
      <c r="N455" s="34" cm="1">
        <f t="array" ref="N455">IFERROR((K455-J455)/J455,"–")</f>
        <v>0.99513043478260887</v>
      </c>
      <c r="O455" s="33" cm="1">
        <f t="array" ref="O455">IF(D455=0,0,L455-K455)</f>
        <v>43.049460792000545</v>
      </c>
      <c r="P455" s="11"/>
      <c r="Q455" s="35"/>
    </row>
    <row r="456" spans="1:17" ht="22.5" customHeight="1">
      <c r="A456" s="16" t="s">
        <v>85</v>
      </c>
      <c r="B456" s="43">
        <v>44430</v>
      </c>
      <c r="C456" s="37">
        <v>2.242</v>
      </c>
      <c r="D456" s="37">
        <v>2.2799999999999998</v>
      </c>
      <c r="E456" s="19" cm="1">
        <f t="array" ref="E456">IF(D456="","",D456-C456)</f>
        <v>3.7999999999999812E-2</v>
      </c>
      <c r="F456" s="20" cm="1">
        <f t="array" ref="F456">IF(D456=0,"",(D456-C456)/C456)</f>
        <v>1.6949152542372798E-2</v>
      </c>
      <c r="G456" s="21">
        <v>5687.41</v>
      </c>
      <c r="H456" s="22">
        <v>1</v>
      </c>
      <c r="I456" s="23" cm="1">
        <f t="array" ref="I456">IF(D456="","",(G456*C456)*0.00075)</f>
        <v>9.5633799149999987</v>
      </c>
      <c r="J456" s="23" cm="1">
        <f t="array" ref="J456">IF(D456="","",(G456*D456)*0.00075)</f>
        <v>9.7254710999999983</v>
      </c>
      <c r="K456" s="24" cm="1">
        <f t="array" ref="K456">IF(D456="","",J456+I456)</f>
        <v>19.288851014999999</v>
      </c>
      <c r="L456" s="24" cm="1">
        <f t="array" ref="L456">IF(D456=0,0,(D456-C456)*G456)</f>
        <v>216.12157999999891</v>
      </c>
      <c r="M456" s="25">
        <v>12525.326168899999</v>
      </c>
      <c r="N456" s="26" cm="1">
        <f t="array" ref="N456">IFERROR((K456-J456)/J456,"–")</f>
        <v>0.98333333333333361</v>
      </c>
      <c r="O456" s="24" cm="1">
        <f t="array" ref="O456">IF(D456=0,0,L456-K456)</f>
        <v>196.83272898499891</v>
      </c>
      <c r="P456" s="23"/>
      <c r="Q456" s="27"/>
    </row>
    <row r="457" spans="1:17" ht="22.5" customHeight="1">
      <c r="A457" s="16" t="s">
        <v>85</v>
      </c>
      <c r="B457" s="42">
        <v>44430</v>
      </c>
      <c r="C457" s="36">
        <v>2.242</v>
      </c>
      <c r="D457" s="36">
        <v>2.2749999999999999</v>
      </c>
      <c r="E457" s="30" cm="1">
        <f t="array" ref="E457">IF(D457="","",D457-C457)</f>
        <v>3.2999999999999918E-2</v>
      </c>
      <c r="F457" s="31" cm="1">
        <f t="array" ref="F457">IF(D457=0,"",(D457-C457)/C457)</f>
        <v>1.4719000892060624E-2</v>
      </c>
      <c r="G457" s="32">
        <v>5687.41</v>
      </c>
      <c r="H457" s="10">
        <v>1</v>
      </c>
      <c r="I457" s="11" cm="1">
        <f t="array" ref="I457">IF(D457="","",(G457*C457)*0.00075)</f>
        <v>9.5633799149999987</v>
      </c>
      <c r="J457" s="11" cm="1">
        <f t="array" ref="J457">IF(D457="","",(G457*D457)*0.00075)</f>
        <v>9.7041433124999994</v>
      </c>
      <c r="K457" s="33" cm="1">
        <f t="array" ref="K457">IF(D457="","",J457+I457)</f>
        <v>19.2675232275</v>
      </c>
      <c r="L457" s="33" cm="1">
        <f t="array" ref="L457">IF(D457=0,0,(D457-C457)*G457)</f>
        <v>187.68452999999954</v>
      </c>
      <c r="M457" s="12">
        <v>12553.784546687501</v>
      </c>
      <c r="N457" s="34" cm="1">
        <f t="array" ref="N457">IFERROR((K457-J457)/J457,"–")</f>
        <v>0.98549450549450557</v>
      </c>
      <c r="O457" s="33" cm="1">
        <f t="array" ref="O457">IF(D457=0,0,L457-K457)</f>
        <v>168.41700677249955</v>
      </c>
      <c r="P457" s="11"/>
      <c r="Q457" s="35"/>
    </row>
    <row r="458" spans="1:17" ht="22.5" customHeight="1">
      <c r="A458" s="16" t="s">
        <v>128</v>
      </c>
      <c r="B458" s="43">
        <v>44430</v>
      </c>
      <c r="C458" s="37">
        <v>0.16700000000000001</v>
      </c>
      <c r="D458" s="37">
        <v>0.17100000000000001</v>
      </c>
      <c r="E458" s="19" cm="1">
        <f t="array" ref="E458">IF(D458="","",D458-C458)</f>
        <v>4.0000000000000036E-3</v>
      </c>
      <c r="F458" s="20" cm="1">
        <f t="array" ref="F458">IF(D458=0,"",(D458-C458)/C458)</f>
        <v>2.3952095808383252E-2</v>
      </c>
      <c r="G458" s="21">
        <v>115792.64</v>
      </c>
      <c r="H458" s="22">
        <v>1</v>
      </c>
      <c r="I458" s="23" cm="1">
        <f t="array" ref="I458">IF(D458="","",(G458*C458)*0.00075)</f>
        <v>14.503028160000001</v>
      </c>
      <c r="J458" s="23" cm="1">
        <f t="array" ref="J458">IF(D458="","",(G458*D458)*0.00075)</f>
        <v>14.850406080000001</v>
      </c>
      <c r="K458" s="24" cm="1">
        <f t="array" ref="K458">IF(D458="","",J458+I458)</f>
        <v>29.353434240000002</v>
      </c>
      <c r="L458" s="24" cm="1">
        <f t="array" ref="L458">IF(D458=0,0,(D458-C458)*G458)</f>
        <v>463.17056000000042</v>
      </c>
      <c r="M458" s="25">
        <v>18859.349913919999</v>
      </c>
      <c r="N458" s="26" cm="1">
        <f t="array" ref="N458">IFERROR((K458-J458)/J458,"–")</f>
        <v>0.97660818713450293</v>
      </c>
      <c r="O458" s="24" cm="1">
        <f t="array" ref="O458">IF(D458=0,0,L458-K458)</f>
        <v>433.81712576000041</v>
      </c>
      <c r="P458" s="23"/>
      <c r="Q458" s="27"/>
    </row>
    <row r="459" spans="1:17" ht="22.5" customHeight="1">
      <c r="A459" s="16" t="s">
        <v>128</v>
      </c>
      <c r="B459" s="42">
        <v>44430</v>
      </c>
      <c r="C459" s="36">
        <v>0.16700000000000001</v>
      </c>
      <c r="D459" s="36">
        <v>0.1706</v>
      </c>
      <c r="E459" s="30" cm="1">
        <f t="array" ref="E459">IF(D459="","",D459-C459)</f>
        <v>3.5999999999999921E-3</v>
      </c>
      <c r="F459" s="31" cm="1">
        <f t="array" ref="F459">IF(D459=0,"",(D459-C459)/C459)</f>
        <v>2.1556886227544862E-2</v>
      </c>
      <c r="G459" s="32">
        <v>77281.31</v>
      </c>
      <c r="H459" s="10">
        <v>1</v>
      </c>
      <c r="I459" s="11" cm="1">
        <f t="array" ref="I459">IF(D459="","",(G459*C459)*0.00075)</f>
        <v>9.6794840774999997</v>
      </c>
      <c r="J459" s="11" cm="1">
        <f t="array" ref="J459">IF(D459="","",(G459*D459)*0.00075)</f>
        <v>9.8881436145000006</v>
      </c>
      <c r="K459" s="33" cm="1">
        <f t="array" ref="K459">IF(D459="","",J459+I459)</f>
        <v>19.567627692000002</v>
      </c>
      <c r="L459" s="33" cm="1">
        <f t="array" ref="L459">IF(D459=0,0,(D459-C459)*G459)</f>
        <v>278.21271599999938</v>
      </c>
      <c r="M459" s="12">
        <v>12617.877910385499</v>
      </c>
      <c r="N459" s="34" cm="1">
        <f t="array" ref="N459">IFERROR((K459-J459)/J459,"–")</f>
        <v>0.97889800703399776</v>
      </c>
      <c r="O459" s="33" cm="1">
        <f t="array" ref="O459">IF(D459=0,0,L459-K459)</f>
        <v>258.64508830799934</v>
      </c>
      <c r="P459" s="11"/>
      <c r="Q459" s="35"/>
    </row>
    <row r="460" spans="1:17" ht="22.5" customHeight="1">
      <c r="A460" s="16" t="s">
        <v>148</v>
      </c>
      <c r="B460" s="43">
        <v>44430</v>
      </c>
      <c r="C460" s="37">
        <v>7.177E-2</v>
      </c>
      <c r="D460" s="37">
        <v>7.2169999999999998E-2</v>
      </c>
      <c r="E460" s="19" cm="1">
        <f t="array" ref="E460">IF(D460="","",D460-C460)</f>
        <v>3.9999999999999758E-4</v>
      </c>
      <c r="F460" s="20" cm="1">
        <f t="array" ref="F460">IF(D460=0,"",(D460-C460)/C460)</f>
        <v>5.573359342343564E-3</v>
      </c>
      <c r="G460" s="21">
        <v>46156.800000000003</v>
      </c>
      <c r="H460" s="22">
        <v>1</v>
      </c>
      <c r="I460" s="23" cm="1">
        <f t="array" ref="I460">IF(D460="","",(G460*C460)*0.00075)</f>
        <v>2.4845051520000001</v>
      </c>
      <c r="J460" s="23" cm="1">
        <f t="array" ref="J460">IF(D460="","",(G460*D460)*0.00075)</f>
        <v>2.498352192</v>
      </c>
      <c r="K460" s="24" cm="1">
        <f t="array" ref="K460">IF(D460="","",J460+I460)</f>
        <v>4.9828573440000001</v>
      </c>
      <c r="L460" s="24" cm="1">
        <f t="array" ref="L460">IF(D460=0,0,(D460-C460)*G460)</f>
        <v>18.462719999999891</v>
      </c>
      <c r="M460" s="25">
        <v>3291.7124638079999</v>
      </c>
      <c r="N460" s="26" cm="1">
        <f t="array" ref="N460">IFERROR((K460-J460)/J460,"–")</f>
        <v>0.99445753082998478</v>
      </c>
      <c r="O460" s="24" cm="1">
        <f t="array" ref="O460">IF(D460=0,0,L460-K460)</f>
        <v>13.479862655999892</v>
      </c>
      <c r="P460" s="23"/>
      <c r="Q460" s="27"/>
    </row>
    <row r="461" spans="1:17" ht="22.5" customHeight="1">
      <c r="A461" s="16" t="s">
        <v>148</v>
      </c>
      <c r="B461" s="42">
        <v>44430</v>
      </c>
      <c r="C461" s="36">
        <v>7.1830000000000005E-2</v>
      </c>
      <c r="D461" s="36">
        <v>7.2050000000000003E-2</v>
      </c>
      <c r="E461" s="30" cm="1">
        <f t="array" ref="E461">IF(D461="","",D461-C461)</f>
        <v>2.1999999999999797E-4</v>
      </c>
      <c r="F461" s="31" cm="1">
        <f t="array" ref="F461">IF(D461=0,"",(D461-C461)/C461)</f>
        <v>3.0627871362939991E-3</v>
      </c>
      <c r="G461" s="32">
        <v>115315.7</v>
      </c>
      <c r="H461" s="10">
        <v>1</v>
      </c>
      <c r="I461" s="11" cm="1">
        <f t="array" ref="I461">IF(D461="","",(G461*C461)*0.00075)</f>
        <v>6.2123450482500004</v>
      </c>
      <c r="J461" s="11" cm="1">
        <f t="array" ref="J461">IF(D461="","",(G461*D461)*0.00075)</f>
        <v>6.2313721387500003</v>
      </c>
      <c r="K461" s="33" cm="1">
        <f t="array" ref="K461">IF(D461="","",J461+I461)</f>
        <v>12.443717187000001</v>
      </c>
      <c r="L461" s="33" cm="1">
        <f t="array" ref="L461">IF(D461=0,0,(D461-C461)*G461)</f>
        <v>25.369453999999767</v>
      </c>
      <c r="M461" s="12">
        <v>8251.5259048612497</v>
      </c>
      <c r="N461" s="34" cm="1">
        <f t="array" ref="N461">IFERROR((K461-J461)/J461,"–")</f>
        <v>0.99694656488549616</v>
      </c>
      <c r="O461" s="33" cm="1">
        <f t="array" ref="O461">IF(D461=0,0,L461-K461)</f>
        <v>12.925736812999766</v>
      </c>
      <c r="P461" s="11"/>
      <c r="Q461" s="35"/>
    </row>
    <row r="462" spans="1:17" ht="22.5" customHeight="1">
      <c r="A462" s="16" t="s">
        <v>148</v>
      </c>
      <c r="B462" s="43">
        <v>44430</v>
      </c>
      <c r="C462" s="37">
        <v>7.1830000000000005E-2</v>
      </c>
      <c r="D462" s="37">
        <v>7.2099999999999997E-2</v>
      </c>
      <c r="E462" s="19" cm="1">
        <f t="array" ref="E462">IF(D462="","",D462-C462)</f>
        <v>2.6999999999999247E-4</v>
      </c>
      <c r="F462" s="20" cm="1">
        <f t="array" ref="F462">IF(D462=0,"",(D462-C462)/C462)</f>
        <v>3.7588751218152923E-3</v>
      </c>
      <c r="G462" s="21">
        <v>57657.9</v>
      </c>
      <c r="H462" s="22">
        <v>1</v>
      </c>
      <c r="I462" s="23" cm="1">
        <f t="array" ref="I462">IF(D462="","",(G462*C462)*0.00075)</f>
        <v>3.1061752177500002</v>
      </c>
      <c r="J462" s="23" cm="1">
        <f t="array" ref="J462">IF(D462="","",(G462*D462)*0.00075)</f>
        <v>3.1178509424999996</v>
      </c>
      <c r="K462" s="24" cm="1">
        <f t="array" ref="K462">IF(D462="","",J462+I462)</f>
        <v>6.2240261602500002</v>
      </c>
      <c r="L462" s="24" cm="1">
        <f t="array" ref="L462">IF(D462=0,0,(D462-C462)*G462)</f>
        <v>15.567632999999566</v>
      </c>
      <c r="M462" s="25">
        <v>4122.8814730575004</v>
      </c>
      <c r="N462" s="26" cm="1">
        <f t="array" ref="N462">IFERROR((K462-J462)/J462,"–")</f>
        <v>0.99625520110957033</v>
      </c>
      <c r="O462" s="24" cm="1">
        <f t="array" ref="O462">IF(D462=0,0,L462-K462)</f>
        <v>9.3436068397495653</v>
      </c>
      <c r="P462" s="23"/>
      <c r="Q462" s="27"/>
    </row>
    <row r="463" spans="1:17" ht="22.5" customHeight="1">
      <c r="A463" s="16" t="s">
        <v>148</v>
      </c>
      <c r="B463" s="42">
        <v>44430</v>
      </c>
      <c r="C463" s="36">
        <v>7.1830000000000005E-2</v>
      </c>
      <c r="D463" s="36">
        <v>7.2169999999999998E-2</v>
      </c>
      <c r="E463" s="30" cm="1">
        <f t="array" ref="E463">IF(D463="","",D463-C463)</f>
        <v>3.3999999999999309E-4</v>
      </c>
      <c r="F463" s="31" cm="1">
        <f t="array" ref="F463">IF(D463=0,"",(D463-C463)/C463)</f>
        <v>4.7333983015452191E-3</v>
      </c>
      <c r="G463" s="32">
        <v>11501.1</v>
      </c>
      <c r="H463" s="10">
        <v>1</v>
      </c>
      <c r="I463" s="11" cm="1">
        <f t="array" ref="I463">IF(D463="","",(G463*C463)*0.00075)</f>
        <v>0.61959300975000009</v>
      </c>
      <c r="J463" s="11" cm="1">
        <f t="array" ref="J463">IF(D463="","",(G463*D463)*0.00075)</f>
        <v>0.62252579024999999</v>
      </c>
      <c r="K463" s="33" cm="1">
        <f t="array" ref="K463">IF(D463="","",J463+I463)</f>
        <v>1.2421188000000001</v>
      </c>
      <c r="L463" s="33" cm="1">
        <f t="array" ref="L463">IF(D463=0,0,(D463-C463)*G463)</f>
        <v>3.9103739999999205</v>
      </c>
      <c r="M463" s="12">
        <v>821.59111320975001</v>
      </c>
      <c r="N463" s="34" cm="1">
        <f t="array" ref="N463">IFERROR((K463-J463)/J463,"–")</f>
        <v>0.99528890120548719</v>
      </c>
      <c r="O463" s="33" cm="1">
        <f t="array" ref="O463">IF(D463=0,0,L463-K463)</f>
        <v>2.6682551999999204</v>
      </c>
      <c r="P463" s="11"/>
      <c r="Q463" s="35"/>
    </row>
    <row r="464" spans="1:17" ht="22.5" customHeight="1">
      <c r="A464" s="16" t="s">
        <v>149</v>
      </c>
      <c r="B464" s="43">
        <v>44431</v>
      </c>
      <c r="C464" s="37">
        <v>9.9430000000000004E-2</v>
      </c>
      <c r="D464" s="37">
        <v>9.98E-2</v>
      </c>
      <c r="E464" s="19" cm="1">
        <f t="array" ref="E464">IF(D464="","",D464-C464)</f>
        <v>3.6999999999999533E-4</v>
      </c>
      <c r="F464" s="20" cm="1">
        <f t="array" ref="F464">IF(D464=0,"",(D464-C464)/C464)</f>
        <v>3.7212109021421635E-3</v>
      </c>
      <c r="G464" s="21">
        <v>135782.9</v>
      </c>
      <c r="H464" s="22">
        <v>1</v>
      </c>
      <c r="I464" s="23" cm="1">
        <f t="array" ref="I464">IF(D464="","",(G464*C464)*0.00075)</f>
        <v>10.125670310249999</v>
      </c>
      <c r="J464" s="23" cm="1">
        <f t="array" ref="J464">IF(D464="","",(G464*D464)*0.00075)</f>
        <v>10.163350064999999</v>
      </c>
      <c r="K464" s="24" cm="1">
        <f t="array" ref="K464">IF(D464="","",J464+I464)</f>
        <v>20.289020375249997</v>
      </c>
      <c r="L464" s="24" cm="1">
        <f t="array" ref="L464">IF(D464=0,0,(D464-C464)*G464)</f>
        <v>50.239672999999364</v>
      </c>
      <c r="M464" s="25">
        <v>13440.490723935</v>
      </c>
      <c r="N464" s="26" cm="1">
        <f t="array" ref="N464">IFERROR((K464-J464)/J464,"–")</f>
        <v>0.99629258517034047</v>
      </c>
      <c r="O464" s="24" cm="1">
        <f t="array" ref="O464">IF(D464=0,0,L464-K464)</f>
        <v>29.950652624749367</v>
      </c>
      <c r="P464" s="23"/>
      <c r="Q464" s="27"/>
    </row>
    <row r="465" spans="1:17" ht="22.5" customHeight="1">
      <c r="A465" s="16" t="s">
        <v>149</v>
      </c>
      <c r="B465" s="42">
        <v>44431</v>
      </c>
      <c r="C465" s="36">
        <v>9.9430000000000004E-2</v>
      </c>
      <c r="D465" s="36">
        <v>0.1</v>
      </c>
      <c r="E465" s="30" cm="1">
        <f t="array" ref="E465">IF(D465="","",D465-C465)</f>
        <v>5.7000000000000106E-4</v>
      </c>
      <c r="F465" s="31" cm="1">
        <f t="array" ref="F465">IF(D465=0,"",(D465-C465)/C465)</f>
        <v>5.7326762546515237E-3</v>
      </c>
      <c r="G465" s="32">
        <v>135782.9</v>
      </c>
      <c r="H465" s="10">
        <v>1</v>
      </c>
      <c r="I465" s="11" cm="1">
        <f t="array" ref="I465">IF(D465="","",(G465*C465)*0.00075)</f>
        <v>10.125670310249999</v>
      </c>
      <c r="J465" s="11" cm="1">
        <f t="array" ref="J465">IF(D465="","",(G465*D465)*0.00075)</f>
        <v>10.1837175</v>
      </c>
      <c r="K465" s="33" cm="1">
        <f t="array" ref="K465">IF(D465="","",J465+I465)</f>
        <v>20.309387810250001</v>
      </c>
      <c r="L465" s="33" cm="1">
        <f t="array" ref="L465">IF(D465=0,0,(D465-C465)*G465)</f>
        <v>77.396253000000144</v>
      </c>
      <c r="M465" s="12">
        <v>13413.313776499999</v>
      </c>
      <c r="N465" s="34" cm="1">
        <f t="array" ref="N465">IFERROR((K465-J465)/J465,"–")</f>
        <v>0.99430000000000007</v>
      </c>
      <c r="O465" s="33" cm="1">
        <f t="array" ref="O465">IF(D465=0,0,L465-K465)</f>
        <v>57.086865189750142</v>
      </c>
      <c r="P465" s="11"/>
      <c r="Q465" s="35"/>
    </row>
    <row r="466" spans="1:17" ht="22.5" customHeight="1">
      <c r="A466" s="16" t="s">
        <v>150</v>
      </c>
      <c r="B466" s="43">
        <v>44431</v>
      </c>
      <c r="C466" s="37">
        <v>1.3935999999999999</v>
      </c>
      <c r="D466" s="37">
        <v>1.397</v>
      </c>
      <c r="E466" s="19" cm="1">
        <f t="array" ref="E466">IF(D466="","",D466-C466)</f>
        <v>3.4000000000000696E-3</v>
      </c>
      <c r="F466" s="20" cm="1">
        <f t="array" ref="F466">IF(D466=0,"",(D466-C466)/C466)</f>
        <v>2.439724454649878E-3</v>
      </c>
      <c r="G466" s="21">
        <v>328.68</v>
      </c>
      <c r="H466" s="22">
        <v>1</v>
      </c>
      <c r="I466" s="23" cm="1">
        <f t="array" ref="I466">IF(D466="","",(G466*C466)*0.00075)</f>
        <v>0.343536336</v>
      </c>
      <c r="J466" s="23" cm="1">
        <f t="array" ref="J466">IF(D466="","",(G466*D466)*0.00075)</f>
        <v>0.34437447000000004</v>
      </c>
      <c r="K466" s="24" cm="1">
        <f t="array" ref="K466">IF(D466="","",J466+I466)</f>
        <v>0.6879108060000001</v>
      </c>
      <c r="L466" s="24" cm="1">
        <f t="array" ref="L466">IF(D466=0,0,(D466-C466)*G466)</f>
        <v>1.1175120000000229</v>
      </c>
      <c r="M466" s="25">
        <v>456.58656152999998</v>
      </c>
      <c r="N466" s="26" cm="1">
        <f t="array" ref="N466">IFERROR((K466-J466)/J466,"–")</f>
        <v>0.99756621331424489</v>
      </c>
      <c r="O466" s="24" cm="1">
        <f t="array" ref="O466">IF(D466=0,0,L466-K466)</f>
        <v>0.42960119400002283</v>
      </c>
      <c r="P466" s="23"/>
      <c r="Q466" s="27"/>
    </row>
    <row r="467" spans="1:17" ht="22.5" customHeight="1">
      <c r="A467" s="16" t="s">
        <v>150</v>
      </c>
      <c r="B467" s="42">
        <v>44431</v>
      </c>
      <c r="C467" s="36">
        <v>1.3935999999999999</v>
      </c>
      <c r="D467" s="36">
        <v>1.395</v>
      </c>
      <c r="E467" s="30" cm="1">
        <f t="array" ref="E467">IF(D467="","",D467-C467)</f>
        <v>1.4000000000000679E-3</v>
      </c>
      <c r="F467" s="31" cm="1">
        <f t="array" ref="F467">IF(D467=0,"",(D467-C467)/C467)</f>
        <v>1.0045924225029191E-3</v>
      </c>
      <c r="G467" s="32">
        <v>9639.85</v>
      </c>
      <c r="H467" s="10">
        <v>1</v>
      </c>
      <c r="I467" s="11" cm="1">
        <f t="array" ref="I467">IF(D467="","",(G467*C467)*0.00075)</f>
        <v>10.07557122</v>
      </c>
      <c r="J467" s="11" cm="1">
        <f t="array" ref="J467">IF(D467="","",(G467*D467)*0.00075)</f>
        <v>10.085693062500001</v>
      </c>
      <c r="K467" s="33" cm="1">
        <f t="array" ref="K467">IF(D467="","",J467+I467)</f>
        <v>20.161264282499999</v>
      </c>
      <c r="L467" s="33" cm="1">
        <f t="array" ref="L467">IF(D467=0,0,(D467-C467)*G467)</f>
        <v>13.495790000000655</v>
      </c>
      <c r="M467" s="12">
        <v>13410.5134769375</v>
      </c>
      <c r="N467" s="34" cm="1">
        <f t="array" ref="N467">IFERROR((K467-J467)/J467,"–")</f>
        <v>0.99899641577060916</v>
      </c>
      <c r="O467" s="33" cm="1">
        <f t="array" ref="O467">IF(D467=0,0,L467-K467)</f>
        <v>-6.6654742824993445</v>
      </c>
      <c r="P467" s="11"/>
      <c r="Q467" s="35"/>
    </row>
    <row r="468" spans="1:17" ht="22.5" customHeight="1">
      <c r="A468" s="16" t="s">
        <v>150</v>
      </c>
      <c r="B468" s="43">
        <v>44431</v>
      </c>
      <c r="C468" s="37">
        <v>1.3935999999999999</v>
      </c>
      <c r="D468" s="37">
        <v>1.3945000000000001</v>
      </c>
      <c r="E468" s="19" cm="1">
        <f t="array" ref="E468">IF(D468="","",D468-C468)</f>
        <v>9.0000000000012292E-4</v>
      </c>
      <c r="F468" s="20" cm="1">
        <f t="array" ref="F468">IF(D468=0,"",(D468-C468)/C468)</f>
        <v>6.4580941446621917E-4</v>
      </c>
      <c r="G468" s="21">
        <v>9765.23</v>
      </c>
      <c r="H468" s="22">
        <v>1</v>
      </c>
      <c r="I468" s="23" cm="1">
        <f t="array" ref="I468">IF(D468="","",(G468*C468)*0.00075)</f>
        <v>10.206618396</v>
      </c>
      <c r="J468" s="23" cm="1">
        <f t="array" ref="J468">IF(D468="","",(G468*D468)*0.00075)</f>
        <v>10.21320992625</v>
      </c>
      <c r="K468" s="24" cm="1">
        <f t="array" ref="K468">IF(D468="","",J468+I468)</f>
        <v>20.419828322249998</v>
      </c>
      <c r="L468" s="24" cm="1">
        <f t="array" ref="L468">IF(D468=0,0,(D468-C468)*G468)</f>
        <v>8.7887070000011995</v>
      </c>
      <c r="M468" s="25">
        <v>13589.8226110738</v>
      </c>
      <c r="N468" s="26" cm="1">
        <f t="array" ref="N468">IFERROR((K468-J468)/J468,"–")</f>
        <v>0.99935460738615967</v>
      </c>
      <c r="O468" s="24" cm="1">
        <f t="array" ref="O468">IF(D468=0,0,L468-K468)</f>
        <v>-11.631121322248799</v>
      </c>
      <c r="P468" s="23"/>
      <c r="Q468" s="27"/>
    </row>
    <row r="469" spans="1:17" ht="22.5" customHeight="1">
      <c r="A469" s="16" t="s">
        <v>61</v>
      </c>
      <c r="B469" s="42">
        <v>44431</v>
      </c>
      <c r="C469" s="36">
        <v>481.22</v>
      </c>
      <c r="D469" s="36">
        <v>480.03</v>
      </c>
      <c r="E469" s="30" cm="1">
        <f t="array" ref="E469">IF(D469="","",D469-C469)</f>
        <v>-1.1900000000000546</v>
      </c>
      <c r="F469" s="31" cm="1">
        <f t="array" ref="F469">IF(D469=0,"",(D469-C469)/C469)</f>
        <v>-2.4728814263747442E-3</v>
      </c>
      <c r="G469" s="32">
        <v>57.14743</v>
      </c>
      <c r="H469" s="10">
        <v>1</v>
      </c>
      <c r="I469" s="11" cm="1">
        <f t="array" ref="I469">IF(D469="","",(G469*C469)*0.00075)</f>
        <v>20.625364698449999</v>
      </c>
      <c r="J469" s="11" cm="1">
        <f t="array" ref="J469">IF(D469="","",(G469*D469)*0.00075)</f>
        <v>20.574360617175</v>
      </c>
      <c r="K469" s="33" cm="1">
        <f t="array" ref="K469">IF(D469="","",J469+I469)</f>
        <v>41.199725315625003</v>
      </c>
      <c r="L469" s="33" cm="1">
        <f t="array" ref="L469">IF(D469=0,0,(D469-C469)*G469)</f>
        <v>-68.005441700003118</v>
      </c>
      <c r="M469" s="12">
        <v>27547.917345682799</v>
      </c>
      <c r="N469" s="34" cm="1">
        <f t="array" ref="N469">IFERROR((K469-J469)/J469,"–")</f>
        <v>1.0024790117284339</v>
      </c>
      <c r="O469" s="33" cm="1">
        <f t="array" ref="O469">IF(D469=0,0,L469-K469)</f>
        <v>-109.20516701562812</v>
      </c>
      <c r="P469" s="11"/>
      <c r="Q469" s="35"/>
    </row>
    <row r="470" spans="1:17" ht="22.5" customHeight="1">
      <c r="A470" s="16" t="s">
        <v>22</v>
      </c>
      <c r="B470" s="43">
        <v>44431</v>
      </c>
      <c r="C470" s="37">
        <v>18.771000000000001</v>
      </c>
      <c r="D470" s="37">
        <v>19.190000000000001</v>
      </c>
      <c r="E470" s="19" cm="1">
        <f t="array" ref="E470">IF(D470="","",D470-C470)</f>
        <v>0.41900000000000048</v>
      </c>
      <c r="F470" s="20" cm="1">
        <f t="array" ref="F470">IF(D470=0,"",(D470-C470)/C470)</f>
        <v>2.2321666400298357E-2</v>
      </c>
      <c r="G470" s="21">
        <v>532.75900000000001</v>
      </c>
      <c r="H470" s="22">
        <v>1</v>
      </c>
      <c r="I470" s="23" cm="1">
        <f t="array" ref="I470">IF(D470="","",(G470*C470)*0.00075)</f>
        <v>7.5003143917499999</v>
      </c>
      <c r="J470" s="23" cm="1">
        <f t="array" ref="J470">IF(D470="","",(G470*D470)*0.00075)</f>
        <v>7.6677339075000006</v>
      </c>
      <c r="K470" s="24" cm="1">
        <f t="array" ref="K470">IF(D470="","",J470+I470)</f>
        <v>15.16804829925</v>
      </c>
      <c r="L470" s="24" cm="1">
        <f t="array" ref="L470">IF(D470=0,0,(D470-C470)*G470)</f>
        <v>223.22602100000026</v>
      </c>
      <c r="M470" s="25">
        <v>9769.5254340925003</v>
      </c>
      <c r="N470" s="26" cm="1">
        <f t="array" ref="N470">IFERROR((K470-J470)/J470,"–")</f>
        <v>0.9781657113079727</v>
      </c>
      <c r="O470" s="24" cm="1">
        <f t="array" ref="O470">IF(D470=0,0,L470-K470)</f>
        <v>208.05797270075027</v>
      </c>
      <c r="P470" s="23"/>
      <c r="Q470" s="27"/>
    </row>
    <row r="471" spans="1:17" ht="22.5" customHeight="1">
      <c r="A471" s="16" t="s">
        <v>22</v>
      </c>
      <c r="B471" s="42">
        <v>44431</v>
      </c>
      <c r="C471" s="36">
        <v>18.771000000000001</v>
      </c>
      <c r="D471" s="36">
        <v>19.100000000000001</v>
      </c>
      <c r="E471" s="30" cm="1">
        <f t="array" ref="E471">IF(D471="","",D471-C471)</f>
        <v>0.32900000000000063</v>
      </c>
      <c r="F471" s="31" cm="1">
        <f t="array" ref="F471">IF(D471=0,"",(D471-C471)/C471)</f>
        <v>1.7527036385914477E-2</v>
      </c>
      <c r="G471" s="32">
        <v>266.38</v>
      </c>
      <c r="H471" s="10">
        <v>1</v>
      </c>
      <c r="I471" s="11" cm="1">
        <f t="array" ref="I471">IF(D471="","",(G471*C471)*0.00075)</f>
        <v>3.7501642350000006</v>
      </c>
      <c r="J471" s="11" cm="1">
        <f t="array" ref="J471">IF(D471="","",(G471*D471)*0.00075)</f>
        <v>3.8158935</v>
      </c>
      <c r="K471" s="33" cm="1">
        <f t="array" ref="K471">IF(D471="","",J471+I471)</f>
        <v>7.5660577350000011</v>
      </c>
      <c r="L471" s="33" cm="1">
        <f t="array" ref="L471">IF(D471=0,0,(D471-C471)*G471)</f>
        <v>87.639020000000158</v>
      </c>
      <c r="M471" s="12">
        <v>4908.7640664999999</v>
      </c>
      <c r="N471" s="34" cm="1">
        <f t="array" ref="N471">IFERROR((K471-J471)/J471,"–")</f>
        <v>0.98277486910994794</v>
      </c>
      <c r="O471" s="33" cm="1">
        <f t="array" ref="O471">IF(D471=0,0,L471-K471)</f>
        <v>80.072962265000157</v>
      </c>
      <c r="P471" s="11"/>
      <c r="Q471" s="35"/>
    </row>
    <row r="472" spans="1:17" ht="22.5" customHeight="1">
      <c r="A472" s="16" t="s">
        <v>22</v>
      </c>
      <c r="B472" s="43">
        <v>44431</v>
      </c>
      <c r="C472" s="37">
        <v>18.771000000000001</v>
      </c>
      <c r="D472" s="37">
        <v>19.25</v>
      </c>
      <c r="E472" s="19" cm="1">
        <f t="array" ref="E472">IF(D472="","",D472-C472)</f>
        <v>0.4789999999999992</v>
      </c>
      <c r="F472" s="20" cm="1">
        <f t="array" ref="F472">IF(D472=0,"",(D472-C472)/C472)</f>
        <v>2.551808640988755E-2</v>
      </c>
      <c r="G472" s="21">
        <v>266.38</v>
      </c>
      <c r="H472" s="22">
        <v>1</v>
      </c>
      <c r="I472" s="23" cm="1">
        <f t="array" ref="I472">IF(D472="","",(G472*C472)*0.00075)</f>
        <v>3.7501642350000006</v>
      </c>
      <c r="J472" s="23" cm="1">
        <f t="array" ref="J472">IF(D472="","",(G472*D472)*0.00075)</f>
        <v>3.8458612499999996</v>
      </c>
      <c r="K472" s="24" cm="1">
        <f t="array" ref="K472">IF(D472="","",J472+I472)</f>
        <v>7.5960254850000002</v>
      </c>
      <c r="L472" s="24" cm="1">
        <f t="array" ref="L472">IF(D472=0,0,(D472-C472)*G472)</f>
        <v>127.59601999999978</v>
      </c>
      <c r="M472" s="25">
        <v>4868.7770987499998</v>
      </c>
      <c r="N472" s="26" cm="1">
        <f t="array" ref="N472">IFERROR((K472-J472)/J472,"–")</f>
        <v>0.97511688311688338</v>
      </c>
      <c r="O472" s="24" cm="1">
        <f t="array" ref="O472">IF(D472=0,0,L472-K472)</f>
        <v>119.99999451499978</v>
      </c>
      <c r="P472" s="23"/>
      <c r="Q472" s="27"/>
    </row>
    <row r="473" spans="1:17" ht="22.5" customHeight="1">
      <c r="A473" s="16" t="s">
        <v>151</v>
      </c>
      <c r="B473" s="42">
        <v>44431</v>
      </c>
      <c r="C473" s="36">
        <v>1.552</v>
      </c>
      <c r="D473" s="36">
        <v>1.54</v>
      </c>
      <c r="E473" s="30" cm="1">
        <f t="array" ref="E473">IF(D473="","",D473-C473)</f>
        <v>-1.2000000000000011E-2</v>
      </c>
      <c r="F473" s="31" cm="1">
        <f t="array" ref="F473">IF(D473=0,"",(D473-C473)/C473)</f>
        <v>-7.7319587628866043E-3</v>
      </c>
      <c r="G473" s="32">
        <v>8862</v>
      </c>
      <c r="H473" s="10">
        <v>1</v>
      </c>
      <c r="I473" s="11" cm="1">
        <f t="array" ref="I473">IF(D473="","",(G473*C473)*0.00075)</f>
        <v>10.315368000000001</v>
      </c>
      <c r="J473" s="11" cm="1">
        <f t="array" ref="J473">IF(D473="","",(G473*D473)*0.00075)</f>
        <v>10.235609999999999</v>
      </c>
      <c r="K473" s="33" cm="1">
        <f t="array" ref="K473">IF(D473="","",J473+I473)</f>
        <v>20.550978000000001</v>
      </c>
      <c r="L473" s="33" cm="1">
        <f t="array" ref="L473">IF(D473=0,0,(D473-C473)*G473)</f>
        <v>-106.34400000000009</v>
      </c>
      <c r="M473" s="12">
        <v>13849.93239</v>
      </c>
      <c r="N473" s="34" cm="1">
        <f t="array" ref="N473">IFERROR((K473-J473)/J473,"–")</f>
        <v>1.0077922077922079</v>
      </c>
      <c r="O473" s="33" cm="1">
        <f t="array" ref="O473">IF(D473=0,0,L473-K473)</f>
        <v>-126.89497800000009</v>
      </c>
      <c r="P473" s="11"/>
      <c r="Q473" s="35"/>
    </row>
    <row r="474" spans="1:17" ht="22.5" customHeight="1">
      <c r="A474" s="16" t="s">
        <v>151</v>
      </c>
      <c r="B474" s="43">
        <v>44431</v>
      </c>
      <c r="C474" s="37">
        <v>1.552</v>
      </c>
      <c r="D474" s="37">
        <v>1.5369999999999999</v>
      </c>
      <c r="E474" s="19" cm="1">
        <f t="array" ref="E474">IF(D474="","",D474-C474)</f>
        <v>-1.5000000000000124E-2</v>
      </c>
      <c r="F474" s="20" cm="1">
        <f t="array" ref="F474">IF(D474=0,"",(D474-C474)/C474)</f>
        <v>-9.6649484536083276E-3</v>
      </c>
      <c r="G474" s="21">
        <v>8862</v>
      </c>
      <c r="H474" s="22">
        <v>1</v>
      </c>
      <c r="I474" s="23" cm="1">
        <f t="array" ref="I474">IF(D474="","",(G474*C474)*0.00075)</f>
        <v>10.315368000000001</v>
      </c>
      <c r="J474" s="23" cm="1">
        <f t="array" ref="J474">IF(D474="","",(G474*D474)*0.00075)</f>
        <v>10.2156705</v>
      </c>
      <c r="K474" s="24" cm="1">
        <f t="array" ref="K474">IF(D474="","",J474+I474)</f>
        <v>20.531038500000001</v>
      </c>
      <c r="L474" s="24" cm="1">
        <f t="array" ref="L474">IF(D474=0,0,(D474-C474)*G474)</f>
        <v>-132.93000000000112</v>
      </c>
      <c r="M474" s="25">
        <v>13876.538329499999</v>
      </c>
      <c r="N474" s="26" cm="1">
        <f t="array" ref="N474">IFERROR((K474-J474)/J474,"–")</f>
        <v>1.0097592713077426</v>
      </c>
      <c r="O474" s="24" cm="1">
        <f t="array" ref="O474">IF(D474=0,0,L474-K474)</f>
        <v>-153.46103850000111</v>
      </c>
      <c r="P474" s="23"/>
      <c r="Q474" s="27"/>
    </row>
    <row r="475" spans="1:17" ht="22.5" customHeight="1">
      <c r="A475" s="16" t="s">
        <v>37</v>
      </c>
      <c r="B475" s="42">
        <v>44431</v>
      </c>
      <c r="C475" s="36">
        <v>59.947000000000003</v>
      </c>
      <c r="D475" s="36">
        <v>61.021999999999998</v>
      </c>
      <c r="E475" s="30" cm="1">
        <f t="array" ref="E475">IF(D475="","",D475-C475)</f>
        <v>1.0749999999999957</v>
      </c>
      <c r="F475" s="31" cm="1">
        <f t="array" ref="F475">IF(D475=0,"",(D475-C475)/C475)</f>
        <v>1.7932507047892232E-2</v>
      </c>
      <c r="G475" s="32">
        <v>115.102</v>
      </c>
      <c r="H475" s="10">
        <v>1</v>
      </c>
      <c r="I475" s="11" cm="1">
        <f t="array" ref="I475">IF(D475="","",(G475*C475)*0.00075)</f>
        <v>5.1750146955000007</v>
      </c>
      <c r="J475" s="11" cm="1">
        <f t="array" ref="J475">IF(D475="","",(G475*D475)*0.00075)</f>
        <v>5.2678156830000002</v>
      </c>
      <c r="K475" s="33" cm="1">
        <f t="array" ref="K475">IF(D475="","",J475+I475)</f>
        <v>10.442830378500002</v>
      </c>
      <c r="L475" s="33" cm="1">
        <f t="array" ref="L475">IF(D475=0,0,(D475-C475)*G475)</f>
        <v>123.73464999999952</v>
      </c>
      <c r="M475" s="12">
        <v>6771.0171283170002</v>
      </c>
      <c r="N475" s="34" cm="1">
        <f t="array" ref="N475">IFERROR((K475-J475)/J475,"–")</f>
        <v>0.98238340270722058</v>
      </c>
      <c r="O475" s="33" cm="1">
        <f t="array" ref="O475">IF(D475=0,0,L475-K475)</f>
        <v>113.29181962149951</v>
      </c>
      <c r="P475" s="11"/>
      <c r="Q475" s="35"/>
    </row>
    <row r="476" spans="1:17" ht="22.5" customHeight="1">
      <c r="A476" s="16" t="s">
        <v>152</v>
      </c>
      <c r="B476" s="43">
        <v>44431</v>
      </c>
      <c r="C476" s="37">
        <v>5.2440000000000001E-2</v>
      </c>
      <c r="D476" s="37">
        <v>5.2600000000000001E-2</v>
      </c>
      <c r="E476" s="19" cm="1">
        <f t="array" ref="E476">IF(D476="","",D476-C476)</f>
        <v>1.6000000000000042E-4</v>
      </c>
      <c r="F476" s="20" cm="1">
        <f t="array" ref="F476">IF(D476=0,"",(D476-C476)/C476)</f>
        <v>3.0511060259344092E-3</v>
      </c>
      <c r="G476" s="21">
        <v>257457.3</v>
      </c>
      <c r="H476" s="22">
        <v>1</v>
      </c>
      <c r="I476" s="23" cm="1">
        <f t="array" ref="I476">IF(D476="","",(G476*C476)*0.00075)</f>
        <v>10.125795609000001</v>
      </c>
      <c r="J476" s="23" cm="1">
        <f t="array" ref="J476">IF(D476="","",(G476*D476)*0.00075)</f>
        <v>10.156690485</v>
      </c>
      <c r="K476" s="24" cm="1">
        <f t="array" ref="K476">IF(D476="","",J476+I476)</f>
        <v>20.282486093999999</v>
      </c>
      <c r="L476" s="24" cm="1">
        <f t="array" ref="L476">IF(D476=0,0,(D476-C476)*G476)</f>
        <v>41.193168000000107</v>
      </c>
      <c r="M476" s="25">
        <v>13449.710953514999</v>
      </c>
      <c r="N476" s="26" cm="1">
        <f t="array" ref="N476">IFERROR((K476-J476)/J476,"–")</f>
        <v>0.99695817490494287</v>
      </c>
      <c r="O476" s="24" cm="1">
        <f t="array" ref="O476">IF(D476=0,0,L476-K476)</f>
        <v>20.910681906000107</v>
      </c>
      <c r="P476" s="23"/>
      <c r="Q476" s="27"/>
    </row>
    <row r="477" spans="1:17" ht="22.5" customHeight="1">
      <c r="A477" s="16" t="s">
        <v>152</v>
      </c>
      <c r="B477" s="42">
        <v>44431</v>
      </c>
      <c r="C477" s="36">
        <v>5.2440000000000001E-2</v>
      </c>
      <c r="D477" s="36">
        <v>5.28E-2</v>
      </c>
      <c r="E477" s="30" cm="1">
        <f t="array" ref="E477">IF(D477="","",D477-C477)</f>
        <v>3.5999999999999921E-4</v>
      </c>
      <c r="F477" s="31" cm="1">
        <f t="array" ref="F477">IF(D477=0,"",(D477-C477)/C477)</f>
        <v>6.8649885583523876E-3</v>
      </c>
      <c r="G477" s="32">
        <v>257457.3</v>
      </c>
      <c r="H477" s="10">
        <v>1</v>
      </c>
      <c r="I477" s="11" cm="1">
        <f t="array" ref="I477">IF(D477="","",(G477*C477)*0.00075)</f>
        <v>10.125795609000001</v>
      </c>
      <c r="J477" s="11" cm="1">
        <f t="array" ref="J477">IF(D477="","",(G477*D477)*0.00075)</f>
        <v>10.195309079999999</v>
      </c>
      <c r="K477" s="33" cm="1">
        <f t="array" ref="K477">IF(D477="","",J477+I477)</f>
        <v>20.321104689000002</v>
      </c>
      <c r="L477" s="33" cm="1">
        <f t="array" ref="L477">IF(D477=0,0,(D477-C477)*G477)</f>
        <v>92.68462799999979</v>
      </c>
      <c r="M477" s="12">
        <v>13398.180874920001</v>
      </c>
      <c r="N477" s="34" cm="1">
        <f t="array" ref="N477">IFERROR((K477-J477)/J477,"–")</f>
        <v>0.9931818181818185</v>
      </c>
      <c r="O477" s="33" cm="1">
        <f t="array" ref="O477">IF(D477=0,0,L477-K477)</f>
        <v>72.363523310999796</v>
      </c>
      <c r="P477" s="11"/>
      <c r="Q477" s="35"/>
    </row>
    <row r="478" spans="1:17" ht="22.5" customHeight="1">
      <c r="A478" s="16" t="s">
        <v>153</v>
      </c>
      <c r="B478" s="43">
        <v>44431</v>
      </c>
      <c r="C478" s="37">
        <v>0.35210000000000002</v>
      </c>
      <c r="D478" s="37">
        <v>0.3538</v>
      </c>
      <c r="E478" s="19" cm="1">
        <f t="array" ref="E478">IF(D478="","",D478-C478)</f>
        <v>1.6999999999999793E-3</v>
      </c>
      <c r="F478" s="20" cm="1">
        <f t="array" ref="F478">IF(D478=0,"",(D478-C478)/C478)</f>
        <v>4.8281738142572543E-3</v>
      </c>
      <c r="G478" s="21">
        <v>28402</v>
      </c>
      <c r="H478" s="22">
        <v>1</v>
      </c>
      <c r="I478" s="23" cm="1">
        <f t="array" ref="I478">IF(D478="","",(G478*C478)*0.00075)</f>
        <v>7.5002581500000014</v>
      </c>
      <c r="J478" s="23" cm="1">
        <f t="array" ref="J478">IF(D478="","",(G478*D478)*0.00075)</f>
        <v>7.5364706999999997</v>
      </c>
      <c r="K478" s="24" cm="1">
        <f t="array" ref="K478">IF(D478="","",J478+I478)</f>
        <v>15.036728850000001</v>
      </c>
      <c r="L478" s="24" cm="1">
        <f t="array" ref="L478">IF(D478=0,0,(D478-C478)*G478)</f>
        <v>48.283399999999411</v>
      </c>
      <c r="M478" s="25">
        <v>9944.5243293000003</v>
      </c>
      <c r="N478" s="26" cm="1">
        <f t="array" ref="N478">IFERROR((K478-J478)/J478,"–")</f>
        <v>0.99519502543810079</v>
      </c>
      <c r="O478" s="24" cm="1">
        <f t="array" ref="O478">IF(D478=0,0,L478-K478)</f>
        <v>33.246671149999408</v>
      </c>
      <c r="P478" s="23"/>
      <c r="Q478" s="27"/>
    </row>
    <row r="479" spans="1:17" ht="22.5" customHeight="1">
      <c r="A479" s="16" t="s">
        <v>153</v>
      </c>
      <c r="B479" s="42">
        <v>44431</v>
      </c>
      <c r="C479" s="36">
        <v>0.35210000000000002</v>
      </c>
      <c r="D479" s="36">
        <v>0.35599999999999998</v>
      </c>
      <c r="E479" s="30" cm="1">
        <f t="array" ref="E479">IF(D479="","",D479-C479)</f>
        <v>3.8999999999999591E-3</v>
      </c>
      <c r="F479" s="31" cm="1">
        <f t="array" ref="F479">IF(D479=0,"",(D479-C479)/C479)</f>
        <v>1.1076398750354896E-2</v>
      </c>
      <c r="G479" s="32">
        <v>28403</v>
      </c>
      <c r="H479" s="10">
        <v>1</v>
      </c>
      <c r="I479" s="11" cm="1">
        <f t="array" ref="I479">IF(D479="","",(G479*C479)*0.00075)</f>
        <v>7.500522225000001</v>
      </c>
      <c r="J479" s="11" cm="1">
        <f t="array" ref="J479">IF(D479="","",(G479*D479)*0.00075)</f>
        <v>7.5836009999999989</v>
      </c>
      <c r="K479" s="33" cm="1">
        <f t="array" ref="K479">IF(D479="","",J479+I479)</f>
        <v>15.084123224999999</v>
      </c>
      <c r="L479" s="33" cm="1">
        <f t="array" ref="L479">IF(D479=0,0,(D479-C479)*G479)</f>
        <v>110.77169999999883</v>
      </c>
      <c r="M479" s="12">
        <v>9882.340999</v>
      </c>
      <c r="N479" s="34" cm="1">
        <f t="array" ref="N479">IFERROR((K479-J479)/J479,"–")</f>
        <v>0.9890449438202249</v>
      </c>
      <c r="O479" s="33" cm="1">
        <f t="array" ref="O479">IF(D479=0,0,L479-K479)</f>
        <v>95.687576774998831</v>
      </c>
      <c r="P479" s="11"/>
      <c r="Q479" s="35"/>
    </row>
    <row r="480" spans="1:17" ht="22.5" customHeight="1">
      <c r="A480" s="16" t="s">
        <v>57</v>
      </c>
      <c r="B480" s="43">
        <v>44431</v>
      </c>
      <c r="C480" s="37">
        <v>2.5608</v>
      </c>
      <c r="D480" s="37">
        <v>2.58</v>
      </c>
      <c r="E480" s="19" cm="1">
        <f t="array" ref="E480">IF(D480="","",D480-C480)</f>
        <v>1.9200000000000106E-2</v>
      </c>
      <c r="F480" s="20" cm="1">
        <f t="array" ref="F480">IF(D480=0,"",(D480-C480)/C480)</f>
        <v>7.4976569821931065E-3</v>
      </c>
      <c r="G480" s="21">
        <v>5418.38</v>
      </c>
      <c r="H480" s="22">
        <v>1</v>
      </c>
      <c r="I480" s="23" cm="1">
        <f t="array" ref="I480">IF(D480="","",(G480*C480)*0.00075)</f>
        <v>10.406540628</v>
      </c>
      <c r="J480" s="23" cm="1">
        <f t="array" ref="J480">IF(D480="","",(G480*D480)*0.00075)</f>
        <v>10.484565300000002</v>
      </c>
      <c r="K480" s="24" cm="1">
        <f t="array" ref="K480">IF(D480="","",J480+I480)</f>
        <v>20.891105928000002</v>
      </c>
      <c r="L480" s="24" cm="1">
        <f t="array" ref="L480">IF(D480=0,0,(D480-C480)*G480)</f>
        <v>104.03289600000058</v>
      </c>
      <c r="M480" s="25">
        <v>13760.8700427</v>
      </c>
      <c r="N480" s="26" cm="1">
        <f t="array" ref="N480">IFERROR((K480-J480)/J480,"–")</f>
        <v>0.99255813953488359</v>
      </c>
      <c r="O480" s="24" cm="1">
        <f t="array" ref="O480">IF(D480=0,0,L480-K480)</f>
        <v>83.141790072000575</v>
      </c>
      <c r="P480" s="23"/>
      <c r="Q480" s="27"/>
    </row>
    <row r="481" spans="1:17" ht="22.5" customHeight="1">
      <c r="A481" s="16" t="s">
        <v>57</v>
      </c>
      <c r="B481" s="42">
        <v>44431</v>
      </c>
      <c r="C481" s="36">
        <v>2.5648</v>
      </c>
      <c r="D481" s="36">
        <v>2.585</v>
      </c>
      <c r="E481" s="30" cm="1">
        <f t="array" ref="E481">IF(D481="","",D481-C481)</f>
        <v>2.0199999999999996E-2</v>
      </c>
      <c r="F481" s="31" cm="1">
        <f t="array" ref="F481">IF(D481=0,"",(D481-C481)/C481)</f>
        <v>7.87585776668746E-3</v>
      </c>
      <c r="G481" s="32">
        <v>886.16</v>
      </c>
      <c r="H481" s="10">
        <v>1</v>
      </c>
      <c r="I481" s="11" cm="1">
        <f t="array" ref="I481">IF(D481="","",(G481*C481)*0.00075)</f>
        <v>1.7046173759999999</v>
      </c>
      <c r="J481" s="11" cm="1">
        <f t="array" ref="J481">IF(D481="","",(G481*D481)*0.00075)</f>
        <v>1.7180426999999998</v>
      </c>
      <c r="K481" s="33" cm="1">
        <f t="array" ref="K481">IF(D481="","",J481+I481)</f>
        <v>3.4226600759999997</v>
      </c>
      <c r="L481" s="33" cm="1">
        <f t="array" ref="L481">IF(D481=0,0,(D481-C481)*G481)</f>
        <v>17.900431999999995</v>
      </c>
      <c r="M481" s="12">
        <v>2253.2046933000001</v>
      </c>
      <c r="N481" s="34" cm="1">
        <f t="array" ref="N481">IFERROR((K481-J481)/J481,"–")</f>
        <v>0.99218568665377183</v>
      </c>
      <c r="O481" s="33" cm="1">
        <f t="array" ref="O481">IF(D481=0,0,L481-K481)</f>
        <v>14.477771923999995</v>
      </c>
      <c r="P481" s="11"/>
      <c r="Q481" s="35"/>
    </row>
    <row r="482" spans="1:17" ht="22.5" customHeight="1">
      <c r="A482" s="16" t="s">
        <v>57</v>
      </c>
      <c r="B482" s="43">
        <v>44431</v>
      </c>
      <c r="C482" s="37">
        <v>2.5648</v>
      </c>
      <c r="D482" s="37">
        <v>2.5819999999999999</v>
      </c>
      <c r="E482" s="19" cm="1">
        <f t="array" ref="E482">IF(D482="","",D482-C482)</f>
        <v>1.7199999999999882E-2</v>
      </c>
      <c r="F482" s="20" cm="1">
        <f t="array" ref="F482">IF(D482=0,"",(D482-C482)/C482)</f>
        <v>6.7061759201496735E-3</v>
      </c>
      <c r="G482" s="21">
        <v>413.65</v>
      </c>
      <c r="H482" s="22">
        <v>1</v>
      </c>
      <c r="I482" s="23" cm="1">
        <f t="array" ref="I482">IF(D482="","",(G482*C482)*0.00075)</f>
        <v>0.79569713999999991</v>
      </c>
      <c r="J482" s="23" cm="1">
        <f t="array" ref="J482">IF(D482="","",(G482*D482)*0.00075)</f>
        <v>0.80103322499999985</v>
      </c>
      <c r="K482" s="24" cm="1">
        <f t="array" ref="K482">IF(D482="","",J482+I482)</f>
        <v>1.5967303649999998</v>
      </c>
      <c r="L482" s="24" cm="1">
        <f t="array" ref="L482">IF(D482=0,0,(D482-C482)*G482)</f>
        <v>7.1147799999999508</v>
      </c>
      <c r="M482" s="25">
        <v>1053.0137067749999</v>
      </c>
      <c r="N482" s="26" cm="1">
        <f t="array" ref="N482">IFERROR((K482-J482)/J482,"–")</f>
        <v>0.99333849728892343</v>
      </c>
      <c r="O482" s="24" cm="1">
        <f t="array" ref="O482">IF(D482=0,0,L482-K482)</f>
        <v>5.5180496349999508</v>
      </c>
      <c r="P482" s="23"/>
      <c r="Q482" s="27"/>
    </row>
    <row r="483" spans="1:17" ht="22.5" customHeight="1">
      <c r="A483" s="16" t="s">
        <v>57</v>
      </c>
      <c r="B483" s="42">
        <v>44431</v>
      </c>
      <c r="C483" s="36">
        <v>2.5648</v>
      </c>
      <c r="D483" s="36">
        <v>2.5750999999999999</v>
      </c>
      <c r="E483" s="30" cm="1">
        <f t="array" ref="E483">IF(D483="","",D483-C483)</f>
        <v>1.0299999999999976E-2</v>
      </c>
      <c r="F483" s="31" cm="1">
        <f t="array" ref="F483">IF(D483=0,"",(D483-C483)/C483)</f>
        <v>4.0159076731129039E-3</v>
      </c>
      <c r="G483" s="32">
        <v>4109.55</v>
      </c>
      <c r="H483" s="10">
        <v>1</v>
      </c>
      <c r="I483" s="11" cm="1">
        <f t="array" ref="I483">IF(D483="","",(G483*C483)*0.00075)</f>
        <v>7.9051303800000001</v>
      </c>
      <c r="J483" s="11" cm="1">
        <f t="array" ref="J483">IF(D483="","",(G483*D483)*0.00075)</f>
        <v>7.9368766537500006</v>
      </c>
      <c r="K483" s="33" cm="1">
        <f t="array" ref="K483">IF(D483="","",J483+I483)</f>
        <v>15.842007033750001</v>
      </c>
      <c r="L483" s="33" cm="1">
        <f t="array" ref="L483">IF(D483=0,0,(D483-C483)*G483)</f>
        <v>42.328364999999906</v>
      </c>
      <c r="M483" s="12">
        <v>10489.908598346299</v>
      </c>
      <c r="N483" s="34" cm="1">
        <f t="array" ref="N483">IFERROR((K483-J483)/J483,"–")</f>
        <v>0.9960001553337734</v>
      </c>
      <c r="O483" s="33" cm="1">
        <f t="array" ref="O483">IF(D483=0,0,L483-K483)</f>
        <v>26.486357966249905</v>
      </c>
      <c r="P483" s="11"/>
      <c r="Q483" s="35"/>
    </row>
    <row r="484" spans="1:17" ht="22.5" customHeight="1">
      <c r="A484" s="16" t="s">
        <v>154</v>
      </c>
      <c r="B484" s="43">
        <v>44433</v>
      </c>
      <c r="C484" s="37">
        <v>6.9119999999999999</v>
      </c>
      <c r="D484" s="37">
        <v>6.8505000000000003</v>
      </c>
      <c r="E484" s="19" cm="1">
        <f t="array" ref="E484">IF(D484="","",D484-C484)</f>
        <v>-6.1499999999999666E-2</v>
      </c>
      <c r="F484" s="20" cm="1">
        <f t="array" ref="F484">IF(D484=0,"",(D484-C484)/C484)</f>
        <v>-8.8975694444443955E-3</v>
      </c>
      <c r="G484" s="21">
        <v>3978.62</v>
      </c>
      <c r="H484" s="22">
        <v>1</v>
      </c>
      <c r="I484" s="23" cm="1">
        <f t="array" ref="I484">IF(D484="","",(G484*C484)*0.00075)</f>
        <v>20.62516608</v>
      </c>
      <c r="J484" s="23" cm="1">
        <f t="array" ref="J484">IF(D484="","",(G484*D484)*0.00075)</f>
        <v>20.441652232500001</v>
      </c>
      <c r="K484" s="24" cm="1">
        <f t="array" ref="K484">IF(D484="","",J484+I484)</f>
        <v>41.066818312500004</v>
      </c>
      <c r="L484" s="24" cm="1">
        <f t="array" ref="L484">IF(D484=0,0,(D484-C484)*G484)</f>
        <v>-244.68512999999865</v>
      </c>
      <c r="M484" s="25">
        <v>27724.464917767498</v>
      </c>
      <c r="N484" s="26" cm="1">
        <f t="array" ref="N484">IFERROR((K484-J484)/J484,"–")</f>
        <v>1.0089774469016861</v>
      </c>
      <c r="O484" s="24" cm="1">
        <f t="array" ref="O484">IF(D484=0,0,L484-K484)</f>
        <v>-285.75194831249866</v>
      </c>
      <c r="P484" s="23"/>
      <c r="Q484" s="27"/>
    </row>
    <row r="485" spans="1:17" ht="22.5" customHeight="1">
      <c r="A485" s="16" t="s">
        <v>155</v>
      </c>
      <c r="B485" s="42">
        <v>44433</v>
      </c>
      <c r="C485" s="36">
        <v>0.25662000000000001</v>
      </c>
      <c r="D485" s="36">
        <v>0.25750000000000001</v>
      </c>
      <c r="E485" s="30" cm="1">
        <f t="array" ref="E485">IF(D485="","",D485-C485)</f>
        <v>8.799999999999919E-4</v>
      </c>
      <c r="F485" s="31" cm="1">
        <f t="array" ref="F485">IF(D485=0,"",(D485-C485)/C485)</f>
        <v>3.4291949185565889E-3</v>
      </c>
      <c r="G485" s="32">
        <v>80.7</v>
      </c>
      <c r="H485" s="10">
        <v>1</v>
      </c>
      <c r="I485" s="11" cm="1">
        <f t="array" ref="I485">IF(D485="","",(G485*C485)*0.00075)</f>
        <v>1.5531925500000002E-2</v>
      </c>
      <c r="J485" s="11" cm="1">
        <f t="array" ref="J485">IF(D485="","",(G485*D485)*0.00075)</f>
        <v>1.5585187500000002E-2</v>
      </c>
      <c r="K485" s="33" cm="1">
        <f t="array" ref="K485">IF(D485="","",J485+I485)</f>
        <v>3.1117113000000002E-2</v>
      </c>
      <c r="L485" s="33" cm="1">
        <f t="array" ref="L485">IF(D485=0,0,(D485-C485)*G485)</f>
        <v>7.1015999999999344E-2</v>
      </c>
      <c r="M485" s="12">
        <v>20.622632812500001</v>
      </c>
      <c r="N485" s="34" cm="1">
        <f t="array" ref="N485">IFERROR((K485-J485)/J485,"–")</f>
        <v>0.99658252427184457</v>
      </c>
      <c r="O485" s="33" cm="1">
        <f t="array" ref="O485">IF(D485=0,0,L485-K485)</f>
        <v>3.9898886999999342E-2</v>
      </c>
      <c r="P485" s="11"/>
      <c r="Q485" s="35"/>
    </row>
    <row r="486" spans="1:17" ht="22.5" customHeight="1">
      <c r="A486" s="16" t="s">
        <v>155</v>
      </c>
      <c r="B486" s="43">
        <v>44433</v>
      </c>
      <c r="C486" s="37">
        <v>0.25662000000000001</v>
      </c>
      <c r="D486" s="37">
        <v>0.25700000000000001</v>
      </c>
      <c r="E486" s="19" cm="1">
        <f t="array" ref="E486">IF(D486="","",D486-C486)</f>
        <v>3.7999999999999146E-4</v>
      </c>
      <c r="F486" s="20" cm="1">
        <f t="array" ref="F486">IF(D486=0,"",(D486-C486)/C486)</f>
        <v>1.4807887148312346E-3</v>
      </c>
      <c r="G486" s="21">
        <v>107085.7</v>
      </c>
      <c r="H486" s="22">
        <v>1</v>
      </c>
      <c r="I486" s="23" cm="1">
        <f t="array" ref="I486">IF(D486="","",(G486*C486)*0.00075)</f>
        <v>20.610249250500001</v>
      </c>
      <c r="J486" s="23" cm="1">
        <f t="array" ref="J486">IF(D486="","",(G486*D486)*0.00075)</f>
        <v>20.640768675</v>
      </c>
      <c r="K486" s="24" cm="1">
        <f t="array" ref="K486">IF(D486="","",J486+I486)</f>
        <v>41.251017925500001</v>
      </c>
      <c r="L486" s="24" cm="1">
        <f t="array" ref="L486">IF(D486=0,0,(D486-C486)*G486)</f>
        <v>40.692565999999083</v>
      </c>
      <c r="M486" s="25">
        <v>27418.998999324998</v>
      </c>
      <c r="N486" s="26" cm="1">
        <f t="array" ref="N486">IFERROR((K486-J486)/J486,"–")</f>
        <v>0.99852140077821017</v>
      </c>
      <c r="O486" s="24" cm="1">
        <f t="array" ref="O486">IF(D486=0,0,L486-K486)</f>
        <v>-0.55845192550091838</v>
      </c>
      <c r="P486" s="23"/>
      <c r="Q486" s="27"/>
    </row>
    <row r="487" spans="1:17" ht="22.5" customHeight="1">
      <c r="A487" s="16" t="s">
        <v>74</v>
      </c>
      <c r="B487" s="42">
        <v>44433</v>
      </c>
      <c r="C487" s="36">
        <v>1.1805000000000001</v>
      </c>
      <c r="D487" s="36">
        <v>1.1700999999999999</v>
      </c>
      <c r="E487" s="30" cm="1">
        <f t="array" ref="E487">IF(D487="","",D487-C487)</f>
        <v>-1.0400000000000187E-2</v>
      </c>
      <c r="F487" s="31" cm="1">
        <f t="array" ref="F487">IF(D487=0,"",(D487-C487)/C487)</f>
        <v>-8.809826344769324E-3</v>
      </c>
      <c r="G487" s="32">
        <v>4131.8500000000004</v>
      </c>
      <c r="H487" s="10">
        <v>1</v>
      </c>
      <c r="I487" s="11" cm="1">
        <f t="array" ref="I487">IF(D487="","",(G487*C487)*0.00075)</f>
        <v>3.6582366937500006</v>
      </c>
      <c r="J487" s="11" cm="1">
        <f t="array" ref="J487">IF(D487="","",(G487*D487)*0.00075)</f>
        <v>3.6260082637499997</v>
      </c>
      <c r="K487" s="33" cm="1">
        <f t="array" ref="K487">IF(D487="","",J487+I487)</f>
        <v>7.2842449575000003</v>
      </c>
      <c r="L487" s="33" cm="1">
        <f t="array" ref="L487">IF(D487=0,0,(D487-C487)*G487)</f>
        <v>-42.971240000000776</v>
      </c>
      <c r="M487" s="12">
        <v>4916.9941567362503</v>
      </c>
      <c r="N487" s="34" cm="1">
        <f t="array" ref="N487">IFERROR((K487-J487)/J487,"–")</f>
        <v>1.0088881292197251</v>
      </c>
      <c r="O487" s="33" cm="1">
        <f t="array" ref="O487">IF(D487=0,0,L487-K487)</f>
        <v>-50.255484957500776</v>
      </c>
      <c r="P487" s="11"/>
      <c r="Q487" s="35"/>
    </row>
    <row r="488" spans="1:17" ht="22.5" customHeight="1">
      <c r="A488" s="16" t="s">
        <v>74</v>
      </c>
      <c r="B488" s="43">
        <v>44433</v>
      </c>
      <c r="C488" s="37">
        <v>1.1805000000000001</v>
      </c>
      <c r="D488" s="37">
        <v>1.1826000000000001</v>
      </c>
      <c r="E488" s="19" cm="1">
        <f t="array" ref="E488">IF(D488="","",D488-C488)</f>
        <v>2.0999999999999908E-3</v>
      </c>
      <c r="F488" s="20" cm="1">
        <f t="array" ref="F488">IF(D488=0,"",(D488-C488)/C488)</f>
        <v>1.7789072426937658E-3</v>
      </c>
      <c r="G488" s="21">
        <v>1457.33</v>
      </c>
      <c r="H488" s="22">
        <v>1</v>
      </c>
      <c r="I488" s="23" cm="1">
        <f t="array" ref="I488">IF(D488="","",(G488*C488)*0.00075)</f>
        <v>1.2902835487500002</v>
      </c>
      <c r="J488" s="23" cm="1">
        <f t="array" ref="J488">IF(D488="","",(G488*D488)*0.00075)</f>
        <v>1.2925788435000001</v>
      </c>
      <c r="K488" s="24" cm="1">
        <f t="array" ref="K488">IF(D488="","",J488+I488)</f>
        <v>2.58286239225</v>
      </c>
      <c r="L488" s="24" cm="1">
        <f t="array" ref="L488">IF(D488=0,0,(D488-C488)*G488)</f>
        <v>3.0603929999999866</v>
      </c>
      <c r="M488" s="25">
        <v>1716.0250931564999</v>
      </c>
      <c r="N488" s="26" cm="1">
        <f t="array" ref="N488">IFERROR((K488-J488)/J488,"–")</f>
        <v>0.99822425164890904</v>
      </c>
      <c r="O488" s="24" cm="1">
        <f t="array" ref="O488">IF(D488=0,0,L488-K488)</f>
        <v>0.47753060774998657</v>
      </c>
      <c r="P488" s="23"/>
      <c r="Q488" s="27"/>
    </row>
    <row r="489" spans="1:17" ht="22.5" customHeight="1">
      <c r="A489" s="16" t="s">
        <v>74</v>
      </c>
      <c r="B489" s="42">
        <v>44433</v>
      </c>
      <c r="C489" s="36">
        <v>1.1841999999999999</v>
      </c>
      <c r="D489" s="36">
        <v>1.1601999999999999</v>
      </c>
      <c r="E489" s="30" cm="1">
        <f t="array" ref="E489">IF(D489="","",D489-C489)</f>
        <v>-2.4000000000000021E-2</v>
      </c>
      <c r="F489" s="31" cm="1">
        <f t="array" ref="F489">IF(D489=0,"",(D489-C489)/C489)</f>
        <v>-2.0266846816416165E-2</v>
      </c>
      <c r="G489" s="32">
        <v>10214.82</v>
      </c>
      <c r="H489" s="10">
        <v>1</v>
      </c>
      <c r="I489" s="11" cm="1">
        <f t="array" ref="I489">IF(D489="","",(G489*C489)*0.00075)</f>
        <v>9.0722923829999988</v>
      </c>
      <c r="J489" s="11" cm="1">
        <f t="array" ref="J489">IF(D489="","",(G489*D489)*0.00075)</f>
        <v>8.8884256229999998</v>
      </c>
      <c r="K489" s="33" cm="1">
        <f t="array" ref="K489">IF(D489="","",J489+I489)</f>
        <v>17.960718006</v>
      </c>
      <c r="L489" s="33" cm="1">
        <f t="array" ref="L489">IF(D489=0,0,(D489-C489)*G489)</f>
        <v>-245.15568000000022</v>
      </c>
      <c r="M489" s="12">
        <v>12332.657098377</v>
      </c>
      <c r="N489" s="34" cm="1">
        <f t="array" ref="N489">IFERROR((K489-J489)/J489,"–")</f>
        <v>1.020686088605413</v>
      </c>
      <c r="O489" s="33" cm="1">
        <f t="array" ref="O489">IF(D489=0,0,L489-K489)</f>
        <v>-263.11639800600022</v>
      </c>
      <c r="P489" s="11"/>
      <c r="Q489" s="35"/>
    </row>
    <row r="490" spans="1:17" ht="22.5" customHeight="1">
      <c r="A490" s="16" t="s">
        <v>74</v>
      </c>
      <c r="B490" s="43">
        <v>44433</v>
      </c>
      <c r="C490" s="37">
        <v>1.1841999999999999</v>
      </c>
      <c r="D490" s="37">
        <v>1.1600999999999999</v>
      </c>
      <c r="E490" s="19" cm="1">
        <f t="array" ref="E490">IF(D490="","",D490-C490)</f>
        <v>-2.410000000000001E-2</v>
      </c>
      <c r="F490" s="20" cm="1">
        <f t="array" ref="F490">IF(D490=0,"",(D490-C490)/C490)</f>
        <v>-2.0351292011484556E-2</v>
      </c>
      <c r="G490" s="21">
        <v>1438.71</v>
      </c>
      <c r="H490" s="22">
        <v>1</v>
      </c>
      <c r="I490" s="23" cm="1">
        <f t="array" ref="I490">IF(D490="","",(G490*C490)*0.00075)</f>
        <v>1.2777902864999999</v>
      </c>
      <c r="J490" s="23" cm="1">
        <f t="array" ref="J490">IF(D490="","",(G490*D490)*0.00075)</f>
        <v>1.2517856032499999</v>
      </c>
      <c r="K490" s="24" cm="1">
        <f t="array" ref="K490">IF(D490="","",J490+I490)</f>
        <v>2.5295758897499998</v>
      </c>
      <c r="L490" s="24" cm="1">
        <f t="array" ref="L490">IF(D490=0,0,(D490-C490)*G490)</f>
        <v>-34.672911000000013</v>
      </c>
      <c r="M490" s="25">
        <v>1737.1415073967501</v>
      </c>
      <c r="N490" s="26" cm="1">
        <f t="array" ref="N490">IFERROR((K490-J490)/J490,"–")</f>
        <v>1.0207740712007587</v>
      </c>
      <c r="O490" s="24" cm="1">
        <f t="array" ref="O490">IF(D490=0,0,L490-K490)</f>
        <v>-37.202486889750013</v>
      </c>
      <c r="P490" s="23"/>
      <c r="Q490" s="27"/>
    </row>
    <row r="491" spans="1:17" ht="22.5" customHeight="1">
      <c r="A491" s="16" t="s">
        <v>74</v>
      </c>
      <c r="B491" s="42">
        <v>44433</v>
      </c>
      <c r="C491" s="36">
        <v>1.1805000000000001</v>
      </c>
      <c r="D491" s="36">
        <v>1.1600999999999999</v>
      </c>
      <c r="E491" s="30" cm="1">
        <f t="array" ref="E491">IF(D491="","",D491-C491)</f>
        <v>-2.0400000000000196E-2</v>
      </c>
      <c r="F491" s="31" cm="1">
        <f t="array" ref="F491">IF(D491=0,"",(D491-C491)/C491)</f>
        <v>-1.728081321473968E-2</v>
      </c>
      <c r="G491" s="32">
        <v>6101.59</v>
      </c>
      <c r="H491" s="10">
        <v>1</v>
      </c>
      <c r="I491" s="11" cm="1">
        <f t="array" ref="I491">IF(D491="","",(G491*C491)*0.00075)</f>
        <v>5.4021952462500007</v>
      </c>
      <c r="J491" s="11" cm="1">
        <f t="array" ref="J491">IF(D491="","",(G491*D491)*0.00075)</f>
        <v>5.3088409192499997</v>
      </c>
      <c r="K491" s="33" cm="1">
        <f t="array" ref="K491">IF(D491="","",J491+I491)</f>
        <v>10.711036165500001</v>
      </c>
      <c r="L491" s="33" cm="1">
        <f t="array" ref="L491">IF(D491=0,0,(D491-C491)*G491)</f>
        <v>-124.4724360000012</v>
      </c>
      <c r="M491" s="12">
        <v>7322.0905900807502</v>
      </c>
      <c r="N491" s="34" cm="1">
        <f t="array" ref="N491">IFERROR((K491-J491)/J491,"–")</f>
        <v>1.0175846909749162</v>
      </c>
      <c r="O491" s="33" cm="1">
        <f t="array" ref="O491">IF(D491=0,0,L491-K491)</f>
        <v>-135.1834721655012</v>
      </c>
      <c r="P491" s="11"/>
      <c r="Q491" s="35"/>
    </row>
    <row r="492" spans="1:17" ht="22.5" customHeight="1">
      <c r="A492" s="16" t="s">
        <v>37</v>
      </c>
      <c r="B492" s="43">
        <v>44433</v>
      </c>
      <c r="C492" s="37">
        <v>54.88</v>
      </c>
      <c r="D492" s="37">
        <v>54.87</v>
      </c>
      <c r="E492" s="19" cm="1">
        <f t="array" ref="E492">IF(D492="","",D492-C492)</f>
        <v>-1.0000000000005116E-2</v>
      </c>
      <c r="F492" s="20" cm="1">
        <f t="array" ref="F492">IF(D492=0,"",(D492-C492)/C492)</f>
        <v>-1.8221574344032645E-4</v>
      </c>
      <c r="G492" s="21">
        <v>245.99199999999999</v>
      </c>
      <c r="H492" s="22">
        <v>1</v>
      </c>
      <c r="I492" s="23" cm="1">
        <f t="array" ref="I492">IF(D492="","",(G492*C492)*0.00075)</f>
        <v>10.12503072</v>
      </c>
      <c r="J492" s="23" cm="1">
        <f t="array" ref="J492">IF(D492="","",(G492*D492)*0.00075)</f>
        <v>10.12318578</v>
      </c>
      <c r="K492" s="24" cm="1">
        <f t="array" ref="K492">IF(D492="","",J492+I492)</f>
        <v>20.248216499999998</v>
      </c>
      <c r="L492" s="24" cm="1">
        <f t="array" ref="L492">IF(D492=0,0,(D492-C492)*G492)</f>
        <v>-2.4599200000012584</v>
      </c>
      <c r="M492" s="25">
        <v>13492.37769422</v>
      </c>
      <c r="N492" s="26" cm="1">
        <f t="array" ref="N492">IFERROR((K492-J492)/J492,"–")</f>
        <v>1.0001822489520684</v>
      </c>
      <c r="O492" s="24" cm="1">
        <f t="array" ref="O492">IF(D492=0,0,L492-K492)</f>
        <v>-22.708136500001256</v>
      </c>
      <c r="P492" s="23"/>
      <c r="Q492" s="27"/>
    </row>
    <row r="493" spans="1:17" ht="22.5" customHeight="1">
      <c r="A493" s="16" t="s">
        <v>37</v>
      </c>
      <c r="B493" s="42">
        <v>44433</v>
      </c>
      <c r="C493" s="36">
        <v>54.88</v>
      </c>
      <c r="D493" s="36">
        <v>54.8</v>
      </c>
      <c r="E493" s="30" cm="1">
        <f t="array" ref="E493">IF(D493="","",D493-C493)</f>
        <v>-8.00000000000054E-2</v>
      </c>
      <c r="F493" s="31" cm="1">
        <f t="array" ref="F493">IF(D493=0,"",(D493-C493)/C493)</f>
        <v>-1.4577259475219643E-3</v>
      </c>
      <c r="G493" s="32">
        <v>245.99199999999999</v>
      </c>
      <c r="H493" s="10">
        <v>1</v>
      </c>
      <c r="I493" s="11" cm="1">
        <f t="array" ref="I493">IF(D493="","",(G493*C493)*0.00075)</f>
        <v>10.12503072</v>
      </c>
      <c r="J493" s="11" cm="1">
        <f t="array" ref="J493">IF(D493="","",(G493*D493)*0.00075)</f>
        <v>10.1102712</v>
      </c>
      <c r="K493" s="33" cm="1">
        <f t="array" ref="K493">IF(D493="","",J493+I493)</f>
        <v>20.235301919999998</v>
      </c>
      <c r="L493" s="33" cm="1">
        <f t="array" ref="L493">IF(D493=0,0,(D493-C493)*G493)</f>
        <v>-19.679360000001328</v>
      </c>
      <c r="M493" s="12">
        <v>13509.610048799999</v>
      </c>
      <c r="N493" s="34" cm="1">
        <f t="array" ref="N493">IFERROR((K493-J493)/J493,"–")</f>
        <v>1.0014598540145985</v>
      </c>
      <c r="O493" s="33" cm="1">
        <f t="array" ref="O493">IF(D493=0,0,L493-K493)</f>
        <v>-39.914661920001322</v>
      </c>
      <c r="P493" s="11"/>
      <c r="Q493" s="35"/>
    </row>
    <row r="494" spans="1:17" ht="22.5" customHeight="1">
      <c r="A494" s="16" t="s">
        <v>86</v>
      </c>
      <c r="B494" s="43">
        <v>44433</v>
      </c>
      <c r="C494" s="37">
        <v>0.47613</v>
      </c>
      <c r="D494" s="37">
        <v>0.48</v>
      </c>
      <c r="E494" s="19" cm="1">
        <f t="array" ref="E494">IF(D494="","",D494-C494)</f>
        <v>3.8699999999999846E-3</v>
      </c>
      <c r="F494" s="20" cm="1">
        <f t="array" ref="F494">IF(D494=0,"",(D494-C494)/C494)</f>
        <v>8.1280322600969998E-3</v>
      </c>
      <c r="G494" s="21">
        <v>27934.1</v>
      </c>
      <c r="H494" s="22">
        <v>1</v>
      </c>
      <c r="I494" s="23" cm="1">
        <f t="array" ref="I494">IF(D494="","",(G494*C494)*0.00075)</f>
        <v>9.9751972747500002</v>
      </c>
      <c r="J494" s="23" cm="1">
        <f t="array" ref="J494">IF(D494="","",(G494*D494)*0.00075)</f>
        <v>10.056275999999999</v>
      </c>
      <c r="K494" s="24" cm="1">
        <f t="array" ref="K494">IF(D494="","",J494+I494)</f>
        <v>20.031473274749999</v>
      </c>
      <c r="L494" s="24" cm="1">
        <f t="array" ref="L494">IF(D494=0,0,(D494-C494)*G494)</f>
        <v>108.10496699999956</v>
      </c>
      <c r="M494" s="25">
        <v>13182.101790000001</v>
      </c>
      <c r="N494" s="26" cm="1">
        <f t="array" ref="N494">IFERROR((K494-J494)/J494,"–")</f>
        <v>0.99193750000000014</v>
      </c>
      <c r="O494" s="24" cm="1">
        <f t="array" ref="O494">IF(D494=0,0,L494-K494)</f>
        <v>88.073493725249563</v>
      </c>
      <c r="P494" s="23"/>
      <c r="Q494" s="27"/>
    </row>
    <row r="495" spans="1:17" ht="22.5" customHeight="1">
      <c r="A495" s="16" t="s">
        <v>86</v>
      </c>
      <c r="B495" s="42">
        <v>44433</v>
      </c>
      <c r="C495" s="36">
        <v>0.47613</v>
      </c>
      <c r="D495" s="36">
        <v>0.48299999999999998</v>
      </c>
      <c r="E495" s="30" cm="1">
        <f t="array" ref="E495">IF(D495="","",D495-C495)</f>
        <v>6.8699999999999872E-3</v>
      </c>
      <c r="F495" s="31" cm="1">
        <f t="array" ref="F495">IF(D495=0,"",(D495-C495)/C495)</f>
        <v>1.4428832461722612E-2</v>
      </c>
      <c r="G495" s="32">
        <v>27934.1</v>
      </c>
      <c r="H495" s="10">
        <v>1</v>
      </c>
      <c r="I495" s="11" cm="1">
        <f t="array" ref="I495">IF(D495="","",(G495*C495)*0.00075)</f>
        <v>9.9751972747500002</v>
      </c>
      <c r="J495" s="11" cm="1">
        <f t="array" ref="J495">IF(D495="","",(G495*D495)*0.00075)</f>
        <v>10.119127725</v>
      </c>
      <c r="K495" s="33" cm="1">
        <f t="array" ref="K495">IF(D495="","",J495+I495)</f>
        <v>20.09432499975</v>
      </c>
      <c r="L495" s="33" cm="1">
        <f t="array" ref="L495">IF(D495=0,0,(D495-C495)*G495)</f>
        <v>191.90726699999962</v>
      </c>
      <c r="M495" s="12">
        <v>13098.236638275001</v>
      </c>
      <c r="N495" s="34" cm="1">
        <f t="array" ref="N495">IFERROR((K495-J495)/J495,"–")</f>
        <v>0.98577639751552792</v>
      </c>
      <c r="O495" s="33" cm="1">
        <f t="array" ref="O495">IF(D495=0,0,L495-K495)</f>
        <v>171.81294200024962</v>
      </c>
      <c r="P495" s="11"/>
      <c r="Q495" s="35"/>
    </row>
    <row r="496" spans="1:17" ht="22.5" customHeight="1">
      <c r="A496" s="16" t="s">
        <v>156</v>
      </c>
      <c r="B496" s="43">
        <v>44433</v>
      </c>
      <c r="C496" s="37">
        <v>2.3409</v>
      </c>
      <c r="D496" s="37">
        <v>2.3595000000000002</v>
      </c>
      <c r="E496" s="19" cm="1">
        <f t="array" ref="E496">IF(D496="","",D496-C496)</f>
        <v>1.8600000000000172E-2</v>
      </c>
      <c r="F496" s="20" cm="1">
        <f t="array" ref="F496">IF(D496=0,"",(D496-C496)/C496)</f>
        <v>7.9456619249007529E-3</v>
      </c>
      <c r="G496" s="21">
        <v>6.35</v>
      </c>
      <c r="H496" s="22">
        <v>1</v>
      </c>
      <c r="I496" s="23" cm="1">
        <f t="array" ref="I496">IF(D496="","",(G496*C496)*0.00075)</f>
        <v>1.1148536249999999E-2</v>
      </c>
      <c r="J496" s="23" cm="1">
        <f t="array" ref="J496">IF(D496="","",(G496*D496)*0.00075)</f>
        <v>1.123711875E-2</v>
      </c>
      <c r="K496" s="24" cm="1">
        <f t="array" ref="K496">IF(D496="","",J496+I496)</f>
        <v>2.2385654999999997E-2</v>
      </c>
      <c r="L496" s="24" cm="1">
        <f t="array" ref="L496">IF(D496=0,0,(D496-C496)*G496)</f>
        <v>0.11811000000000109</v>
      </c>
      <c r="M496" s="25">
        <v>14.735367881249999</v>
      </c>
      <c r="N496" s="26" cm="1">
        <f t="array" ref="N496">IFERROR((K496-J496)/J496,"–")</f>
        <v>0.99211697393515541</v>
      </c>
      <c r="O496" s="24" cm="1">
        <f t="array" ref="O496">IF(D496=0,0,L496-K496)</f>
        <v>9.5724345000001099E-2</v>
      </c>
      <c r="P496" s="23"/>
      <c r="Q496" s="27"/>
    </row>
    <row r="497" spans="1:17" ht="22.5" customHeight="1">
      <c r="A497" s="16" t="s">
        <v>156</v>
      </c>
      <c r="B497" s="42">
        <v>44433</v>
      </c>
      <c r="C497" s="36">
        <v>2.3409</v>
      </c>
      <c r="D497" s="36">
        <v>2.355</v>
      </c>
      <c r="E497" s="30" cm="1">
        <f t="array" ref="E497">IF(D497="","",D497-C497)</f>
        <v>1.4100000000000001E-2</v>
      </c>
      <c r="F497" s="31" cm="1">
        <f t="array" ref="F497">IF(D497=0,"",(D497-C497)/C497)</f>
        <v>6.0233243624247092E-3</v>
      </c>
      <c r="G497" s="32">
        <v>2775.99</v>
      </c>
      <c r="H497" s="10">
        <v>1</v>
      </c>
      <c r="I497" s="11" cm="1">
        <f t="array" ref="I497">IF(D497="","",(G497*C497)*0.00075)</f>
        <v>4.8737362432499998</v>
      </c>
      <c r="J497" s="11" cm="1">
        <f t="array" ref="J497">IF(D497="","",(G497*D497)*0.00075)</f>
        <v>4.9030923374999995</v>
      </c>
      <c r="K497" s="33" cm="1">
        <f t="array" ref="K497">IF(D497="","",J497+I497)</f>
        <v>9.7768285807499993</v>
      </c>
      <c r="L497" s="33" cm="1">
        <f t="array" ref="L497">IF(D497=0,0,(D497-C497)*G497)</f>
        <v>39.141458999999998</v>
      </c>
      <c r="M497" s="12">
        <v>6454.2704396625004</v>
      </c>
      <c r="N497" s="34" cm="1">
        <f t="array" ref="N497">IFERROR((K497-J497)/J497,"–")</f>
        <v>0.99401273885350327</v>
      </c>
      <c r="O497" s="33" cm="1">
        <f t="array" ref="O497">IF(D497=0,0,L497-K497)</f>
        <v>29.364630419249998</v>
      </c>
      <c r="P497" s="11"/>
      <c r="Q497" s="35"/>
    </row>
    <row r="498" spans="1:17" ht="22.5" customHeight="1">
      <c r="A498" s="16" t="s">
        <v>156</v>
      </c>
      <c r="B498" s="43">
        <v>44433</v>
      </c>
      <c r="C498" s="37">
        <v>2.3409</v>
      </c>
      <c r="D498" s="37">
        <v>2.3530000000000002</v>
      </c>
      <c r="E498" s="19" cm="1">
        <f t="array" ref="E498">IF(D498="","",D498-C498)</f>
        <v>1.2100000000000222E-2</v>
      </c>
      <c r="F498" s="20" cm="1">
        <f t="array" ref="F498">IF(D498=0,"",(D498-C498)/C498)</f>
        <v>5.1689521124354829E-3</v>
      </c>
      <c r="G498" s="21">
        <v>29.1</v>
      </c>
      <c r="H498" s="22">
        <v>1</v>
      </c>
      <c r="I498" s="23" cm="1">
        <f t="array" ref="I498">IF(D498="","",(G498*C498)*0.00075)</f>
        <v>5.1090142500000005E-2</v>
      </c>
      <c r="J498" s="23" cm="1">
        <f t="array" ref="J498">IF(D498="","",(G498*D498)*0.00075)</f>
        <v>5.1354225000000003E-2</v>
      </c>
      <c r="K498" s="24" cm="1">
        <f t="array" ref="K498">IF(D498="","",J498+I498)</f>
        <v>0.10244436750000001</v>
      </c>
      <c r="L498" s="24" cm="1">
        <f t="array" ref="L498">IF(D498=0,0,(D498-C498)*G498)</f>
        <v>0.35211000000000647</v>
      </c>
      <c r="M498" s="25">
        <v>67.716725775</v>
      </c>
      <c r="N498" s="26" cm="1">
        <f t="array" ref="N498">IFERROR((K498-J498)/J498,"–")</f>
        <v>0.99485762855928606</v>
      </c>
      <c r="O498" s="24" cm="1">
        <f t="array" ref="O498">IF(D498=0,0,L498-K498)</f>
        <v>0.24966563250000645</v>
      </c>
      <c r="P498" s="23"/>
      <c r="Q498" s="27"/>
    </row>
    <row r="499" spans="1:17" ht="22.5" customHeight="1">
      <c r="A499" s="16" t="s">
        <v>156</v>
      </c>
      <c r="B499" s="42">
        <v>44433</v>
      </c>
      <c r="C499" s="36">
        <v>2.3409</v>
      </c>
      <c r="D499" s="36">
        <v>2.3530000000000002</v>
      </c>
      <c r="E499" s="30" cm="1">
        <f t="array" ref="E499">IF(D499="","",D499-C499)</f>
        <v>1.2100000000000222E-2</v>
      </c>
      <c r="F499" s="31" cm="1">
        <f t="array" ref="F499">IF(D499=0,"",(D499-C499)/C499)</f>
        <v>5.1689521124354829E-3</v>
      </c>
      <c r="G499" s="32">
        <v>4096.71</v>
      </c>
      <c r="H499" s="10">
        <v>1</v>
      </c>
      <c r="I499" s="11" cm="1">
        <f t="array" ref="I499">IF(D499="","",(G499*C499)*0.00075)</f>
        <v>7.192491329250001</v>
      </c>
      <c r="J499" s="11" cm="1">
        <f t="array" ref="J499">IF(D499="","",(G499*D499)*0.00075)</f>
        <v>7.2296689725000007</v>
      </c>
      <c r="K499" s="33" cm="1">
        <f t="array" ref="K499">IF(D499="","",J499+I499)</f>
        <v>14.422160301750001</v>
      </c>
      <c r="L499" s="33" cm="1">
        <f t="array" ref="L499">IF(D499=0,0,(D499-C499)*G499)</f>
        <v>49.570191000000911</v>
      </c>
      <c r="M499" s="12">
        <v>9533.1885790274991</v>
      </c>
      <c r="N499" s="34" cm="1">
        <f t="array" ref="N499">IFERROR((K499-J499)/J499,"–")</f>
        <v>0.99485762855928594</v>
      </c>
      <c r="O499" s="33" cm="1">
        <f t="array" ref="O499">IF(D499=0,0,L499-K499)</f>
        <v>35.148030698250906</v>
      </c>
      <c r="P499" s="11"/>
      <c r="Q499" s="35"/>
    </row>
    <row r="500" spans="1:17" ht="22.5" customHeight="1">
      <c r="A500" s="16" t="s">
        <v>156</v>
      </c>
      <c r="B500" s="43">
        <v>44433</v>
      </c>
      <c r="C500" s="37">
        <v>2.3409</v>
      </c>
      <c r="D500" s="37">
        <v>2.35</v>
      </c>
      <c r="E500" s="19" cm="1">
        <f t="array" ref="E500">IF(D500="","",D500-C500)</f>
        <v>9.100000000000108E-3</v>
      </c>
      <c r="F500" s="20" cm="1">
        <f t="array" ref="F500">IF(D500=0,"",(D500-C500)/C500)</f>
        <v>3.8873937374514539E-3</v>
      </c>
      <c r="G500" s="21">
        <v>4096.71</v>
      </c>
      <c r="H500" s="22">
        <v>1</v>
      </c>
      <c r="I500" s="23" cm="1">
        <f t="array" ref="I500">IF(D500="","",(G500*C500)*0.00075)</f>
        <v>7.192491329250001</v>
      </c>
      <c r="J500" s="23" cm="1">
        <f t="array" ref="J500">IF(D500="","",(G500*D500)*0.00075)</f>
        <v>7.2204513750000006</v>
      </c>
      <c r="K500" s="24" cm="1">
        <f t="array" ref="K500">IF(D500="","",J500+I500)</f>
        <v>14.412942704250002</v>
      </c>
      <c r="L500" s="24" cm="1">
        <f t="array" ref="L500">IF(D500=0,0,(D500-C500)*G500)</f>
        <v>37.280061000000444</v>
      </c>
      <c r="M500" s="25">
        <v>9545.4879266249991</v>
      </c>
      <c r="N500" s="26" cm="1">
        <f t="array" ref="N500">IFERROR((K500-J500)/J500,"–")</f>
        <v>0.99612765957446814</v>
      </c>
      <c r="O500" s="24" cm="1">
        <f t="array" ref="O500">IF(D500=0,0,L500-K500)</f>
        <v>22.867118295750444</v>
      </c>
      <c r="P500" s="23"/>
      <c r="Q500" s="27"/>
    </row>
    <row r="501" spans="1:17" ht="22.5" customHeight="1">
      <c r="A501" s="16" t="s">
        <v>156</v>
      </c>
      <c r="B501" s="42">
        <v>44433</v>
      </c>
      <c r="C501" s="36">
        <v>2.3409</v>
      </c>
      <c r="D501" s="36">
        <v>2.3544999999999998</v>
      </c>
      <c r="E501" s="30" cm="1">
        <f t="array" ref="E501">IF(D501="","",D501-C501)</f>
        <v>1.3599999999999834E-2</v>
      </c>
      <c r="F501" s="31" cm="1">
        <f t="array" ref="F501">IF(D501=0,"",(D501-C501)/C501)</f>
        <v>5.8097312999273081E-3</v>
      </c>
      <c r="G501" s="32">
        <v>444</v>
      </c>
      <c r="H501" s="10">
        <v>1</v>
      </c>
      <c r="I501" s="11" cm="1">
        <f t="array" ref="I501">IF(D501="","",(G501*C501)*0.00075)</f>
        <v>0.77951970000000004</v>
      </c>
      <c r="J501" s="11" cm="1">
        <f t="array" ref="J501">IF(D501="","",(G501*D501)*0.00075)</f>
        <v>0.78404849999999993</v>
      </c>
      <c r="K501" s="33" cm="1">
        <f t="array" ref="K501">IF(D501="","",J501+I501)</f>
        <v>1.5635682</v>
      </c>
      <c r="L501" s="33" cm="1">
        <f t="array" ref="L501">IF(D501=0,0,(D501-C501)*G501)</f>
        <v>6.0383999999999265</v>
      </c>
      <c r="M501" s="12">
        <v>1032.5371514999999</v>
      </c>
      <c r="N501" s="34" cm="1">
        <f t="array" ref="N501">IFERROR((K501-J501)/J501,"–")</f>
        <v>0.99422382671480158</v>
      </c>
      <c r="O501" s="33" cm="1">
        <f t="array" ref="O501">IF(D501=0,0,L501-K501)</f>
        <v>4.4748317999999268</v>
      </c>
      <c r="P501" s="11"/>
      <c r="Q501" s="35"/>
    </row>
    <row r="502" spans="1:17" ht="22.5" customHeight="1">
      <c r="A502" s="16" t="s">
        <v>20</v>
      </c>
      <c r="B502" s="43">
        <v>44433</v>
      </c>
      <c r="C502" s="37">
        <v>2.3788E-2</v>
      </c>
      <c r="D502" s="37">
        <v>2.4451000000000001E-2</v>
      </c>
      <c r="E502" s="19" cm="1">
        <f t="array" ref="E502">IF(D502="","",D502-C502)</f>
        <v>6.6300000000000039E-4</v>
      </c>
      <c r="F502" s="20" cm="1">
        <f t="array" ref="F502">IF(D502=0,"",(D502-C502)/C502)</f>
        <v>2.7871195560786967E-2</v>
      </c>
      <c r="G502" s="21">
        <v>557010</v>
      </c>
      <c r="H502" s="22">
        <v>1</v>
      </c>
      <c r="I502" s="23" cm="1">
        <f t="array" ref="I502">IF(D502="","",(G502*C502)*0.00075)</f>
        <v>9.9376154099999994</v>
      </c>
      <c r="J502" s="23" cm="1">
        <f t="array" ref="J502">IF(D502="","",(G502*D502)*0.00075)</f>
        <v>10.2145886325</v>
      </c>
      <c r="K502" s="24" cm="1">
        <f t="array" ref="K502">IF(D502="","",J502+I502)</f>
        <v>20.152204042499999</v>
      </c>
      <c r="L502" s="24" cm="1">
        <f t="array" ref="L502">IF(D502=0,0,(D502-C502)*G502)</f>
        <v>369.2976300000002</v>
      </c>
      <c r="M502" s="25">
        <v>12870.641661367499</v>
      </c>
      <c r="N502" s="26" cm="1">
        <f t="array" ref="N502">IFERROR((K502-J502)/J502,"–")</f>
        <v>0.97288454459940288</v>
      </c>
      <c r="O502" s="24" cm="1">
        <f t="array" ref="O502">IF(D502=0,0,L502-K502)</f>
        <v>349.14542595750021</v>
      </c>
      <c r="P502" s="23"/>
      <c r="Q502" s="27"/>
    </row>
    <row r="503" spans="1:17" ht="22.5" customHeight="1">
      <c r="A503" s="16" t="s">
        <v>20</v>
      </c>
      <c r="B503" s="42">
        <v>44433</v>
      </c>
      <c r="C503" s="36">
        <v>2.3788E-2</v>
      </c>
      <c r="D503" s="36">
        <v>2.46E-2</v>
      </c>
      <c r="E503" s="30" cm="1">
        <f t="array" ref="E503">IF(D503="","",D503-C503)</f>
        <v>8.1200000000000022E-4</v>
      </c>
      <c r="F503" s="31" cm="1">
        <f t="array" ref="F503">IF(D503=0,"",(D503-C503)/C503)</f>
        <v>3.4134857911552054E-2</v>
      </c>
      <c r="G503" s="32">
        <v>557011</v>
      </c>
      <c r="H503" s="10">
        <v>1</v>
      </c>
      <c r="I503" s="11" cm="1">
        <f t="array" ref="I503">IF(D503="","",(G503*C503)*0.00075)</f>
        <v>9.9376332510000012</v>
      </c>
      <c r="J503" s="11" cm="1">
        <f t="array" ref="J503">IF(D503="","",(G503*D503)*0.00075)</f>
        <v>10.27685295</v>
      </c>
      <c r="K503" s="33" cm="1">
        <f t="array" ref="K503">IF(D503="","",J503+I503)</f>
        <v>20.214486201</v>
      </c>
      <c r="L503" s="33" cm="1">
        <f t="array" ref="L503">IF(D503=0,0,(D503-C503)*G503)</f>
        <v>452.29293200000012</v>
      </c>
      <c r="M503" s="12">
        <v>12787.607883049999</v>
      </c>
      <c r="N503" s="34" cm="1">
        <f t="array" ref="N503">IFERROR((K503-J503)/J503,"–")</f>
        <v>0.96699186991869912</v>
      </c>
      <c r="O503" s="33" cm="1">
        <f t="array" ref="O503">IF(D503=0,0,L503-K503)</f>
        <v>432.07844579900012</v>
      </c>
      <c r="P503" s="11"/>
      <c r="Q503" s="35"/>
    </row>
    <row r="504" spans="1:17" ht="22.5" customHeight="1">
      <c r="A504" s="16" t="s">
        <v>157</v>
      </c>
      <c r="B504" s="43">
        <v>44433</v>
      </c>
      <c r="C504" s="37">
        <v>0.39018999999999998</v>
      </c>
      <c r="D504" s="37">
        <v>0.41499999999999998</v>
      </c>
      <c r="E504" s="19" cm="1">
        <f t="array" ref="E504">IF(D504="","",D504-C504)</f>
        <v>2.4809999999999999E-2</v>
      </c>
      <c r="F504" s="20" cm="1">
        <f t="array" ref="F504">IF(D504=0,"",(D504-C504)/C504)</f>
        <v>6.3584407596299242E-2</v>
      </c>
      <c r="G504" s="21">
        <v>2562.9</v>
      </c>
      <c r="H504" s="22">
        <v>1</v>
      </c>
      <c r="I504" s="23" cm="1">
        <f t="array" ref="I504">IF(D504="","",(G504*C504)*0.00075)</f>
        <v>0.75001346325000007</v>
      </c>
      <c r="J504" s="23" cm="1">
        <f t="array" ref="J504">IF(D504="","",(G504*D504)*0.00075)</f>
        <v>0.797702625</v>
      </c>
      <c r="K504" s="24" cm="1">
        <f t="array" ref="K504">IF(D504="","",J504+I504)</f>
        <v>1.5477160882500001</v>
      </c>
      <c r="L504" s="24" cm="1">
        <f t="array" ref="L504">IF(D504=0,0,(D504-C504)*G504)</f>
        <v>63.585549</v>
      </c>
      <c r="M504" s="25">
        <v>935.63469937499997</v>
      </c>
      <c r="N504" s="26" cm="1">
        <f t="array" ref="N504">IFERROR((K504-J504)/J504,"–")</f>
        <v>0.94021686746987965</v>
      </c>
      <c r="O504" s="24" cm="1">
        <f t="array" ref="O504">IF(D504=0,0,L504-K504)</f>
        <v>62.037832911750002</v>
      </c>
      <c r="P504" s="23"/>
      <c r="Q504" s="27"/>
    </row>
    <row r="505" spans="1:17" ht="22.5" customHeight="1">
      <c r="A505" s="16" t="s">
        <v>158</v>
      </c>
      <c r="B505" s="42">
        <v>44434</v>
      </c>
      <c r="C505" s="36">
        <v>6.65</v>
      </c>
      <c r="D505" s="36">
        <v>6.85</v>
      </c>
      <c r="E505" s="30" cm="1">
        <f t="array" ref="E505">IF(D505="","",D505-C505)</f>
        <v>0.19999999999999929</v>
      </c>
      <c r="F505" s="31" cm="1">
        <f t="array" ref="F505">IF(D505=0,"",(D505-C505)/C505)</f>
        <v>3.0075187969924703E-2</v>
      </c>
      <c r="G505" s="32">
        <v>2105.5</v>
      </c>
      <c r="H505" s="10">
        <v>1</v>
      </c>
      <c r="I505" s="11" cm="1">
        <f t="array" ref="I505">IF(D505="","",(G505*C505)*0.00075)</f>
        <v>10.50118125</v>
      </c>
      <c r="J505" s="11" cm="1">
        <f t="array" ref="J505">IF(D505="","",(G505*D505)*0.00075)</f>
        <v>10.81700625</v>
      </c>
      <c r="K505" s="33" cm="1">
        <f t="array" ref="K505">IF(D505="","",J505+I505)</f>
        <v>21.318187500000001</v>
      </c>
      <c r="L505" s="33" cm="1">
        <f t="array" ref="L505">IF(D505=0,0,(D505-C505)*G505)</f>
        <v>421.09999999999849</v>
      </c>
      <c r="M505" s="12">
        <v>13569.657993749999</v>
      </c>
      <c r="N505" s="34" cm="1">
        <f t="array" ref="N505">IFERROR((K505-J505)/J505,"–")</f>
        <v>0.97080291970802912</v>
      </c>
      <c r="O505" s="33" cm="1">
        <f t="array" ref="O505">IF(D505=0,0,L505-K505)</f>
        <v>399.78181249999847</v>
      </c>
      <c r="P505" s="11"/>
      <c r="Q505" s="35"/>
    </row>
    <row r="506" spans="1:17" ht="22.5" customHeight="1">
      <c r="A506" s="16" t="s">
        <v>158</v>
      </c>
      <c r="B506" s="43">
        <v>44434</v>
      </c>
      <c r="C506" s="37">
        <v>6.65</v>
      </c>
      <c r="D506" s="37">
        <v>6.782</v>
      </c>
      <c r="E506" s="19" cm="1">
        <f t="array" ref="E506">IF(D506="","",D506-C506)</f>
        <v>0.13199999999999967</v>
      </c>
      <c r="F506" s="20" cm="1">
        <f t="array" ref="F506">IF(D506=0,"",(D506-C506)/C506)</f>
        <v>1.9849624060150325E-2</v>
      </c>
      <c r="G506" s="21">
        <v>2105.5</v>
      </c>
      <c r="H506" s="22">
        <v>1</v>
      </c>
      <c r="I506" s="23" cm="1">
        <f t="array" ref="I506">IF(D506="","",(G506*C506)*0.00075)</f>
        <v>10.50118125</v>
      </c>
      <c r="J506" s="23" cm="1">
        <f t="array" ref="J506">IF(D506="","",(G506*D506)*0.00075)</f>
        <v>10.709625750000001</v>
      </c>
      <c r="K506" s="24" cm="1">
        <f t="array" ref="K506">IF(D506="","",J506+I506)</f>
        <v>21.210807000000003</v>
      </c>
      <c r="L506" s="24" cm="1">
        <f t="array" ref="L506">IF(D506=0,0,(D506-C506)*G506)</f>
        <v>277.92599999999931</v>
      </c>
      <c r="M506" s="25">
        <v>13712.93937425</v>
      </c>
      <c r="N506" s="26" cm="1">
        <f t="array" ref="N506">IFERROR((K506-J506)/J506,"–")</f>
        <v>0.98053671483338256</v>
      </c>
      <c r="O506" s="24" cm="1">
        <f t="array" ref="O506">IF(D506=0,0,L506-K506)</f>
        <v>256.71519299999932</v>
      </c>
      <c r="P506" s="23"/>
      <c r="Q506" s="27"/>
    </row>
    <row r="507" spans="1:17" ht="22.5" customHeight="1">
      <c r="A507" s="16" t="s">
        <v>87</v>
      </c>
      <c r="B507" s="42">
        <v>44435</v>
      </c>
      <c r="C507" s="36">
        <v>2.1779000000000002</v>
      </c>
      <c r="D507" s="36">
        <v>2.1800999999999999</v>
      </c>
      <c r="E507" s="30" cm="1">
        <f t="array" ref="E507">IF(D507="","",D507-C507)</f>
        <v>2.1999999999997577E-3</v>
      </c>
      <c r="F507" s="31" cm="1">
        <f t="array" ref="F507">IF(D507=0,"",(D507-C507)/C507)</f>
        <v>1.0101473896872021E-3</v>
      </c>
      <c r="G507" s="32">
        <v>6543</v>
      </c>
      <c r="H507" s="10">
        <v>1</v>
      </c>
      <c r="I507" s="11" cm="1">
        <f t="array" ref="I507">IF(D507="","",(G507*C507)*0.00075)</f>
        <v>10.687499775000001</v>
      </c>
      <c r="J507" s="11" cm="1">
        <f t="array" ref="J507">IF(D507="","",(G507*D507)*0.00075)</f>
        <v>10.698295724999999</v>
      </c>
      <c r="K507" s="33" cm="1">
        <f t="array" ref="K507">IF(D507="","",J507+I507)</f>
        <v>21.3857955</v>
      </c>
      <c r="L507" s="33" cm="1">
        <f t="array" ref="L507">IF(D507=0,0,(D507-C507)*G507)</f>
        <v>14.394599999998414</v>
      </c>
      <c r="M507" s="12">
        <v>14224.906804275</v>
      </c>
      <c r="N507" s="34" cm="1">
        <f t="array" ref="N507">IFERROR((K507-J507)/J507,"–")</f>
        <v>0.99899087197834979</v>
      </c>
      <c r="O507" s="33" cm="1">
        <f t="array" ref="O507">IF(D507=0,0,L507-K507)</f>
        <v>-6.9911955000015862</v>
      </c>
      <c r="P507" s="11"/>
      <c r="Q507" s="35"/>
    </row>
    <row r="508" spans="1:17" ht="22.5" customHeight="1">
      <c r="A508" s="16" t="s">
        <v>87</v>
      </c>
      <c r="B508" s="43">
        <v>44435</v>
      </c>
      <c r="C508" s="37">
        <v>2.1779000000000002</v>
      </c>
      <c r="D508" s="37">
        <v>2.2107000000000001</v>
      </c>
      <c r="E508" s="19" cm="1">
        <f t="array" ref="E508">IF(D508="","",D508-C508)</f>
        <v>3.279999999999994E-2</v>
      </c>
      <c r="F508" s="20" cm="1">
        <f t="array" ref="F508">IF(D508=0,"",(D508-C508)/C508)</f>
        <v>1.5060379264429009E-2</v>
      </c>
      <c r="G508" s="21">
        <v>3271</v>
      </c>
      <c r="H508" s="22">
        <v>1</v>
      </c>
      <c r="I508" s="23" cm="1">
        <f t="array" ref="I508">IF(D508="","",(G508*C508)*0.00075)</f>
        <v>5.3429331750000006</v>
      </c>
      <c r="J508" s="23" cm="1">
        <f t="array" ref="J508">IF(D508="","",(G508*D508)*0.00075)</f>
        <v>5.423399775</v>
      </c>
      <c r="K508" s="24" cm="1">
        <f t="array" ref="K508">IF(D508="","",J508+I508)</f>
        <v>10.766332950000001</v>
      </c>
      <c r="L508" s="24" cm="1">
        <f t="array" ref="L508">IF(D508=0,0,(D508-C508)*G508)</f>
        <v>107.28879999999981</v>
      </c>
      <c r="M508" s="25">
        <v>7011.1987002249998</v>
      </c>
      <c r="N508" s="26" cm="1">
        <f t="array" ref="N508">IFERROR((K508-J508)/J508,"–")</f>
        <v>0.98516307052064966</v>
      </c>
      <c r="O508" s="24" cm="1">
        <f t="array" ref="O508">IF(D508=0,0,L508-K508)</f>
        <v>96.522467049999804</v>
      </c>
      <c r="P508" s="23"/>
      <c r="Q508" s="27"/>
    </row>
    <row r="509" spans="1:17" ht="22.5" customHeight="1">
      <c r="A509" s="16" t="s">
        <v>87</v>
      </c>
      <c r="B509" s="42">
        <v>44435</v>
      </c>
      <c r="C509" s="36">
        <v>2.1779000000000002</v>
      </c>
      <c r="D509" s="36">
        <v>2.2281</v>
      </c>
      <c r="E509" s="30" cm="1">
        <f t="array" ref="E509">IF(D509="","",D509-C509)</f>
        <v>5.01999999999998E-2</v>
      </c>
      <c r="F509" s="31" cm="1">
        <f t="array" ref="F509">IF(D509=0,"",(D509-C509)/C509)</f>
        <v>2.3049726801046787E-2</v>
      </c>
      <c r="G509" s="32">
        <v>3272</v>
      </c>
      <c r="H509" s="10">
        <v>1</v>
      </c>
      <c r="I509" s="11" cm="1">
        <f t="array" ref="I509">IF(D509="","",(G509*C509)*0.00075)</f>
        <v>5.3445666000000003</v>
      </c>
      <c r="J509" s="11" cm="1">
        <f t="array" ref="J509">IF(D509="","",(G509*D509)*0.00075)</f>
        <v>5.4677574</v>
      </c>
      <c r="K509" s="33" cm="1">
        <f t="array" ref="K509">IF(D509="","",J509+I509)</f>
        <v>10.812324</v>
      </c>
      <c r="L509" s="33" cm="1">
        <f t="array" ref="L509">IF(D509=0,0,(D509-C509)*G509)</f>
        <v>164.25439999999935</v>
      </c>
      <c r="M509" s="12">
        <v>6956.3666426</v>
      </c>
      <c r="N509" s="34" cm="1">
        <f t="array" ref="N509">IFERROR((K509-J509)/J509,"–")</f>
        <v>0.97746959292670887</v>
      </c>
      <c r="O509" s="33" cm="1">
        <f t="array" ref="O509">IF(D509=0,0,L509-K509)</f>
        <v>153.44207599999936</v>
      </c>
      <c r="P509" s="11"/>
      <c r="Q509" s="35"/>
    </row>
    <row r="510" spans="1:17" ht="22.5" customHeight="1">
      <c r="A510" s="16" t="s">
        <v>104</v>
      </c>
      <c r="B510" s="43">
        <v>44435</v>
      </c>
      <c r="C510" s="37">
        <v>0.62439999999999996</v>
      </c>
      <c r="D510" s="37">
        <v>0.62509999999999999</v>
      </c>
      <c r="E510" s="19" cm="1">
        <f t="array" ref="E510">IF(D510="","",D510-C510)</f>
        <v>7.0000000000003393E-4</v>
      </c>
      <c r="F510" s="20" cm="1">
        <f t="array" ref="F510">IF(D510=0,"",(D510-C510)/C510)</f>
        <v>1.1210762331839109E-3</v>
      </c>
      <c r="G510" s="21">
        <v>23225</v>
      </c>
      <c r="H510" s="22">
        <v>1</v>
      </c>
      <c r="I510" s="23" cm="1">
        <f t="array" ref="I510">IF(D510="","",(G510*C510)*0.00075)</f>
        <v>10.876267499999999</v>
      </c>
      <c r="J510" s="23" cm="1">
        <f t="array" ref="J510">IF(D510="","",(G510*D510)*0.00075)</f>
        <v>10.888460625</v>
      </c>
      <c r="K510" s="24" cm="1">
        <f t="array" ref="K510">IF(D510="","",J510+I510)</f>
        <v>21.764728124999998</v>
      </c>
      <c r="L510" s="24" cm="1">
        <f t="array" ref="L510">IF(D510=0,0,(D510-C510)*G510)</f>
        <v>16.257500000000789</v>
      </c>
      <c r="M510" s="25">
        <v>14474.544039375</v>
      </c>
      <c r="N510" s="26" cm="1">
        <f t="array" ref="N510">IFERROR((K510-J510)/J510,"–")</f>
        <v>0.99888017917133232</v>
      </c>
      <c r="O510" s="24" cm="1">
        <f t="array" ref="O510">IF(D510=0,0,L510-K510)</f>
        <v>-5.5072281249992088</v>
      </c>
      <c r="P510" s="23"/>
      <c r="Q510" s="27"/>
    </row>
    <row r="511" spans="1:17" ht="22.5" customHeight="1">
      <c r="A511" s="16" t="s">
        <v>104</v>
      </c>
      <c r="B511" s="42">
        <v>44435</v>
      </c>
      <c r="C511" s="36">
        <v>0.62439999999999996</v>
      </c>
      <c r="D511" s="36">
        <v>0.626</v>
      </c>
      <c r="E511" s="30" cm="1">
        <f t="array" ref="E511">IF(D511="","",D511-C511)</f>
        <v>1.6000000000000458E-3</v>
      </c>
      <c r="F511" s="31" cm="1">
        <f t="array" ref="F511">IF(D511=0,"",(D511-C511)/C511)</f>
        <v>2.5624599615631741E-3</v>
      </c>
      <c r="G511" s="32">
        <v>23226</v>
      </c>
      <c r="H511" s="10">
        <v>1</v>
      </c>
      <c r="I511" s="11" cm="1">
        <f t="array" ref="I511">IF(D511="","",(G511*C511)*0.00075)</f>
        <v>10.876735800000001</v>
      </c>
      <c r="J511" s="11" cm="1">
        <f t="array" ref="J511">IF(D511="","",(G511*D511)*0.00075)</f>
        <v>10.904607</v>
      </c>
      <c r="K511" s="33" cm="1">
        <f t="array" ref="K511">IF(D511="","",J511+I511)</f>
        <v>21.781342800000001</v>
      </c>
      <c r="L511" s="33" cm="1">
        <f t="array" ref="L511">IF(D511=0,0,(D511-C511)*G511)</f>
        <v>37.161600000001066</v>
      </c>
      <c r="M511" s="12">
        <v>14454.248192999999</v>
      </c>
      <c r="N511" s="34" cm="1">
        <f t="array" ref="N511">IFERROR((K511-J511)/J511,"–")</f>
        <v>0.99744408945686902</v>
      </c>
      <c r="O511" s="33" cm="1">
        <f t="array" ref="O511">IF(D511=0,0,L511-K511)</f>
        <v>15.380257200001065</v>
      </c>
      <c r="P511" s="11"/>
      <c r="Q511" s="35"/>
    </row>
    <row r="512" spans="1:17" ht="22.5" customHeight="1">
      <c r="A512" s="16" t="s">
        <v>85</v>
      </c>
      <c r="B512" s="43">
        <v>44435</v>
      </c>
      <c r="C512" s="37">
        <v>2.024</v>
      </c>
      <c r="D512" s="37">
        <v>2.0099999999999998</v>
      </c>
      <c r="E512" s="19" cm="1">
        <f t="array" ref="E512">IF(D512="","",D512-C512)</f>
        <v>-1.4000000000000234E-2</v>
      </c>
      <c r="F512" s="20" cm="1">
        <f t="array" ref="F512">IF(D512=0,"",(D512-C512)/C512)</f>
        <v>-6.9169960474309462E-3</v>
      </c>
      <c r="G512" s="21">
        <v>2568.5</v>
      </c>
      <c r="H512" s="22">
        <v>1</v>
      </c>
      <c r="I512" s="23" cm="1">
        <f t="array" ref="I512">IF(D512="","",(G512*C512)*0.00075)</f>
        <v>3.8989830000000003</v>
      </c>
      <c r="J512" s="23" cm="1">
        <f t="array" ref="J512">IF(D512="","",(G512*D512)*0.00075)</f>
        <v>3.8720137499999998</v>
      </c>
      <c r="K512" s="24" cm="1">
        <f t="array" ref="K512">IF(D512="","",J512+I512)</f>
        <v>7.7709967500000001</v>
      </c>
      <c r="L512" s="24" cm="1">
        <f t="array" ref="L512">IF(D512=0,0,(D512-C512)*G512)</f>
        <v>-35.9590000000006</v>
      </c>
      <c r="M512" s="25">
        <v>5230.7309862499997</v>
      </c>
      <c r="N512" s="26" cm="1">
        <f t="array" ref="N512">IFERROR((K512-J512)/J512,"–")</f>
        <v>1.0069651741293533</v>
      </c>
      <c r="O512" s="24" cm="1">
        <f t="array" ref="O512">IF(D512=0,0,L512-K512)</f>
        <v>-43.729996750000602</v>
      </c>
      <c r="P512" s="23"/>
      <c r="Q512" s="27"/>
    </row>
    <row r="513" spans="1:17" ht="22.5" customHeight="1">
      <c r="A513" s="16" t="s">
        <v>85</v>
      </c>
      <c r="B513" s="42">
        <v>44435</v>
      </c>
      <c r="C513" s="36">
        <v>2.024</v>
      </c>
      <c r="D513" s="36">
        <v>2</v>
      </c>
      <c r="E513" s="30" cm="1">
        <f t="array" ref="E513">IF(D513="","",D513-C513)</f>
        <v>-2.4000000000000021E-2</v>
      </c>
      <c r="F513" s="31" cm="1">
        <f t="array" ref="F513">IF(D513=0,"",(D513-C513)/C513)</f>
        <v>-1.1857707509881433E-2</v>
      </c>
      <c r="G513" s="32">
        <v>339.5</v>
      </c>
      <c r="H513" s="10">
        <v>1</v>
      </c>
      <c r="I513" s="11" cm="1">
        <f t="array" ref="I513">IF(D513="","",(G513*C513)*0.00075)</f>
        <v>0.51536100000000007</v>
      </c>
      <c r="J513" s="11" cm="1">
        <f t="array" ref="J513">IF(D513="","",(G513*D513)*0.00075)</f>
        <v>0.50924999999999998</v>
      </c>
      <c r="K513" s="33" cm="1">
        <f t="array" ref="K513">IF(D513="","",J513+I513)</f>
        <v>1.0246110000000002</v>
      </c>
      <c r="L513" s="33" cm="1">
        <f t="array" ref="L513">IF(D513=0,0,(D513-C513)*G513)</f>
        <v>-8.1480000000000068</v>
      </c>
      <c r="M513" s="12">
        <v>694.78674999999998</v>
      </c>
      <c r="N513" s="34" cm="1">
        <f t="array" ref="N513">IFERROR((K513-J513)/J513,"–")</f>
        <v>1.0120000000000005</v>
      </c>
      <c r="O513" s="33" cm="1">
        <f t="array" ref="O513">IF(D513=0,0,L513-K513)</f>
        <v>-9.172611000000007</v>
      </c>
      <c r="P513" s="11"/>
      <c r="Q513" s="35"/>
    </row>
    <row r="514" spans="1:17" ht="22.5" customHeight="1">
      <c r="A514" s="16" t="s">
        <v>85</v>
      </c>
      <c r="B514" s="43">
        <v>44435</v>
      </c>
      <c r="C514" s="37">
        <v>2.024</v>
      </c>
      <c r="D514" s="37">
        <v>1.992</v>
      </c>
      <c r="E514" s="19" cm="1">
        <f t="array" ref="E514">IF(D514="","",D514-C514)</f>
        <v>-3.2000000000000028E-2</v>
      </c>
      <c r="F514" s="20" cm="1">
        <f t="array" ref="F514">IF(D514=0,"",(D514-C514)/C514)</f>
        <v>-1.581027667984191E-2</v>
      </c>
      <c r="G514" s="21">
        <v>5881.1</v>
      </c>
      <c r="H514" s="22">
        <v>1</v>
      </c>
      <c r="I514" s="23" cm="1">
        <f t="array" ref="I514">IF(D514="","",(G514*C514)*0.00075)</f>
        <v>8.9275098000000011</v>
      </c>
      <c r="J514" s="23" cm="1">
        <f t="array" ref="J514">IF(D514="","",(G514*D514)*0.00075)</f>
        <v>8.7863634000000008</v>
      </c>
      <c r="K514" s="24" cm="1">
        <f t="array" ref="K514">IF(D514="","",J514+I514)</f>
        <v>17.713873200000002</v>
      </c>
      <c r="L514" s="24" cm="1">
        <f t="array" ref="L514">IF(D514=0,0,(D514-C514)*G514)</f>
        <v>-188.19520000000017</v>
      </c>
      <c r="M514" s="25">
        <v>12082.7552366</v>
      </c>
      <c r="N514" s="26" cm="1">
        <f t="array" ref="N514">IFERROR((K514-J514)/J514,"–")</f>
        <v>1.0160642570281124</v>
      </c>
      <c r="O514" s="24" cm="1">
        <f t="array" ref="O514">IF(D514=0,0,L514-K514)</f>
        <v>-205.90907320000017</v>
      </c>
      <c r="P514" s="23"/>
      <c r="Q514" s="27"/>
    </row>
    <row r="515" spans="1:17" ht="22.5" customHeight="1">
      <c r="A515" s="16" t="s">
        <v>85</v>
      </c>
      <c r="B515" s="42">
        <v>44435</v>
      </c>
      <c r="C515" s="36">
        <v>2.024</v>
      </c>
      <c r="D515" s="36">
        <v>1.9810000000000001</v>
      </c>
      <c r="E515" s="30" cm="1">
        <f t="array" ref="E515">IF(D515="","",D515-C515)</f>
        <v>-4.2999999999999927E-2</v>
      </c>
      <c r="F515" s="31" cm="1">
        <f t="array" ref="F515">IF(D515=0,"",(D515-C515)/C515)</f>
        <v>-2.1245059288537513E-2</v>
      </c>
      <c r="G515" s="32">
        <v>383.8</v>
      </c>
      <c r="H515" s="10">
        <v>1</v>
      </c>
      <c r="I515" s="11" cm="1">
        <f t="array" ref="I515">IF(D515="","",(G515*C515)*0.00075)</f>
        <v>0.58260840000000003</v>
      </c>
      <c r="J515" s="11" cm="1">
        <f t="array" ref="J515">IF(D515="","",(G515*D515)*0.00075)</f>
        <v>0.57023085000000007</v>
      </c>
      <c r="K515" s="33" cm="1">
        <f t="array" ref="K515">IF(D515="","",J515+I515)</f>
        <v>1.15283925</v>
      </c>
      <c r="L515" s="33" cm="1">
        <f t="array" ref="L515">IF(D515=0,0,(D515-C515)*G515)</f>
        <v>-16.503399999999971</v>
      </c>
      <c r="M515" s="12">
        <v>792.74436915000001</v>
      </c>
      <c r="N515" s="34" cm="1">
        <f t="array" ref="N515">IFERROR((K515-J515)/J515,"–")</f>
        <v>1.0217062089853606</v>
      </c>
      <c r="O515" s="33" cm="1">
        <f t="array" ref="O515">IF(D515=0,0,L515-K515)</f>
        <v>-17.65623924999997</v>
      </c>
      <c r="P515" s="11"/>
      <c r="Q515" s="35"/>
    </row>
    <row r="516" spans="1:17" ht="22.5" customHeight="1">
      <c r="A516" s="16" t="s">
        <v>85</v>
      </c>
      <c r="B516" s="43">
        <v>44435</v>
      </c>
      <c r="C516" s="37">
        <v>2.024</v>
      </c>
      <c r="D516" s="37">
        <v>1.9790000000000001</v>
      </c>
      <c r="E516" s="19" cm="1">
        <f t="array" ref="E516">IF(D516="","",D516-C516)</f>
        <v>-4.4999999999999929E-2</v>
      </c>
      <c r="F516" s="20" cm="1">
        <f t="array" ref="F516">IF(D516=0,"",(D516-C516)/C516)</f>
        <v>-2.2233201581027633E-2</v>
      </c>
      <c r="G516" s="21">
        <v>5157.8</v>
      </c>
      <c r="H516" s="22">
        <v>1</v>
      </c>
      <c r="I516" s="23" cm="1">
        <f t="array" ref="I516">IF(D516="","",(G516*C516)*0.00075)</f>
        <v>7.8295404000000008</v>
      </c>
      <c r="J516" s="23" cm="1">
        <f t="array" ref="J516">IF(D516="","",(G516*D516)*0.00075)</f>
        <v>7.6554646500000008</v>
      </c>
      <c r="K516" s="24" cm="1">
        <f t="array" ref="K516">IF(D516="","",J516+I516)</f>
        <v>15.485005050000002</v>
      </c>
      <c r="L516" s="24" cm="1">
        <f t="array" ref="L516">IF(D516=0,0,(D516-C516)*G516)</f>
        <v>-232.10099999999963</v>
      </c>
      <c r="M516" s="25">
        <v>10663.832735350001</v>
      </c>
      <c r="N516" s="26" cm="1">
        <f t="array" ref="N516">IFERROR((K516-J516)/J516,"–")</f>
        <v>1.0227387569479536</v>
      </c>
      <c r="O516" s="24" cm="1">
        <f t="array" ref="O516">IF(D516=0,0,L516-K516)</f>
        <v>-247.58600504999964</v>
      </c>
      <c r="P516" s="23"/>
      <c r="Q516" s="27"/>
    </row>
    <row r="517" spans="1:17" ht="22.5" customHeight="1">
      <c r="A517" s="16" t="s">
        <v>133</v>
      </c>
      <c r="B517" s="42">
        <v>44436</v>
      </c>
      <c r="C517" s="36">
        <v>0.89970000000000006</v>
      </c>
      <c r="D517" s="36">
        <v>0.89900000000000002</v>
      </c>
      <c r="E517" s="30" cm="1">
        <f t="array" ref="E517">IF(D517="","",D517-C517)</f>
        <v>-7.0000000000003393E-4</v>
      </c>
      <c r="F517" s="31" cm="1">
        <f t="array" ref="F517">IF(D517=0,"",(D517-C517)/C517)</f>
        <v>-7.78037123485644E-4</v>
      </c>
      <c r="G517" s="32">
        <v>16116</v>
      </c>
      <c r="H517" s="10">
        <v>1</v>
      </c>
      <c r="I517" s="11" cm="1">
        <f t="array" ref="I517">IF(D517="","",(G517*C517)*0.00075)</f>
        <v>10.874673900000001</v>
      </c>
      <c r="J517" s="11" cm="1">
        <f t="array" ref="J517">IF(D517="","",(G517*D517)*0.00075)</f>
        <v>10.866213</v>
      </c>
      <c r="K517" s="33" cm="1">
        <f t="array" ref="K517">IF(D517="","",J517+I517)</f>
        <v>21.7408869</v>
      </c>
      <c r="L517" s="33" cm="1">
        <f t="array" ref="L517">IF(D517=0,0,(D517-C517)*G517)</f>
        <v>-11.281200000000547</v>
      </c>
      <c r="M517" s="12">
        <v>14499.980186999999</v>
      </c>
      <c r="N517" s="34" cm="1">
        <f t="array" ref="N517">IFERROR((K517-J517)/J517,"–")</f>
        <v>1.0007786429365961</v>
      </c>
      <c r="O517" s="33" cm="1">
        <f t="array" ref="O517">IF(D517=0,0,L517-K517)</f>
        <v>-33.022086900000545</v>
      </c>
      <c r="P517" s="11"/>
      <c r="Q517" s="35"/>
    </row>
    <row r="518" spans="1:17" ht="22.5" customHeight="1">
      <c r="A518" s="16" t="s">
        <v>133</v>
      </c>
      <c r="B518" s="43">
        <v>44436</v>
      </c>
      <c r="C518" s="37">
        <v>0.89970000000000006</v>
      </c>
      <c r="D518" s="37">
        <v>0.89980000000000004</v>
      </c>
      <c r="E518" s="19" cm="1">
        <f t="array" ref="E518">IF(D518="","",D518-C518)</f>
        <v>9.9999999999988987E-5</v>
      </c>
      <c r="F518" s="20" cm="1">
        <f t="array" ref="F518">IF(D518=0,"",(D518-C518)/C518)</f>
        <v>1.1114816049793151E-4</v>
      </c>
      <c r="G518" s="21">
        <v>8058</v>
      </c>
      <c r="H518" s="22">
        <v>1</v>
      </c>
      <c r="I518" s="23" cm="1">
        <f t="array" ref="I518">IF(D518="","",(G518*C518)*0.00075)</f>
        <v>5.4373369500000006</v>
      </c>
      <c r="J518" s="23" cm="1">
        <f t="array" ref="J518">IF(D518="","",(G518*D518)*0.00075)</f>
        <v>5.4379413000000003</v>
      </c>
      <c r="K518" s="24" cm="1">
        <f t="array" ref="K518">IF(D518="","",J518+I518)</f>
        <v>10.875278250000001</v>
      </c>
      <c r="L518" s="24" cm="1">
        <f t="array" ref="L518">IF(D518=0,0,(D518-C518)*G518)</f>
        <v>0.80579999999991125</v>
      </c>
      <c r="M518" s="25">
        <v>7243.5388586999998</v>
      </c>
      <c r="N518" s="26" cm="1">
        <f t="array" ref="N518">IFERROR((K518-J518)/J518,"–")</f>
        <v>0.9998888641920427</v>
      </c>
      <c r="O518" s="24" cm="1">
        <f t="array" ref="O518">IF(D518=0,0,L518-K518)</f>
        <v>-10.06947825000009</v>
      </c>
      <c r="P518" s="23"/>
      <c r="Q518" s="27"/>
    </row>
    <row r="519" spans="1:17" ht="22.5" customHeight="1">
      <c r="A519" s="16" t="s">
        <v>133</v>
      </c>
      <c r="B519" s="42">
        <v>44436</v>
      </c>
      <c r="C519" s="36">
        <v>0.89970000000000006</v>
      </c>
      <c r="D519" s="36">
        <v>0.90310000000000001</v>
      </c>
      <c r="E519" s="30" cm="1">
        <f t="array" ref="E519">IF(D519="","",D519-C519)</f>
        <v>3.3999999999999586E-3</v>
      </c>
      <c r="F519" s="31" cm="1">
        <f t="array" ref="F519">IF(D519=0,"",(D519-C519)/C519)</f>
        <v>3.7790374569300414E-3</v>
      </c>
      <c r="G519" s="32">
        <v>8059</v>
      </c>
      <c r="H519" s="10">
        <v>1</v>
      </c>
      <c r="I519" s="11" cm="1">
        <f t="array" ref="I519">IF(D519="","",(G519*C519)*0.00075)</f>
        <v>5.4380117250000009</v>
      </c>
      <c r="J519" s="11" cm="1">
        <f t="array" ref="J519">IF(D519="","",(G519*D519)*0.00075)</f>
        <v>5.458562175</v>
      </c>
      <c r="K519" s="33" cm="1">
        <f t="array" ref="K519">IF(D519="","",J519+I519)</f>
        <v>10.8965739</v>
      </c>
      <c r="L519" s="33" cm="1">
        <f t="array" ref="L519">IF(D519=0,0,(D519-C519)*G519)</f>
        <v>27.400599999999667</v>
      </c>
      <c r="M519" s="12">
        <v>7217.8231378250002</v>
      </c>
      <c r="N519" s="34" cm="1">
        <f t="array" ref="N519">IFERROR((K519-J519)/J519,"–")</f>
        <v>0.99623518990145055</v>
      </c>
      <c r="O519" s="33" cm="1">
        <f t="array" ref="O519">IF(D519=0,0,L519-K519)</f>
        <v>16.504026099999667</v>
      </c>
      <c r="P519" s="11"/>
      <c r="Q519" s="35"/>
    </row>
    <row r="520" spans="1:17" ht="22.5" customHeight="1">
      <c r="A520" s="16" t="s">
        <v>156</v>
      </c>
      <c r="B520" s="43">
        <v>44436</v>
      </c>
      <c r="C520" s="37">
        <v>2.2949999999999999</v>
      </c>
      <c r="D520" s="37">
        <v>2.2879999999999998</v>
      </c>
      <c r="E520" s="19" cm="1">
        <f t="array" ref="E520">IF(D520="","",D520-C520)</f>
        <v>-7.0000000000001172E-3</v>
      </c>
      <c r="F520" s="20" cm="1">
        <f t="array" ref="F520">IF(D520=0,"",(D520-C520)/C520)</f>
        <v>-3.0501089324619247E-3</v>
      </c>
      <c r="G520" s="21">
        <v>871.4</v>
      </c>
      <c r="H520" s="22">
        <v>1</v>
      </c>
      <c r="I520" s="23" cm="1">
        <f t="array" ref="I520">IF(D520="","",(G520*C520)*0.00075)</f>
        <v>1.4998972499999998</v>
      </c>
      <c r="J520" s="23" cm="1">
        <f t="array" ref="J520">IF(D520="","",(G520*D520)*0.00075)</f>
        <v>1.4953223999999998</v>
      </c>
      <c r="K520" s="24" cm="1">
        <f t="array" ref="K520">IF(D520="","",J520+I520)</f>
        <v>2.9952196499999997</v>
      </c>
      <c r="L520" s="24" cm="1">
        <f t="array" ref="L520">IF(D520=0,0,(D520-C520)*G520)</f>
        <v>-6.0998000000001023</v>
      </c>
      <c r="M520" s="25">
        <v>2004.4674775999999</v>
      </c>
      <c r="N520" s="26" cm="1">
        <f t="array" ref="N520">IFERROR((K520-J520)/J520,"–")</f>
        <v>1.0030594405594406</v>
      </c>
      <c r="O520" s="24" cm="1">
        <f t="array" ref="O520">IF(D520=0,0,L520-K520)</f>
        <v>-9.0950196500001024</v>
      </c>
      <c r="P520" s="23"/>
      <c r="Q520" s="27"/>
    </row>
    <row r="521" spans="1:17" ht="22.5" customHeight="1">
      <c r="A521" s="16" t="s">
        <v>15</v>
      </c>
      <c r="B521" s="42">
        <v>44436</v>
      </c>
      <c r="C521" s="36">
        <v>5.7750000000000003E-2</v>
      </c>
      <c r="D521" s="36">
        <v>5.7180000000000002E-2</v>
      </c>
      <c r="E521" s="30" cm="1">
        <f t="array" ref="E521">IF(D521="","",D521-C521)</f>
        <v>-5.7000000000000106E-4</v>
      </c>
      <c r="F521" s="31" cm="1">
        <f t="array" ref="F521">IF(D521=0,"",(D521-C521)/C521)</f>
        <v>-9.8701298701298883E-3</v>
      </c>
      <c r="G521" s="32">
        <v>34632</v>
      </c>
      <c r="H521" s="10">
        <v>1</v>
      </c>
      <c r="I521" s="11" cm="1">
        <f t="array" ref="I521">IF(D521="","",(G521*C521)*0.00075)</f>
        <v>1.4999985</v>
      </c>
      <c r="J521" s="11" cm="1">
        <f t="array" ref="J521">IF(D521="","",(G521*D521)*0.00075)</f>
        <v>1.48519332</v>
      </c>
      <c r="K521" s="33" cm="1">
        <f t="array" ref="K521">IF(D521="","",J521+I521)</f>
        <v>2.9851918199999998</v>
      </c>
      <c r="L521" s="33" cm="1">
        <f t="array" ref="L521">IF(D521=0,0,(D521-C521)*G521)</f>
        <v>-19.740240000000036</v>
      </c>
      <c r="M521" s="12">
        <v>2018.2530466799999</v>
      </c>
      <c r="N521" s="34" cm="1">
        <f t="array" ref="N521">IFERROR((K521-J521)/J521,"–")</f>
        <v>1.0099685204616997</v>
      </c>
      <c r="O521" s="33" cm="1">
        <f t="array" ref="O521">IF(D521=0,0,L521-K521)</f>
        <v>-22.725431820000036</v>
      </c>
      <c r="P521" s="11"/>
      <c r="Q521" s="35"/>
    </row>
    <row r="522" spans="1:17" ht="22.5" customHeight="1">
      <c r="A522" s="16" t="s">
        <v>85</v>
      </c>
      <c r="B522" s="43">
        <v>44436</v>
      </c>
      <c r="C522" s="37">
        <v>2.036</v>
      </c>
      <c r="D522" s="37">
        <v>2.0510000000000002</v>
      </c>
      <c r="E522" s="19" cm="1">
        <f t="array" ref="E522">IF(D522="","",D522-C522)</f>
        <v>1.5000000000000124E-2</v>
      </c>
      <c r="F522" s="20" cm="1">
        <f t="array" ref="F522">IF(D522=0,"",(D522-C522)/C522)</f>
        <v>7.3673870333988822E-3</v>
      </c>
      <c r="G522" s="21">
        <v>3549.3</v>
      </c>
      <c r="H522" s="22">
        <v>1</v>
      </c>
      <c r="I522" s="23" cm="1">
        <f t="array" ref="I522">IF(D522="","",(G522*C522)*0.00075)</f>
        <v>5.4197811000000007</v>
      </c>
      <c r="J522" s="23" cm="1">
        <f t="array" ref="J522">IF(D522="","",(G522*D522)*0.00075)</f>
        <v>5.4597107250000008</v>
      </c>
      <c r="K522" s="24" cm="1">
        <f t="array" ref="K522">IF(D522="","",J522+I522)</f>
        <v>10.879491825000002</v>
      </c>
      <c r="L522" s="24" cm="1">
        <f t="array" ref="L522">IF(D522=0,0,(D522-C522)*G522)</f>
        <v>53.239500000000447</v>
      </c>
      <c r="M522" s="25">
        <v>7167.6755892749998</v>
      </c>
      <c r="N522" s="26" cm="1">
        <f t="array" ref="N522">IFERROR((K522-J522)/J522,"–")</f>
        <v>0.99268649439297918</v>
      </c>
      <c r="O522" s="24" cm="1">
        <f t="array" ref="O522">IF(D522=0,0,L522-K522)</f>
        <v>42.360008175000445</v>
      </c>
      <c r="P522" s="23"/>
      <c r="Q522" s="27"/>
    </row>
    <row r="523" spans="1:17" ht="22.5" customHeight="1">
      <c r="A523" s="16" t="s">
        <v>85</v>
      </c>
      <c r="B523" s="42">
        <v>44436</v>
      </c>
      <c r="C523" s="36">
        <v>2.036</v>
      </c>
      <c r="D523" s="36">
        <v>2.0550000000000002</v>
      </c>
      <c r="E523" s="30" cm="1">
        <f t="array" ref="E523">IF(D523="","",D523-C523)</f>
        <v>1.9000000000000128E-2</v>
      </c>
      <c r="F523" s="31" cm="1">
        <f t="array" ref="F523">IF(D523=0,"",(D523-C523)/C523)</f>
        <v>9.3320235756385699E-3</v>
      </c>
      <c r="G523" s="32">
        <v>2662</v>
      </c>
      <c r="H523" s="10">
        <v>1</v>
      </c>
      <c r="I523" s="11" cm="1">
        <f t="array" ref="I523">IF(D523="","",(G523*C523)*0.00075)</f>
        <v>4.0648740000000005</v>
      </c>
      <c r="J523" s="11" cm="1">
        <f t="array" ref="J523">IF(D523="","",(G523*D523)*0.00075)</f>
        <v>4.1028075000000008</v>
      </c>
      <c r="K523" s="33" cm="1">
        <f t="array" ref="K523">IF(D523="","",J523+I523)</f>
        <v>8.1676815000000005</v>
      </c>
      <c r="L523" s="33" cm="1">
        <f t="array" ref="L523">IF(D523=0,0,(D523-C523)*G523)</f>
        <v>50.578000000000344</v>
      </c>
      <c r="M523" s="12">
        <v>5365.1511925000004</v>
      </c>
      <c r="N523" s="34" cm="1">
        <f t="array" ref="N523">IFERROR((K523-J523)/J523,"–")</f>
        <v>0.99075425790754235</v>
      </c>
      <c r="O523" s="33" cm="1">
        <f t="array" ref="O523">IF(D523=0,0,L523-K523)</f>
        <v>42.410318500000344</v>
      </c>
      <c r="P523" s="11"/>
      <c r="Q523" s="35"/>
    </row>
    <row r="524" spans="1:17" ht="22.5" customHeight="1">
      <c r="A524" s="16" t="s">
        <v>85</v>
      </c>
      <c r="B524" s="43">
        <v>44436</v>
      </c>
      <c r="C524" s="37">
        <v>2.036</v>
      </c>
      <c r="D524" s="37">
        <v>2.0550000000000002</v>
      </c>
      <c r="E524" s="19" cm="1">
        <f t="array" ref="E524">IF(D524="","",D524-C524)</f>
        <v>1.9000000000000128E-2</v>
      </c>
      <c r="F524" s="20" cm="1">
        <f t="array" ref="F524">IF(D524=0,"",(D524-C524)/C524)</f>
        <v>9.3320235756385699E-3</v>
      </c>
      <c r="G524" s="21">
        <v>3993.1</v>
      </c>
      <c r="H524" s="22">
        <v>1</v>
      </c>
      <c r="I524" s="23" cm="1">
        <f t="array" ref="I524">IF(D524="","",(G524*C524)*0.00075)</f>
        <v>6.0974637000000005</v>
      </c>
      <c r="J524" s="23" cm="1">
        <f t="array" ref="J524">IF(D524="","",(G524*D524)*0.00075)</f>
        <v>6.1543653750000002</v>
      </c>
      <c r="K524" s="24" cm="1">
        <f t="array" ref="K524">IF(D524="","",J524+I524)</f>
        <v>12.251829075</v>
      </c>
      <c r="L524" s="24" cm="1">
        <f t="array" ref="L524">IF(D524=0,0,(D524-C524)*G524)</f>
        <v>75.868900000000508</v>
      </c>
      <c r="M524" s="25">
        <v>8047.9283346250004</v>
      </c>
      <c r="N524" s="26" cm="1">
        <f t="array" ref="N524">IFERROR((K524-J524)/J524,"–")</f>
        <v>0.99075425790754246</v>
      </c>
      <c r="O524" s="24" cm="1">
        <f t="array" ref="O524">IF(D524=0,0,L524-K524)</f>
        <v>63.617070925000505</v>
      </c>
      <c r="P524" s="23"/>
      <c r="Q524" s="27"/>
    </row>
    <row r="525" spans="1:17" ht="22.5" customHeight="1">
      <c r="A525" s="16" t="s">
        <v>85</v>
      </c>
      <c r="B525" s="42">
        <v>44436</v>
      </c>
      <c r="C525" s="36">
        <v>2.036</v>
      </c>
      <c r="D525" s="36">
        <v>2.0499999999999998</v>
      </c>
      <c r="E525" s="30" cm="1">
        <f t="array" ref="E525">IF(D525="","",D525-C525)</f>
        <v>1.399999999999979E-2</v>
      </c>
      <c r="F525" s="31" cm="1">
        <f t="array" ref="F525">IF(D525=0,"",(D525-C525)/C525)</f>
        <v>6.8762278978387967E-3</v>
      </c>
      <c r="G525" s="32">
        <v>1996.5</v>
      </c>
      <c r="H525" s="10">
        <v>1</v>
      </c>
      <c r="I525" s="11" cm="1">
        <f t="array" ref="I525">IF(D525="","",(G525*C525)*0.00075)</f>
        <v>3.0486555000000002</v>
      </c>
      <c r="J525" s="11" cm="1">
        <f t="array" ref="J525">IF(D525="","",(G525*D525)*0.00075)</f>
        <v>3.0696187500000001</v>
      </c>
      <c r="K525" s="33" cm="1">
        <f t="array" ref="K525">IF(D525="","",J525+I525)</f>
        <v>6.1182742500000007</v>
      </c>
      <c r="L525" s="33" cm="1">
        <f t="array" ref="L525">IF(D525=0,0,(D525-C525)*G525)</f>
        <v>27.950999999999581</v>
      </c>
      <c r="M525" s="12">
        <v>4033.85338125</v>
      </c>
      <c r="N525" s="34" cm="1">
        <f t="array" ref="N525">IFERROR((K525-J525)/J525,"–")</f>
        <v>0.99317073170731729</v>
      </c>
      <c r="O525" s="33" cm="1">
        <f t="array" ref="O525">IF(D525=0,0,L525-K525)</f>
        <v>21.832725749999582</v>
      </c>
      <c r="P525" s="11"/>
      <c r="Q525" s="35"/>
    </row>
    <row r="526" spans="1:17" ht="22.5" customHeight="1">
      <c r="A526" s="16" t="s">
        <v>85</v>
      </c>
      <c r="B526" s="43">
        <v>44436</v>
      </c>
      <c r="C526" s="37">
        <v>2.036</v>
      </c>
      <c r="D526" s="37">
        <v>2.0619999999999998</v>
      </c>
      <c r="E526" s="19" cm="1">
        <f t="array" ref="E526">IF(D526="","",D526-C526)</f>
        <v>2.5999999999999801E-2</v>
      </c>
      <c r="F526" s="20" cm="1">
        <f t="array" ref="F526">IF(D526=0,"",(D526-C526)/C526)</f>
        <v>1.2770137524557858E-2</v>
      </c>
      <c r="G526" s="21">
        <v>1996.6</v>
      </c>
      <c r="H526" s="22">
        <v>1</v>
      </c>
      <c r="I526" s="23" cm="1">
        <f t="array" ref="I526">IF(D526="","",(G526*C526)*0.00075)</f>
        <v>3.0488082000000003</v>
      </c>
      <c r="J526" s="23" cm="1">
        <f t="array" ref="J526">IF(D526="","",(G526*D526)*0.00075)</f>
        <v>3.0877418999999993</v>
      </c>
      <c r="K526" s="24" cm="1">
        <f t="array" ref="K526">IF(D526="","",J526+I526)</f>
        <v>6.1365500999999991</v>
      </c>
      <c r="L526" s="24" cm="1">
        <f t="array" ref="L526">IF(D526=0,0,(D526-C526)*G526)</f>
        <v>51.911599999999602</v>
      </c>
      <c r="M526" s="25">
        <v>4010.0782580999999</v>
      </c>
      <c r="N526" s="26" cm="1">
        <f t="array" ref="N526">IFERROR((K526-J526)/J526,"–")</f>
        <v>0.98739088263821551</v>
      </c>
      <c r="O526" s="24" cm="1">
        <f t="array" ref="O526">IF(D526=0,0,L526-K526)</f>
        <v>45.775049899999601</v>
      </c>
      <c r="P526" s="23"/>
      <c r="Q526" s="27"/>
    </row>
    <row r="527" spans="1:17" ht="22.5" customHeight="1">
      <c r="A527" s="16" t="s">
        <v>159</v>
      </c>
      <c r="B527" s="42">
        <v>44436</v>
      </c>
      <c r="C527" s="36">
        <v>27.94</v>
      </c>
      <c r="D527" s="36">
        <v>28.3</v>
      </c>
      <c r="E527" s="30" cm="1">
        <f t="array" ref="E527">IF(D527="","",D527-C527)</f>
        <v>0.35999999999999943</v>
      </c>
      <c r="F527" s="31" cm="1">
        <f t="array" ref="F527">IF(D527=0,"",(D527-C527)/C527)</f>
        <v>1.2884753042233335E-2</v>
      </c>
      <c r="G527" s="32">
        <v>665.79</v>
      </c>
      <c r="H527" s="10">
        <v>1</v>
      </c>
      <c r="I527" s="11" cm="1">
        <f t="array" ref="I527">IF(D527="","",(G527*C527)*0.00075)</f>
        <v>13.951629449999999</v>
      </c>
      <c r="J527" s="11" cm="1">
        <f t="array" ref="J527">IF(D527="","",(G527*D527)*0.00075)</f>
        <v>14.13139275</v>
      </c>
      <c r="K527" s="33" cm="1">
        <f t="array" ref="K527">IF(D527="","",J527+I527)</f>
        <v>28.083022199999998</v>
      </c>
      <c r="L527" s="33" cm="1">
        <f t="array" ref="L527">IF(D527=0,0,(D527-C527)*G527)</f>
        <v>239.68439999999961</v>
      </c>
      <c r="M527" s="12">
        <v>18348.356807249998</v>
      </c>
      <c r="N527" s="34" cm="1">
        <f t="array" ref="N527">IFERROR((K527-J527)/J527,"–")</f>
        <v>0.98727915194346283</v>
      </c>
      <c r="O527" s="33" cm="1">
        <f t="array" ref="O527">IF(D527=0,0,L527-K527)</f>
        <v>211.60137779999963</v>
      </c>
      <c r="P527" s="11"/>
      <c r="Q527" s="35"/>
    </row>
    <row r="528" spans="1:17" ht="22.5" customHeight="1">
      <c r="A528" s="16" t="s">
        <v>160</v>
      </c>
      <c r="B528" s="43">
        <v>44436</v>
      </c>
      <c r="C528" s="37">
        <v>3.2919999999999998E-2</v>
      </c>
      <c r="D528" s="37">
        <v>3.32E-2</v>
      </c>
      <c r="E528" s="19" cm="1">
        <f t="array" ref="E528">IF(D528="","",D528-C528)</f>
        <v>2.8000000000000247E-4</v>
      </c>
      <c r="F528" s="20" cm="1">
        <f t="array" ref="F528">IF(D528=0,"",(D528-C528)/C528)</f>
        <v>8.5054678007291159E-3</v>
      </c>
      <c r="G528" s="21">
        <v>440532</v>
      </c>
      <c r="H528" s="22">
        <v>1</v>
      </c>
      <c r="I528" s="23" cm="1">
        <f t="array" ref="I528">IF(D528="","",(G528*C528)*0.00075)</f>
        <v>10.87673508</v>
      </c>
      <c r="J528" s="23" cm="1">
        <f t="array" ref="J528">IF(D528="","",(G528*D528)*0.00075)</f>
        <v>10.969246800000001</v>
      </c>
      <c r="K528" s="24" cm="1">
        <f t="array" ref="K528">IF(D528="","",J528+I528)</f>
        <v>21.84598188</v>
      </c>
      <c r="L528" s="24" cm="1">
        <f t="array" ref="L528">IF(D528=0,0,(D528-C528)*G528)</f>
        <v>123.34896000000109</v>
      </c>
      <c r="M528" s="25">
        <v>14367.995233199999</v>
      </c>
      <c r="N528" s="26" cm="1">
        <f t="array" ref="N528">IFERROR((K528-J528)/J528,"–")</f>
        <v>0.99156626506024093</v>
      </c>
      <c r="O528" s="24" cm="1">
        <f t="array" ref="O528">IF(D528=0,0,L528-K528)</f>
        <v>101.50297812000109</v>
      </c>
      <c r="P528" s="23"/>
      <c r="Q528" s="27"/>
    </row>
    <row r="529" spans="1:17" ht="22.5" customHeight="1">
      <c r="A529" s="16" t="s">
        <v>160</v>
      </c>
      <c r="B529" s="42">
        <v>44436</v>
      </c>
      <c r="C529" s="36">
        <v>3.2919999999999998E-2</v>
      </c>
      <c r="D529" s="36">
        <v>3.3000000000000002E-2</v>
      </c>
      <c r="E529" s="30" cm="1">
        <f t="array" ref="E529">IF(D529="","",D529-C529)</f>
        <v>8.0000000000003679E-5</v>
      </c>
      <c r="F529" s="31" cm="1">
        <f t="array" ref="F529">IF(D529=0,"",(D529-C529)/C529)</f>
        <v>2.4301336573512664E-3</v>
      </c>
      <c r="G529" s="32">
        <v>440532</v>
      </c>
      <c r="H529" s="10">
        <v>1</v>
      </c>
      <c r="I529" s="11" cm="1">
        <f t="array" ref="I529">IF(D529="","",(G529*C529)*0.00075)</f>
        <v>10.87673508</v>
      </c>
      <c r="J529" s="11" cm="1">
        <f t="array" ref="J529">IF(D529="","",(G529*D529)*0.00075)</f>
        <v>10.903167</v>
      </c>
      <c r="K529" s="33" cm="1">
        <f t="array" ref="K529">IF(D529="","",J529+I529)</f>
        <v>21.779902079999999</v>
      </c>
      <c r="L529" s="33" cm="1">
        <f t="array" ref="L529">IF(D529=0,0,(D529-C529)*G529)</f>
        <v>35.242560000001617</v>
      </c>
      <c r="M529" s="12">
        <v>14456.167713000001</v>
      </c>
      <c r="N529" s="34" cm="1">
        <f t="array" ref="N529">IFERROR((K529-J529)/J529,"–")</f>
        <v>0.99757575757575756</v>
      </c>
      <c r="O529" s="33" cm="1">
        <f t="array" ref="O529">IF(D529=0,0,L529-K529)</f>
        <v>13.462657920001618</v>
      </c>
      <c r="P529" s="11"/>
      <c r="Q529" s="35"/>
    </row>
    <row r="530" spans="1:17" ht="22.5" customHeight="1">
      <c r="A530" s="16" t="s">
        <v>160</v>
      </c>
      <c r="B530" s="43">
        <v>44436</v>
      </c>
      <c r="C530" s="37">
        <v>3.356E-2</v>
      </c>
      <c r="D530" s="37">
        <v>3.3739999999999999E-2</v>
      </c>
      <c r="E530" s="19" cm="1">
        <f t="array" ref="E530">IF(D530="","",D530-C530)</f>
        <v>1.799999999999996E-4</v>
      </c>
      <c r="F530" s="20" cm="1">
        <f t="array" ref="F530">IF(D530=0,"",(D530-C530)/C530)</f>
        <v>5.3635280095351489E-3</v>
      </c>
      <c r="G530" s="21">
        <v>418701</v>
      </c>
      <c r="H530" s="22">
        <v>1</v>
      </c>
      <c r="I530" s="23" cm="1">
        <f t="array" ref="I530">IF(D530="","",(G530*C530)*0.00075)</f>
        <v>10.538704170000001</v>
      </c>
      <c r="J530" s="23" cm="1">
        <f t="array" ref="J530">IF(D530="","",(G530*D530)*0.00075)</f>
        <v>10.595228805</v>
      </c>
      <c r="K530" s="24" cm="1">
        <f t="array" ref="K530">IF(D530="","",J530+I530)</f>
        <v>21.133932975</v>
      </c>
      <c r="L530" s="24" cm="1">
        <f t="array" ref="L530">IF(D530=0,0,(D530-C530)*G530)</f>
        <v>75.366179999999829</v>
      </c>
      <c r="M530" s="25">
        <v>13965.644151195</v>
      </c>
      <c r="N530" s="26" cm="1">
        <f t="array" ref="N530">IFERROR((K530-J530)/J530,"–")</f>
        <v>0.99466508595139314</v>
      </c>
      <c r="O530" s="24" cm="1">
        <f t="array" ref="O530">IF(D530=0,0,L530-K530)</f>
        <v>54.232247024999829</v>
      </c>
      <c r="P530" s="23"/>
      <c r="Q530" s="27"/>
    </row>
    <row r="531" spans="1:17" ht="22.5" customHeight="1">
      <c r="A531" s="16" t="s">
        <v>160</v>
      </c>
      <c r="B531" s="42">
        <v>44436</v>
      </c>
      <c r="C531" s="36">
        <v>3.356E-2</v>
      </c>
      <c r="D531" s="36">
        <v>3.3410000000000002E-2</v>
      </c>
      <c r="E531" s="30" cm="1">
        <f t="array" ref="E531">IF(D531="","",D531-C531)</f>
        <v>-1.4999999999999736E-4</v>
      </c>
      <c r="F531" s="31" cm="1">
        <f t="array" ref="F531">IF(D531=0,"",(D531-C531)/C531)</f>
        <v>-4.4696066746125552E-3</v>
      </c>
      <c r="G531" s="32">
        <v>216072</v>
      </c>
      <c r="H531" s="10">
        <v>1</v>
      </c>
      <c r="I531" s="11" cm="1">
        <f t="array" ref="I531">IF(D531="","",(G531*C531)*0.00075)</f>
        <v>5.4385322400000007</v>
      </c>
      <c r="J531" s="11" cm="1">
        <f t="array" ref="J531">IF(D531="","",(G531*D531)*0.00075)</f>
        <v>5.4142241400000009</v>
      </c>
      <c r="K531" s="33" cm="1">
        <f t="array" ref="K531">IF(D531="","",J531+I531)</f>
        <v>10.852756380000002</v>
      </c>
      <c r="L531" s="33" cm="1">
        <f t="array" ref="L531">IF(D531=0,0,(D531-C531)*G531)</f>
        <v>-32.410799999999426</v>
      </c>
      <c r="M531" s="12">
        <v>7278.3728958600004</v>
      </c>
      <c r="N531" s="34" cm="1">
        <f t="array" ref="N531">IFERROR((K531-J531)/J531,"–")</f>
        <v>1.0044896737503743</v>
      </c>
      <c r="O531" s="33" cm="1">
        <f t="array" ref="O531">IF(D531=0,0,L531-K531)</f>
        <v>-43.263556379999429</v>
      </c>
      <c r="P531" s="11"/>
      <c r="Q531" s="35"/>
    </row>
    <row r="532" spans="1:17" ht="22.5" customHeight="1">
      <c r="A532" s="16" t="s">
        <v>160</v>
      </c>
      <c r="B532" s="43">
        <v>44436</v>
      </c>
      <c r="C532" s="37">
        <v>3.356E-2</v>
      </c>
      <c r="D532" s="37">
        <v>3.3349999999999998E-2</v>
      </c>
      <c r="E532" s="19" cm="1">
        <f t="array" ref="E532">IF(D532="","",D532-C532)</f>
        <v>-2.1000000000000185E-4</v>
      </c>
      <c r="F532" s="20" cm="1">
        <f t="array" ref="F532">IF(D532=0,"",(D532-C532)/C532)</f>
        <v>-6.2574493444577427E-3</v>
      </c>
      <c r="G532" s="21">
        <v>34570</v>
      </c>
      <c r="H532" s="22">
        <v>1</v>
      </c>
      <c r="I532" s="23" cm="1">
        <f t="array" ref="I532">IF(D532="","",(G532*C532)*0.00075)</f>
        <v>0.87012690000000004</v>
      </c>
      <c r="J532" s="23" cm="1">
        <f t="array" ref="J532">IF(D532="","",(G532*D532)*0.00075)</f>
        <v>0.86468212499999997</v>
      </c>
      <c r="K532" s="24" cm="1">
        <f t="array" ref="K532">IF(D532="","",J532+I532)</f>
        <v>1.7348090250000001</v>
      </c>
      <c r="L532" s="24" cm="1">
        <f t="array" ref="L532">IF(D532=0,0,(D532-C532)*G532)</f>
        <v>-7.2597000000000644</v>
      </c>
      <c r="M532" s="25">
        <v>1166.5642178749999</v>
      </c>
      <c r="N532" s="26" cm="1">
        <f t="array" ref="N532">IFERROR((K532-J532)/J532,"–")</f>
        <v>1.006296851574213</v>
      </c>
      <c r="O532" s="24" cm="1">
        <f t="array" ref="O532">IF(D532=0,0,L532-K532)</f>
        <v>-8.994509025000065</v>
      </c>
      <c r="P532" s="23"/>
      <c r="Q532" s="27"/>
    </row>
    <row r="533" spans="1:17" ht="22.5" customHeight="1">
      <c r="A533" s="16" t="s">
        <v>160</v>
      </c>
      <c r="B533" s="42">
        <v>44436</v>
      </c>
      <c r="C533" s="36">
        <v>3.356E-2</v>
      </c>
      <c r="D533" s="36">
        <v>3.3349999999999998E-2</v>
      </c>
      <c r="E533" s="30" cm="1">
        <f t="array" ref="E533">IF(D533="","",D533-C533)</f>
        <v>-2.1000000000000185E-4</v>
      </c>
      <c r="F533" s="31" cm="1">
        <f t="array" ref="F533">IF(D533=0,"",(D533-C533)/C533)</f>
        <v>-6.2574493444577427E-3</v>
      </c>
      <c r="G533" s="32">
        <v>194947</v>
      </c>
      <c r="H533" s="10">
        <v>1</v>
      </c>
      <c r="I533" s="11" cm="1">
        <f t="array" ref="I533">IF(D533="","",(G533*C533)*0.00075)</f>
        <v>4.9068159900000001</v>
      </c>
      <c r="J533" s="11" cm="1">
        <f t="array" ref="J533">IF(D533="","",(G533*D533)*0.00075)</f>
        <v>4.8761118374999999</v>
      </c>
      <c r="K533" s="33" cm="1">
        <f t="array" ref="K533">IF(D533="","",J533+I533)</f>
        <v>9.7829278275</v>
      </c>
      <c r="L533" s="33" cm="1">
        <f t="array" ref="L533">IF(D533=0,0,(D533-C533)*G533)</f>
        <v>-40.938870000000364</v>
      </c>
      <c r="M533" s="12">
        <v>6578.4840781624998</v>
      </c>
      <c r="N533" s="34" cm="1">
        <f t="array" ref="N533">IFERROR((K533-J533)/J533,"–")</f>
        <v>1.006296851574213</v>
      </c>
      <c r="O533" s="33" cm="1">
        <f t="array" ref="O533">IF(D533=0,0,L533-K533)</f>
        <v>-50.721797827500367</v>
      </c>
      <c r="P533" s="11"/>
      <c r="Q533" s="35"/>
    </row>
    <row r="534" spans="1:17" ht="22.5" customHeight="1">
      <c r="A534" s="16" t="s">
        <v>161</v>
      </c>
      <c r="B534" s="43">
        <v>44436</v>
      </c>
      <c r="C534" s="37">
        <v>1.1178E-2</v>
      </c>
      <c r="D534" s="37">
        <v>1.1305000000000001E-2</v>
      </c>
      <c r="E534" s="19" cm="1">
        <f t="array" ref="E534">IF(D534="","",D534-C534)</f>
        <v>1.2700000000000038E-4</v>
      </c>
      <c r="F534" s="20" cm="1">
        <f t="array" ref="F534">IF(D534=0,"",(D534-C534)/C534)</f>
        <v>1.1361603149042795E-2</v>
      </c>
      <c r="G534" s="21">
        <v>1297234</v>
      </c>
      <c r="H534" s="22">
        <v>1</v>
      </c>
      <c r="I534" s="23" cm="1">
        <f t="array" ref="I534">IF(D534="","",(G534*C534)*0.00075)</f>
        <v>10.875361239</v>
      </c>
      <c r="J534" s="23" cm="1">
        <f t="array" ref="J534">IF(D534="","",(G534*D534)*0.00075)</f>
        <v>10.998922777500001</v>
      </c>
      <c r="K534" s="24" cm="1">
        <f t="array" ref="K534">IF(D534="","",J534+I534)</f>
        <v>21.874284016499999</v>
      </c>
      <c r="L534" s="24" cm="1">
        <f t="array" ref="L534">IF(D534=0,0,(D534-C534)*G534)</f>
        <v>164.74871800000048</v>
      </c>
      <c r="M534" s="25">
        <v>14324.734011222499</v>
      </c>
      <c r="N534" s="26" cm="1">
        <f t="array" ref="N534">IFERROR((K534-J534)/J534,"–")</f>
        <v>0.98876603272888086</v>
      </c>
      <c r="O534" s="24" cm="1">
        <f t="array" ref="O534">IF(D534=0,0,L534-K534)</f>
        <v>142.87443398350047</v>
      </c>
      <c r="P534" s="23"/>
      <c r="Q534" s="27"/>
    </row>
    <row r="535" spans="1:17" ht="22.5" customHeight="1">
      <c r="A535" s="16" t="s">
        <v>161</v>
      </c>
      <c r="B535" s="42">
        <v>44436</v>
      </c>
      <c r="C535" s="36">
        <v>1.1178E-2</v>
      </c>
      <c r="D535" s="36">
        <v>1.1364000000000001E-2</v>
      </c>
      <c r="E535" s="30" cm="1">
        <f t="array" ref="E535">IF(D535="","",D535-C535)</f>
        <v>1.860000000000004E-4</v>
      </c>
      <c r="F535" s="31" cm="1">
        <f t="array" ref="F535">IF(D535=0,"",(D535-C535)/C535)</f>
        <v>1.6639828234031168E-2</v>
      </c>
      <c r="G535" s="32">
        <v>1297235</v>
      </c>
      <c r="H535" s="10">
        <v>1</v>
      </c>
      <c r="I535" s="11" cm="1">
        <f t="array" ref="I535">IF(D535="","",(G535*C535)*0.00075)</f>
        <v>10.875369622500001</v>
      </c>
      <c r="J535" s="11" cm="1">
        <f t="array" ref="J535">IF(D535="","",(G535*D535)*0.00075)</f>
        <v>11.056333905000001</v>
      </c>
      <c r="K535" s="33" cm="1">
        <f t="array" ref="K535">IF(D535="","",J535+I535)</f>
        <v>21.931703527500002</v>
      </c>
      <c r="L535" s="33" cm="1">
        <f t="array" ref="L535">IF(D535=0,0,(D535-C535)*G535)</f>
        <v>241.28571000000051</v>
      </c>
      <c r="M535" s="12">
        <v>14248.150786095001</v>
      </c>
      <c r="N535" s="34" cm="1">
        <f t="array" ref="N535">IFERROR((K535-J535)/J535,"–")</f>
        <v>0.98363252375923971</v>
      </c>
      <c r="O535" s="33" cm="1">
        <f t="array" ref="O535">IF(D535=0,0,L535-K535)</f>
        <v>219.35400647250052</v>
      </c>
      <c r="P535" s="11"/>
      <c r="Q535" s="35"/>
    </row>
    <row r="536" spans="1:17" ht="22.5" customHeight="1">
      <c r="A536" s="16" t="s">
        <v>140</v>
      </c>
      <c r="B536" s="43">
        <v>44437</v>
      </c>
      <c r="C536" s="37">
        <v>12.243</v>
      </c>
      <c r="D536" s="37">
        <v>12.33</v>
      </c>
      <c r="E536" s="19" cm="1">
        <f t="array" ref="E536">IF(D536="","",D536-C536)</f>
        <v>8.6999999999999744E-2</v>
      </c>
      <c r="F536" s="20" cm="1">
        <f t="array" ref="F536">IF(D536=0,"",(D536-C536)/C536)</f>
        <v>7.1061014457240662E-3</v>
      </c>
      <c r="G536" s="21">
        <v>526.4</v>
      </c>
      <c r="H536" s="22">
        <v>1</v>
      </c>
      <c r="I536" s="23" cm="1">
        <f t="array" ref="I536">IF(D536="","",(G536*C536)*0.00075)</f>
        <v>4.8335363999999998</v>
      </c>
      <c r="J536" s="23" cm="1">
        <f t="array" ref="J536">IF(D536="","",(G536*D536)*0.00075)</f>
        <v>4.8678840000000001</v>
      </c>
      <c r="K536" s="24" cm="1">
        <f t="array" ref="K536">IF(D536="","",J536+I536)</f>
        <v>9.7014203999999999</v>
      </c>
      <c r="L536" s="24" cm="1">
        <f t="array" ref="L536">IF(D536=0,0,(D536-C536)*G536)</f>
        <v>45.796799999999863</v>
      </c>
      <c r="M536" s="25">
        <v>6394.0505160000002</v>
      </c>
      <c r="N536" s="26" cm="1">
        <f t="array" ref="N536">IFERROR((K536-J536)/J536,"–")</f>
        <v>0.99294403892944039</v>
      </c>
      <c r="O536" s="24" cm="1">
        <f t="array" ref="O536">IF(D536=0,0,L536-K536)</f>
        <v>36.095379599999859</v>
      </c>
      <c r="P536" s="23"/>
      <c r="Q536" s="27"/>
    </row>
    <row r="537" spans="1:17" ht="22.5" customHeight="1">
      <c r="A537" s="16" t="s">
        <v>140</v>
      </c>
      <c r="B537" s="42">
        <v>44437</v>
      </c>
      <c r="C537" s="36">
        <v>12.243</v>
      </c>
      <c r="D537" s="36">
        <v>12.311999999999999</v>
      </c>
      <c r="E537" s="30" cm="1">
        <f t="array" ref="E537">IF(D537="","",D537-C537)</f>
        <v>6.8999999999999062E-2</v>
      </c>
      <c r="F537" s="31" cm="1">
        <f t="array" ref="F537">IF(D537=0,"",(D537-C537)/C537)</f>
        <v>5.6358735604017853E-3</v>
      </c>
      <c r="G537" s="32">
        <v>408.4</v>
      </c>
      <c r="H537" s="10">
        <v>1</v>
      </c>
      <c r="I537" s="11" cm="1">
        <f t="array" ref="I537">IF(D537="","",(G537*C537)*0.00075)</f>
        <v>3.7500308999999996</v>
      </c>
      <c r="J537" s="11" cm="1">
        <f t="array" ref="J537">IF(D537="","",(G537*D537)*0.00075)</f>
        <v>3.7711655999999993</v>
      </c>
      <c r="K537" s="33" cm="1">
        <f t="array" ref="K537">IF(D537="","",J537+I537)</f>
        <v>7.5211964999999985</v>
      </c>
      <c r="L537" s="33" cm="1">
        <f t="array" ref="L537">IF(D537=0,0,(D537-C537)*G537)</f>
        <v>28.179599999999617</v>
      </c>
      <c r="M537" s="12">
        <v>4968.0904344</v>
      </c>
      <c r="N537" s="34" cm="1">
        <f t="array" ref="N537">IFERROR((K537-J537)/J537,"–")</f>
        <v>0.99439571150097461</v>
      </c>
      <c r="O537" s="33" cm="1">
        <f t="array" ref="O537">IF(D537=0,0,L537-K537)</f>
        <v>20.658403499999618</v>
      </c>
      <c r="P537" s="11"/>
      <c r="Q537" s="35"/>
    </row>
    <row r="538" spans="1:17" ht="22.5" customHeight="1">
      <c r="A538" s="16" t="s">
        <v>140</v>
      </c>
      <c r="B538" s="43">
        <v>44437</v>
      </c>
      <c r="C538" s="37">
        <v>12.243</v>
      </c>
      <c r="D538" s="37">
        <v>12.22</v>
      </c>
      <c r="E538" s="19" cm="1">
        <f t="array" ref="E538">IF(D538="","",D538-C538)</f>
        <v>-2.2999999999999687E-2</v>
      </c>
      <c r="F538" s="20" cm="1">
        <f t="array" ref="F538">IF(D538=0,"",(D538-C538)/C538)</f>
        <v>-1.8786245201339285E-3</v>
      </c>
      <c r="G538" s="21">
        <v>349.4</v>
      </c>
      <c r="H538" s="22">
        <v>1</v>
      </c>
      <c r="I538" s="23" cm="1">
        <f t="array" ref="I538">IF(D538="","",(G538*C538)*0.00075)</f>
        <v>3.2082781500000004</v>
      </c>
      <c r="J538" s="23" cm="1">
        <f t="array" ref="J538">IF(D538="","",(G538*D538)*0.00075)</f>
        <v>3.202251</v>
      </c>
      <c r="K538" s="24" cm="1">
        <f t="array" ref="K538">IF(D538="","",J538+I538)</f>
        <v>6.4105291500000003</v>
      </c>
      <c r="L538" s="24" cm="1">
        <f t="array" ref="L538">IF(D538=0,0,(D538-C538)*G538)</f>
        <v>-8.0361999999998908</v>
      </c>
      <c r="M538" s="25">
        <v>4282.538149</v>
      </c>
      <c r="N538" s="26" cm="1">
        <f t="array" ref="N538">IFERROR((K538-J538)/J538,"–")</f>
        <v>1.0018821603927988</v>
      </c>
      <c r="O538" s="24" cm="1">
        <f t="array" ref="O538">IF(D538=0,0,L538-K538)</f>
        <v>-14.446729149999891</v>
      </c>
      <c r="P538" s="23"/>
      <c r="Q538" s="27"/>
    </row>
    <row r="539" spans="1:17" ht="22.5" customHeight="1">
      <c r="A539" s="16" t="s">
        <v>140</v>
      </c>
      <c r="B539" s="42">
        <v>44437</v>
      </c>
      <c r="C539" s="36">
        <v>12.243</v>
      </c>
      <c r="D539" s="36">
        <v>12.19</v>
      </c>
      <c r="E539" s="30" cm="1">
        <f t="array" ref="E539">IF(D539="","",D539-C539)</f>
        <v>-5.3000000000000824E-2</v>
      </c>
      <c r="F539" s="31" cm="1">
        <f t="array" ref="F539">IF(D539=0,"",(D539-C539)/C539)</f>
        <v>-4.3290043290043958E-3</v>
      </c>
      <c r="G539" s="32">
        <v>349.4</v>
      </c>
      <c r="H539" s="10">
        <v>1</v>
      </c>
      <c r="I539" s="11" cm="1">
        <f t="array" ref="I539">IF(D539="","",(G539*C539)*0.00075)</f>
        <v>3.2082781500000004</v>
      </c>
      <c r="J539" s="11" cm="1">
        <f t="array" ref="J539">IF(D539="","",(G539*D539)*0.00075)</f>
        <v>3.1943894999999998</v>
      </c>
      <c r="K539" s="33" cm="1">
        <f t="array" ref="K539">IF(D539="","",J539+I539)</f>
        <v>6.4026676499999997</v>
      </c>
      <c r="L539" s="33" cm="1">
        <f t="array" ref="L539">IF(D539=0,0,(D539-C539)*G539)</f>
        <v>-18.518200000000288</v>
      </c>
      <c r="M539" s="12">
        <v>4293.0280105000002</v>
      </c>
      <c r="N539" s="34" cm="1">
        <f t="array" ref="N539">IFERROR((K539-J539)/J539,"–")</f>
        <v>1.0043478260869565</v>
      </c>
      <c r="O539" s="33" cm="1">
        <f t="array" ref="O539">IF(D539=0,0,L539-K539)</f>
        <v>-24.920867650000289</v>
      </c>
      <c r="P539" s="11"/>
      <c r="Q539" s="35"/>
    </row>
    <row r="540" spans="1:17" ht="22.5" customHeight="1">
      <c r="A540" s="16" t="s">
        <v>140</v>
      </c>
      <c r="B540" s="43">
        <v>44437</v>
      </c>
      <c r="C540" s="37">
        <v>12.5</v>
      </c>
      <c r="D540" s="37">
        <v>12.500999999999999</v>
      </c>
      <c r="E540" s="19" cm="1">
        <f t="array" ref="E540">IF(D540="","",D540-C540)</f>
        <v>9.9999999999944578E-4</v>
      </c>
      <c r="F540" s="20" cm="1">
        <f t="array" ref="F540">IF(D540=0,"",(D540-C540)/C540)</f>
        <v>7.9999999999955663E-5</v>
      </c>
      <c r="G540" s="21">
        <v>2320</v>
      </c>
      <c r="H540" s="22">
        <v>1</v>
      </c>
      <c r="I540" s="23" cm="1">
        <f t="array" ref="I540">IF(D540="","",(G540*C540)*0.00075)</f>
        <v>21.75</v>
      </c>
      <c r="J540" s="23" cm="1">
        <f t="array" ref="J540">IF(D540="","",(G540*D540)*0.00075)</f>
        <v>21.751740000000002</v>
      </c>
      <c r="K540" s="24" cm="1">
        <f t="array" ref="K540">IF(D540="","",J540+I540)</f>
        <v>43.501739999999998</v>
      </c>
      <c r="L540" s="24" cm="1">
        <f t="array" ref="L540">IF(D540=0,0,(D540-C540)*G540)</f>
        <v>2.3199999999987142</v>
      </c>
      <c r="M540" s="25">
        <v>28975.928260000001</v>
      </c>
      <c r="N540" s="26" cm="1">
        <f t="array" ref="N540">IFERROR((K540-J540)/J540,"–")</f>
        <v>0.99992000639948775</v>
      </c>
      <c r="O540" s="24" cm="1">
        <f t="array" ref="O540">IF(D540=0,0,L540-K540)</f>
        <v>-41.181740000001284</v>
      </c>
      <c r="P540" s="23"/>
      <c r="Q540" s="27"/>
    </row>
    <row r="541" spans="1:17" ht="22.5" customHeight="1">
      <c r="A541" s="16" t="s">
        <v>162</v>
      </c>
      <c r="B541" s="42">
        <v>44437</v>
      </c>
      <c r="C541" s="36">
        <v>12.63</v>
      </c>
      <c r="D541" s="36">
        <v>12.45</v>
      </c>
      <c r="E541" s="30" cm="1">
        <f t="array" ref="E541">IF(D541="","",D541-C541)</f>
        <v>-0.18000000000000149</v>
      </c>
      <c r="F541" s="31" cm="1">
        <f t="array" ref="F541">IF(D541=0,"",(D541-C541)/C541)</f>
        <v>-1.4251781472684202E-2</v>
      </c>
      <c r="G541" s="32">
        <v>1148.8399999999999</v>
      </c>
      <c r="H541" s="10">
        <v>1</v>
      </c>
      <c r="I541" s="11" cm="1">
        <f t="array" ref="I541">IF(D541="","",(G541*C541)*0.00075)</f>
        <v>10.8823869</v>
      </c>
      <c r="J541" s="11" cm="1">
        <f t="array" ref="J541">IF(D541="","",(G541*D541)*0.00075)</f>
        <v>10.727293499999998</v>
      </c>
      <c r="K541" s="33" cm="1">
        <f t="array" ref="K541">IF(D541="","",J541+I541)</f>
        <v>21.609680399999998</v>
      </c>
      <c r="L541" s="33" cm="1">
        <f t="array" ref="L541">IF(D541=0,0,(D541-C541)*G541)</f>
        <v>-206.79120000000171</v>
      </c>
      <c r="M541" s="12">
        <v>14705.9131065</v>
      </c>
      <c r="N541" s="34" cm="1">
        <f t="array" ref="N541">IFERROR((K541-J541)/J541,"–")</f>
        <v>1.0144578313253014</v>
      </c>
      <c r="O541" s="33" cm="1">
        <f t="array" ref="O541">IF(D541=0,0,L541-K541)</f>
        <v>-228.40088040000171</v>
      </c>
      <c r="P541" s="11"/>
      <c r="Q541" s="35"/>
    </row>
    <row r="542" spans="1:17" ht="22.5" customHeight="1">
      <c r="A542" s="16" t="s">
        <v>162</v>
      </c>
      <c r="B542" s="43">
        <v>44437</v>
      </c>
      <c r="C542" s="37">
        <v>12.63</v>
      </c>
      <c r="D542" s="37">
        <v>12.5</v>
      </c>
      <c r="E542" s="19" cm="1">
        <f t="array" ref="E542">IF(D542="","",D542-C542)</f>
        <v>-0.13000000000000078</v>
      </c>
      <c r="F542" s="20" cm="1">
        <f t="array" ref="F542">IF(D542=0,"",(D542-C542)/C542)</f>
        <v>-1.0292953285827456E-2</v>
      </c>
      <c r="G542" s="21">
        <v>1148.8399999999999</v>
      </c>
      <c r="H542" s="22">
        <v>1</v>
      </c>
      <c r="I542" s="23" cm="1">
        <f t="array" ref="I542">IF(D542="","",(G542*C542)*0.00075)</f>
        <v>10.8823869</v>
      </c>
      <c r="J542" s="23" cm="1">
        <f t="array" ref="J542">IF(D542="","",(G542*D542)*0.00075)</f>
        <v>10.770375</v>
      </c>
      <c r="K542" s="24" cm="1">
        <f t="array" ref="K542">IF(D542="","",J542+I542)</f>
        <v>21.652761900000002</v>
      </c>
      <c r="L542" s="24" cm="1">
        <f t="array" ref="L542">IF(D542=0,0,(D542-C542)*G542)</f>
        <v>-149.34920000000088</v>
      </c>
      <c r="M542" s="25">
        <v>14648.428024999999</v>
      </c>
      <c r="N542" s="26" cm="1">
        <f t="array" ref="N542">IFERROR((K542-J542)/J542,"–")</f>
        <v>1.0104000000000002</v>
      </c>
      <c r="O542" s="24" cm="1">
        <f t="array" ref="O542">IF(D542=0,0,L542-K542)</f>
        <v>-171.00196190000088</v>
      </c>
      <c r="P542" s="23"/>
      <c r="Q542" s="27"/>
    </row>
    <row r="543" spans="1:17" ht="22.5" customHeight="1">
      <c r="A543" s="16" t="s">
        <v>163</v>
      </c>
      <c r="B543" s="42">
        <v>44438</v>
      </c>
      <c r="C543" s="36">
        <v>0.35189999999999999</v>
      </c>
      <c r="D543" s="36">
        <v>0.34899999999999998</v>
      </c>
      <c r="E543" s="30" cm="1">
        <f t="array" ref="E543">IF(D543="","",D543-C543)</f>
        <v>-2.9000000000000137E-3</v>
      </c>
      <c r="F543" s="31" cm="1">
        <f t="array" ref="F543">IF(D543=0,"",(D543-C543)/C543)</f>
        <v>-8.2409775504405057E-3</v>
      </c>
      <c r="G543" s="32">
        <v>30000</v>
      </c>
      <c r="H543" s="10">
        <v>1</v>
      </c>
      <c r="I543" s="11" cm="1">
        <f t="array" ref="I543">IF(D543="","",(G543*C543)*0.00075)</f>
        <v>7.9177499999999998</v>
      </c>
      <c r="J543" s="11" cm="1">
        <f t="array" ref="J543">IF(D543="","",(G543*D543)*0.00075)</f>
        <v>7.8525</v>
      </c>
      <c r="K543" s="33" cm="1">
        <f t="array" ref="K543">IF(D543="","",J543+I543)</f>
        <v>15.770250000000001</v>
      </c>
      <c r="L543" s="33" cm="1">
        <f t="array" ref="L543">IF(D543=0,0,(D543-C543)*G543)</f>
        <v>-87.000000000000412</v>
      </c>
      <c r="M543" s="12">
        <v>10636.147499999999</v>
      </c>
      <c r="N543" s="34" cm="1">
        <f t="array" ref="N543">IFERROR((K543-J543)/J543,"–")</f>
        <v>1.0083094555873926</v>
      </c>
      <c r="O543" s="33" cm="1">
        <f t="array" ref="O543">IF(D543=0,0,L543-K543)</f>
        <v>-102.77025000000042</v>
      </c>
      <c r="P543" s="11"/>
      <c r="Q543" s="35"/>
    </row>
    <row r="544" spans="1:17" ht="22.5" customHeight="1">
      <c r="A544" s="16" t="s">
        <v>95</v>
      </c>
      <c r="B544" s="43">
        <v>44439</v>
      </c>
      <c r="C544" s="37">
        <v>0.35988846000000002</v>
      </c>
      <c r="D544" s="37">
        <v>0.3649</v>
      </c>
      <c r="E544" s="19" cm="1">
        <f t="array" ref="E544">IF(D544="","",D544-C544)</f>
        <v>5.011539999999981E-3</v>
      </c>
      <c r="F544" s="20" cm="1">
        <f t="array" ref="F544">IF(D544=0,"",(D544-C544)/C544)</f>
        <v>1.392525895384359E-2</v>
      </c>
      <c r="G544" s="21">
        <v>19450</v>
      </c>
      <c r="H544" s="22">
        <v>1</v>
      </c>
      <c r="I544" s="23" cm="1">
        <f t="array" ref="I544">IF(D544="","",(G544*C544)*0.00075)</f>
        <v>5.2498729102500006</v>
      </c>
      <c r="J544" s="23" cm="1">
        <f t="array" ref="J544">IF(D544="","",(G544*D544)*0.00075)</f>
        <v>5.3229787500000008</v>
      </c>
      <c r="K544" s="24" cm="1">
        <f t="array" ref="K544">IF(D544="","",J544+I544)</f>
        <v>10.572851660250002</v>
      </c>
      <c r="L544" s="24" cm="1">
        <f t="array" ref="L544">IF(D544=0,0,(D544-C544)*G544)</f>
        <v>97.474452999999627</v>
      </c>
      <c r="M544" s="25">
        <v>6897.0331152500003</v>
      </c>
      <c r="N544" s="26" cm="1">
        <f t="array" ref="N544">IFERROR((K544-J544)/J544,"–")</f>
        <v>0.98626599068237886</v>
      </c>
      <c r="O544" s="24" cm="1">
        <f t="array" ref="O544">IF(D544=0,0,L544-K544)</f>
        <v>86.901601339749618</v>
      </c>
      <c r="P544" s="23"/>
      <c r="Q544" s="27"/>
    </row>
    <row r="545" spans="1:17" ht="22.5" customHeight="1">
      <c r="A545" s="16" t="s">
        <v>95</v>
      </c>
      <c r="B545" s="42">
        <v>44439</v>
      </c>
      <c r="C545" s="36">
        <v>0.35988846000000002</v>
      </c>
      <c r="D545" s="36">
        <v>0.36799999999999999</v>
      </c>
      <c r="E545" s="30" cm="1">
        <f t="array" ref="E545">IF(D545="","",D545-C545)</f>
        <v>8.1115399999999727E-3</v>
      </c>
      <c r="F545" s="31" cm="1">
        <f t="array" ref="F545">IF(D545=0,"",(D545-C545)/C545)</f>
        <v>2.2539038901108338E-2</v>
      </c>
      <c r="G545" s="32">
        <v>14587</v>
      </c>
      <c r="H545" s="10">
        <v>1</v>
      </c>
      <c r="I545" s="11" cm="1">
        <f t="array" ref="I545">IF(D545="","",(G545*C545)*0.00075)</f>
        <v>3.9372697245150001</v>
      </c>
      <c r="J545" s="11" cm="1">
        <f t="array" ref="J545">IF(D545="","",(G545*D545)*0.00075)</f>
        <v>4.0260119999999997</v>
      </c>
      <c r="K545" s="33" cm="1">
        <f t="array" ref="K545">IF(D545="","",J545+I545)</f>
        <v>7.9632817245149994</v>
      </c>
      <c r="L545" s="33" cm="1">
        <f t="array" ref="L545">IF(D545=0,0,(D545-C545)*G545)</f>
        <v>118.32303397999961</v>
      </c>
      <c r="M545" s="12">
        <v>5127.3439200399998</v>
      </c>
      <c r="N545" s="34" cm="1">
        <f t="array" ref="N545">IFERROR((K545-J545)/J545,"–")</f>
        <v>0.97795777173913045</v>
      </c>
      <c r="O545" s="33" cm="1">
        <f t="array" ref="O545">IF(D545=0,0,L545-K545)</f>
        <v>110.35975225548461</v>
      </c>
      <c r="P545" s="11"/>
      <c r="Q545" s="35"/>
    </row>
    <row r="546" spans="1:17" ht="22.5" customHeight="1">
      <c r="A546" s="16" t="s">
        <v>95</v>
      </c>
      <c r="B546" s="43">
        <v>44439</v>
      </c>
      <c r="C546" s="37">
        <v>0.35988846000000002</v>
      </c>
      <c r="D546" s="37">
        <v>0.3669</v>
      </c>
      <c r="E546" s="19" cm="1">
        <f t="array" ref="E546">IF(D546="","",D546-C546)</f>
        <v>7.0115399999999828E-3</v>
      </c>
      <c r="F546" s="20" cm="1">
        <f t="array" ref="F546">IF(D546=0,"",(D546-C546)/C546)</f>
        <v>1.9482536339175707E-2</v>
      </c>
      <c r="G546" s="21">
        <v>21882</v>
      </c>
      <c r="H546" s="22">
        <v>1</v>
      </c>
      <c r="I546" s="23" cm="1">
        <f t="array" ref="I546">IF(D546="","",(G546*C546)*0.00075)</f>
        <v>5.9063094612900011</v>
      </c>
      <c r="J546" s="23" cm="1">
        <f t="array" ref="J546">IF(D546="","",(G546*D546)*0.00075)</f>
        <v>6.0213793500000001</v>
      </c>
      <c r="K546" s="24" cm="1">
        <f t="array" ref="K546">IF(D546="","",J546+I546)</f>
        <v>11.92768881129</v>
      </c>
      <c r="L546" s="24" cm="1">
        <f t="array" ref="L546">IF(D546=0,0,(D546-C546)*G546)</f>
        <v>153.42651827999961</v>
      </c>
      <c r="M546" s="25">
        <v>7715.6313840900002</v>
      </c>
      <c r="N546" s="26" cm="1">
        <f t="array" ref="N546">IFERROR((K546-J546)/J546,"–")</f>
        <v>0.9808897792313982</v>
      </c>
      <c r="O546" s="24" cm="1">
        <f t="array" ref="O546">IF(D546=0,0,L546-K546)</f>
        <v>141.4988294687096</v>
      </c>
      <c r="P546" s="23"/>
      <c r="Q546" s="27"/>
    </row>
    <row r="547" spans="1:17" ht="22.5" customHeight="1">
      <c r="A547" s="16" t="s">
        <v>95</v>
      </c>
      <c r="B547" s="42">
        <v>44439</v>
      </c>
      <c r="C547" s="36">
        <v>0.35988846000000002</v>
      </c>
      <c r="D547" s="36">
        <v>0.37</v>
      </c>
      <c r="E547" s="30" cm="1">
        <f t="array" ref="E547">IF(D547="","",D547-C547)</f>
        <v>1.0111539999999974E-2</v>
      </c>
      <c r="F547" s="31" cm="1">
        <f t="array" ref="F547">IF(D547=0,"",(D547-C547)/C547)</f>
        <v>2.8096316286440454E-2</v>
      </c>
      <c r="G547" s="32">
        <v>21882</v>
      </c>
      <c r="H547" s="10">
        <v>1</v>
      </c>
      <c r="I547" s="11" cm="1">
        <f t="array" ref="I547">IF(D547="","",(G547*C547)*0.00075)</f>
        <v>5.9063094612900011</v>
      </c>
      <c r="J547" s="11" cm="1">
        <f t="array" ref="J547">IF(D547="","",(G547*D547)*0.00075)</f>
        <v>6.0722550000000002</v>
      </c>
      <c r="K547" s="33" cm="1">
        <f t="array" ref="K547">IF(D547="","",J547+I547)</f>
        <v>11.978564461290002</v>
      </c>
      <c r="L547" s="33" cm="1">
        <f t="array" ref="L547">IF(D547=0,0,(D547-C547)*G547)</f>
        <v>221.26071827999945</v>
      </c>
      <c r="M547" s="12">
        <v>7647.7463084399997</v>
      </c>
      <c r="N547" s="34" cm="1">
        <f t="array" ref="N547">IFERROR((K547-J547)/J547,"–")</f>
        <v>0.97267151351351377</v>
      </c>
      <c r="O547" s="33" cm="1">
        <f t="array" ref="O547">IF(D547=0,0,L547-K547)</f>
        <v>209.28215381870945</v>
      </c>
      <c r="P547" s="11"/>
      <c r="Q547" s="35"/>
    </row>
    <row r="548" spans="1:17" ht="22.5" customHeight="1">
      <c r="A548" s="16" t="s">
        <v>30</v>
      </c>
      <c r="B548" s="43">
        <v>44439</v>
      </c>
      <c r="C548" s="37">
        <v>47878.31</v>
      </c>
      <c r="D548" s="37">
        <v>47865</v>
      </c>
      <c r="E548" s="19" cm="1">
        <f t="array" ref="E548">IF(D548="","",D548-C548)</f>
        <v>-13.309999999997672</v>
      </c>
      <c r="F548" s="20" cm="1">
        <f t="array" ref="F548">IF(D548=0,"",(D548-C548)/C548)</f>
        <v>-2.7799644557206956E-4</v>
      </c>
      <c r="G548" s="21">
        <v>0.62658000000000003</v>
      </c>
      <c r="H548" s="22">
        <v>1</v>
      </c>
      <c r="I548" s="23" cm="1">
        <f t="array" ref="I548">IF(D548="","",(G548*C548)*0.00075)</f>
        <v>22.499693609850002</v>
      </c>
      <c r="J548" s="23" cm="1">
        <f t="array" ref="J548">IF(D548="","",(G548*D548)*0.00075)</f>
        <v>22.493438775000001</v>
      </c>
      <c r="K548" s="24" cm="1">
        <f t="array" ref="K548">IF(D548="","",J548+I548)</f>
        <v>44.99313238485</v>
      </c>
      <c r="L548" s="24" cm="1">
        <f t="array" ref="L548">IF(D548=0,0,(D548-C548)*G548)</f>
        <v>-8.3397797999985421</v>
      </c>
      <c r="M548" s="25">
        <v>29985.437820824998</v>
      </c>
      <c r="N548" s="26" cm="1">
        <f t="array" ref="N548">IFERROR((K548-J548)/J548,"–")</f>
        <v>1.0002780737490859</v>
      </c>
      <c r="O548" s="24" cm="1">
        <f t="array" ref="O548">IF(D548=0,0,L548-K548)</f>
        <v>-53.332912184848539</v>
      </c>
      <c r="P548" s="23"/>
      <c r="Q548" s="27"/>
    </row>
    <row r="549" spans="1:17" ht="22.5" customHeight="1">
      <c r="A549" s="16" t="s">
        <v>30</v>
      </c>
      <c r="B549" s="42">
        <v>44439</v>
      </c>
      <c r="C549" s="49">
        <v>47711.57</v>
      </c>
      <c r="D549" s="36">
        <v>47743.99</v>
      </c>
      <c r="E549" s="30" cm="1">
        <f t="array" ref="E549">IF(D549="","",D549-C549)</f>
        <v>32.419999999998254</v>
      </c>
      <c r="F549" s="31" cm="1">
        <f t="array" ref="F549">IF(D549=0,"",(D549-C549)/C549)</f>
        <v>6.7949975236610851E-4</v>
      </c>
      <c r="G549" s="32">
        <v>0.41918</v>
      </c>
      <c r="H549" s="10">
        <v>1</v>
      </c>
      <c r="I549" s="11" cm="1">
        <f t="array" ref="I549">IF(D549="","",(G549*C549)*0.00075)</f>
        <v>14.999801934450002</v>
      </c>
      <c r="J549" s="11" cm="1">
        <f t="array" ref="J549">IF(D549="","",(G549*D549)*0.00075)</f>
        <v>15.009994296149998</v>
      </c>
      <c r="K549" s="33" cm="1">
        <f t="array" ref="K549">IF(D549="","",J549+I549)</f>
        <v>30.009796230599999</v>
      </c>
      <c r="L549" s="33" cm="1">
        <f t="array" ref="L549">IF(D549=0,0,(D549-C549)*G549)</f>
        <v>13.589815599999268</v>
      </c>
      <c r="M549" s="12">
        <v>19971.136102703898</v>
      </c>
      <c r="N549" s="34" cm="1">
        <f t="array" ref="N549">IFERROR((K549-J549)/J549,"–")</f>
        <v>0.99932096165402207</v>
      </c>
      <c r="O549" s="33" cm="1">
        <f t="array" ref="O549">IF(D549=0,0,L549-K549)</f>
        <v>-16.419980630600733</v>
      </c>
      <c r="P549" s="11"/>
      <c r="Q549" s="35"/>
    </row>
    <row r="550" spans="1:17" ht="22.5" customHeight="1">
      <c r="A550" s="16" t="s">
        <v>164</v>
      </c>
      <c r="B550" s="43">
        <v>44439</v>
      </c>
      <c r="C550" s="37">
        <v>6907.98</v>
      </c>
      <c r="D550" s="37">
        <v>7378.37</v>
      </c>
      <c r="E550" s="19" cm="1">
        <f t="array" ref="E550">IF(D550="","",D550-C550)</f>
        <v>470.39000000000033</v>
      </c>
      <c r="F550" s="20" cm="1">
        <f t="array" ref="F550">IF(D550=0,"",(D550-C550)/C550)</f>
        <v>6.8093711909993998E-2</v>
      </c>
      <c r="G550" s="21">
        <v>2.3307000000000002</v>
      </c>
      <c r="H550" s="22">
        <v>1</v>
      </c>
      <c r="I550" s="23" cm="1">
        <f t="array" ref="I550">IF(D550="","",(G550*C550)*0.00075)</f>
        <v>12.075321739500001</v>
      </c>
      <c r="J550" s="23" cm="1">
        <f t="array" ref="J550">IF(D550="","",(G550*D550)*0.00075)</f>
        <v>12.897575219250001</v>
      </c>
      <c r="K550" s="24" cm="1">
        <f t="array" ref="K550">IF(D550="","",J550+I550)</f>
        <v>24.972896958750002</v>
      </c>
      <c r="L550" s="24" cm="1">
        <f t="array" ref="L550">IF(D550=0,0,(D550-C550)*G550)</f>
        <v>1096.3379730000008</v>
      </c>
      <c r="M550" s="25">
        <v>14991.193437780799</v>
      </c>
      <c r="N550" s="26" cm="1">
        <f t="array" ref="N550">IFERROR((K550-J550)/J550,"–")</f>
        <v>0.93624743676448863</v>
      </c>
      <c r="O550" s="24" cm="1">
        <f t="array" ref="O550">IF(D550=0,0,L550-K550)</f>
        <v>1071.3650760412509</v>
      </c>
      <c r="P550" s="23"/>
      <c r="Q550" s="27"/>
    </row>
    <row r="551" spans="1:17" ht="22.5" customHeight="1">
      <c r="A551" s="16" t="s">
        <v>164</v>
      </c>
      <c r="B551" s="42">
        <v>44439</v>
      </c>
      <c r="C551" s="36">
        <v>6907.98</v>
      </c>
      <c r="D551" s="36">
        <v>7701.39</v>
      </c>
      <c r="E551" s="30" cm="1">
        <f t="array" ref="E551">IF(D551="","",D551-C551)</f>
        <v>793.41000000000076</v>
      </c>
      <c r="F551" s="31" cm="1">
        <f t="array" ref="F551">IF(D551=0,"",(D551-C551)/C551)</f>
        <v>0.114854125229083</v>
      </c>
      <c r="G551" s="32">
        <v>2.3307000000000002</v>
      </c>
      <c r="H551" s="10">
        <v>1</v>
      </c>
      <c r="I551" s="11" cm="1">
        <f t="array" ref="I551">IF(D551="","",(G551*C551)*0.00075)</f>
        <v>12.075321739500001</v>
      </c>
      <c r="J551" s="11" cm="1">
        <f t="array" ref="J551">IF(D551="","",(G551*D551)*0.00075)</f>
        <v>13.462222254750003</v>
      </c>
      <c r="K551" s="33" cm="1">
        <f t="array" ref="K551">IF(D551="","",J551+I551)</f>
        <v>25.537543994250004</v>
      </c>
      <c r="L551" s="33" cm="1">
        <f t="array" ref="L551">IF(D551=0,0,(D551-C551)*G551)</f>
        <v>1849.2006870000021</v>
      </c>
      <c r="M551" s="12">
        <v>14237.7660767453</v>
      </c>
      <c r="N551" s="34" cm="1">
        <f t="array" ref="N551">IFERROR((K551-J551)/J551,"–")</f>
        <v>0.89697833767670498</v>
      </c>
      <c r="O551" s="33" cm="1">
        <f t="array" ref="O551">IF(D551=0,0,L551-K551)</f>
        <v>1823.6631430057521</v>
      </c>
      <c r="P551" s="11"/>
      <c r="Q551" s="35"/>
    </row>
    <row r="552" spans="1:17" ht="22.5" customHeight="1">
      <c r="A552" s="16" t="s">
        <v>125</v>
      </c>
      <c r="B552" s="43">
        <v>44439</v>
      </c>
      <c r="C552" s="37">
        <v>7.3552860899999999</v>
      </c>
      <c r="D552" s="37">
        <v>7.4004000000000003</v>
      </c>
      <c r="E552" s="19" cm="1">
        <f t="array" ref="E552">IF(D552="","",D552-C552)</f>
        <v>4.5113910000000423E-2</v>
      </c>
      <c r="F552" s="20" cm="1">
        <f t="array" ref="F552">IF(D552=0,"",(D552-C552)/C552)</f>
        <v>6.1335357249170473E-3</v>
      </c>
      <c r="G552" s="21">
        <v>1784.4</v>
      </c>
      <c r="H552" s="22">
        <v>1</v>
      </c>
      <c r="I552" s="23" cm="1">
        <f t="array" ref="I552">IF(D552="","",(G552*C552)*0.00075)</f>
        <v>9.8435793742470015</v>
      </c>
      <c r="J552" s="23" cm="1">
        <f t="array" ref="J552">IF(D552="","",(G552*D552)*0.00075)</f>
        <v>9.9039553200000014</v>
      </c>
      <c r="K552" s="24" cm="1">
        <f t="array" ref="K552">IF(D552="","",J552+I552)</f>
        <v>19.747534694247001</v>
      </c>
      <c r="L552" s="24" cm="1">
        <f t="array" ref="L552">IF(D552=0,0,(D552-C552)*G552)</f>
        <v>80.501261004000753</v>
      </c>
      <c r="M552" s="25">
        <v>13034.367282671999</v>
      </c>
      <c r="N552" s="26" cm="1">
        <f t="array" ref="N552">IFERROR((K552-J552)/J552,"–")</f>
        <v>0.99390385519701618</v>
      </c>
      <c r="O552" s="24" cm="1">
        <f t="array" ref="O552">IF(D552=0,0,L552-K552)</f>
        <v>60.753726309753752</v>
      </c>
      <c r="P552" s="23"/>
      <c r="Q552" s="27"/>
    </row>
    <row r="553" spans="1:17" ht="22.5" customHeight="1">
      <c r="A553" s="16" t="s">
        <v>125</v>
      </c>
      <c r="B553" s="42">
        <v>44439</v>
      </c>
      <c r="C553" s="36">
        <v>7.3552860899999999</v>
      </c>
      <c r="D553" s="36">
        <v>7.43</v>
      </c>
      <c r="E553" s="30" cm="1">
        <f t="array" ref="E553">IF(D553="","",D553-C553)</f>
        <v>7.4713909999999828E-2</v>
      </c>
      <c r="F553" s="31" cm="1">
        <f t="array" ref="F553">IF(D553=0,"",(D553-C553)/C553)</f>
        <v>1.0157852337188944E-2</v>
      </c>
      <c r="G553" s="32">
        <v>892.2</v>
      </c>
      <c r="H553" s="10">
        <v>1</v>
      </c>
      <c r="I553" s="11" cm="1">
        <f t="array" ref="I553">IF(D553="","",(G553*C553)*0.00075)</f>
        <v>4.9217896871235007</v>
      </c>
      <c r="J553" s="11" cm="1">
        <f t="array" ref="J553">IF(D553="","",(G553*D553)*0.00075)</f>
        <v>4.9717845000000001</v>
      </c>
      <c r="K553" s="33" cm="1">
        <f t="array" ref="K553">IF(D553="","",J553+I553)</f>
        <v>9.8935741871235017</v>
      </c>
      <c r="L553" s="33" cm="1">
        <f t="array" ref="L553">IF(D553=0,0,(D553-C553)*G553)</f>
        <v>66.659750501999852</v>
      </c>
      <c r="M553" s="12">
        <v>6490.7547144959999</v>
      </c>
      <c r="N553" s="34" cm="1">
        <f t="array" ref="N553">IFERROR((K553-J553)/J553,"–")</f>
        <v>0.98994429205921974</v>
      </c>
      <c r="O553" s="33" cm="1">
        <f t="array" ref="O553">IF(D553=0,0,L553-K553)</f>
        <v>56.766176314876347</v>
      </c>
      <c r="P553" s="11"/>
      <c r="Q553" s="35"/>
    </row>
    <row r="554" spans="1:17" ht="22.5" customHeight="1">
      <c r="A554" s="16" t="s">
        <v>125</v>
      </c>
      <c r="B554" s="43">
        <v>44439</v>
      </c>
      <c r="C554" s="37">
        <v>7.3552860899999999</v>
      </c>
      <c r="D554" s="37">
        <v>7.4249999999999998</v>
      </c>
      <c r="E554" s="19" cm="1">
        <f t="array" ref="E554">IF(D554="","",D554-C554)</f>
        <v>6.9713909999999935E-2</v>
      </c>
      <c r="F554" s="20" cm="1">
        <f t="array" ref="F554">IF(D554=0,"",(D554-C554)/C554)</f>
        <v>9.478069125656529E-3</v>
      </c>
      <c r="G554" s="21">
        <v>892.2</v>
      </c>
      <c r="H554" s="22">
        <v>1</v>
      </c>
      <c r="I554" s="23" cm="1">
        <f t="array" ref="I554">IF(D554="","",(G554*C554)*0.00075)</f>
        <v>4.9217896871235007</v>
      </c>
      <c r="J554" s="23" cm="1">
        <f t="array" ref="J554">IF(D554="","",(G554*D554)*0.00075)</f>
        <v>4.9684387499999998</v>
      </c>
      <c r="K554" s="24" cm="1">
        <f t="array" ref="K554">IF(D554="","",J554+I554)</f>
        <v>9.8902284371235005</v>
      </c>
      <c r="L554" s="24" cm="1">
        <f t="array" ref="L554">IF(D554=0,0,(D554-C554)*G554)</f>
        <v>62.198750501999946</v>
      </c>
      <c r="M554" s="25">
        <v>6495.2190602459996</v>
      </c>
      <c r="N554" s="26" cm="1">
        <f t="array" ref="N554">IFERROR((K554-J554)/J554,"–")</f>
        <v>0.99061092121212135</v>
      </c>
      <c r="O554" s="24" cm="1">
        <f t="array" ref="O554">IF(D554=0,0,L554-K554)</f>
        <v>52.308522064876442</v>
      </c>
      <c r="P554" s="44" t="s">
        <v>429</v>
      </c>
      <c r="Q554" s="41"/>
    </row>
    <row r="555" spans="1:17" ht="22.5" customHeight="1">
      <c r="A555" s="16" t="s">
        <v>125</v>
      </c>
      <c r="B555" s="42">
        <v>44439</v>
      </c>
      <c r="C555" s="36">
        <v>7.3552860899999999</v>
      </c>
      <c r="D555" s="36">
        <v>7.4020000000000001</v>
      </c>
      <c r="E555" s="30" cm="1">
        <f t="array" ref="E555">IF(D555="","",D555-C555)</f>
        <v>4.6713910000000247E-2</v>
      </c>
      <c r="F555" s="31" cm="1">
        <f t="array" ref="F555">IF(D555=0,"",(D555-C555)/C555)</f>
        <v>6.3510663526074006E-3</v>
      </c>
      <c r="G555" s="32">
        <v>1189.5999999999999</v>
      </c>
      <c r="H555" s="10">
        <v>1</v>
      </c>
      <c r="I555" s="11" cm="1">
        <f t="array" ref="I555">IF(D555="","",(G555*C555)*0.00075)</f>
        <v>6.5623862494980001</v>
      </c>
      <c r="J555" s="11" cm="1">
        <f t="array" ref="J555">IF(D555="","",(G555*D555)*0.00075)</f>
        <v>6.6040644000000004</v>
      </c>
      <c r="K555" s="33" cm="1">
        <f t="array" ref="K555">IF(D555="","",J555+I555)</f>
        <v>13.166450649498</v>
      </c>
      <c r="L555" s="33" cm="1">
        <f t="array" ref="L555">IF(D555=0,0,(D555-C555)*G555)</f>
        <v>55.57086733600029</v>
      </c>
      <c r="M555" s="12">
        <v>8687.6734009280008</v>
      </c>
      <c r="N555" s="34" cm="1">
        <f t="array" ref="N555">IFERROR((K555-J555)/J555,"–")</f>
        <v>0.99368901513104546</v>
      </c>
      <c r="O555" s="33" cm="1">
        <f t="array" ref="O555">IF(D555=0,0,L555-K555)</f>
        <v>42.404416686502287</v>
      </c>
      <c r="P555" s="11" cm="1">
        <f t="array" ref="P555">SUM(O258:O555)</f>
        <v>18846.394215014971</v>
      </c>
      <c r="Q555" s="35"/>
    </row>
    <row r="556" spans="1:17" ht="22.5" customHeight="1">
      <c r="A556" s="7"/>
      <c r="B556" s="40"/>
      <c r="C556" s="37"/>
      <c r="D556" s="37"/>
      <c r="E556" s="40" t="str" cm="1">
        <f t="array" ref="E556">IF(D556="","",D556-C556)</f>
        <v/>
      </c>
      <c r="F556" s="40" t="str" cm="1">
        <f t="array" ref="F556">IF(D556=0,"",(D556-C556)/C556)</f>
        <v/>
      </c>
      <c r="G556" s="21"/>
      <c r="H556" s="22">
        <v>1</v>
      </c>
      <c r="I556" s="40" t="str" cm="1">
        <f t="array" ref="I556">IF(D556="","",(G556*C556)*0.00075)</f>
        <v/>
      </c>
      <c r="J556" s="40" t="str" cm="1">
        <f t="array" ref="J556">IF(D556="","",(G556*D556)*0.00075)</f>
        <v/>
      </c>
      <c r="K556" s="40" t="str" cm="1">
        <f t="array" ref="K556">IF(D556="","",J556+I556)</f>
        <v/>
      </c>
      <c r="L556" s="24" cm="1">
        <f t="array" ref="L556">IF(D556=0,0,(D556-C556)*G556)</f>
        <v>0</v>
      </c>
      <c r="M556" s="46" t="s">
        <v>13</v>
      </c>
      <c r="N556" s="47" t="str" cm="1">
        <f t="array" ref="N556">IFERROR((K556-J556)/J556,"–")</f>
        <v>–</v>
      </c>
      <c r="O556" s="24" cm="1">
        <f t="array" ref="O556">IF(D556=0,0,L556-K556)</f>
        <v>0</v>
      </c>
      <c r="P556" s="23"/>
      <c r="Q556" s="27"/>
    </row>
    <row r="557" spans="1:17" ht="22.5" customHeight="1">
      <c r="A557" s="16" t="s">
        <v>133</v>
      </c>
      <c r="B557" s="28">
        <v>44440</v>
      </c>
      <c r="C557" s="36">
        <v>0.94269999999999998</v>
      </c>
      <c r="D557" s="36">
        <v>0.94989999999999997</v>
      </c>
      <c r="E557" s="30" cm="1">
        <f t="array" ref="E557">IF(D557="","",D557-C557)</f>
        <v>7.1999999999999842E-3</v>
      </c>
      <c r="F557" s="31" cm="1">
        <f t="array" ref="F557">IF(D557=0,"",(D557-C557)/C557)</f>
        <v>7.6376365757929183E-3</v>
      </c>
      <c r="G557" s="32">
        <v>2120</v>
      </c>
      <c r="H557" s="10">
        <v>1</v>
      </c>
      <c r="I557" s="11" cm="1">
        <f t="array" ref="I557">IF(D557="","",(G557*C557)*0.00075)</f>
        <v>1.498893</v>
      </c>
      <c r="J557" s="11" cm="1">
        <f t="array" ref="J557">IF(D557="","",(G557*D557)*0.00075)</f>
        <v>1.5103409999999999</v>
      </c>
      <c r="K557" s="33" cm="1">
        <f t="array" ref="K557">IF(D557="","",J557+I557)</f>
        <v>3.0092340000000002</v>
      </c>
      <c r="L557" s="33" cm="1">
        <f t="array" ref="L557">IF(D557=0,0,(D557-C557)*G557)</f>
        <v>15.263999999999967</v>
      </c>
      <c r="M557" s="12">
        <v>1981.7496590000001</v>
      </c>
      <c r="N557" s="34" cm="1">
        <f t="array" ref="N557">IFERROR((K557-J557)/J557,"–")</f>
        <v>0.99242025476365958</v>
      </c>
      <c r="O557" s="33" cm="1">
        <f t="array" ref="O557">IF(D557=0,0,L557-K557)</f>
        <v>12.254765999999968</v>
      </c>
      <c r="P557" s="11"/>
      <c r="Q557" s="35"/>
    </row>
    <row r="558" spans="1:17" ht="22.5" customHeight="1">
      <c r="A558" s="16" t="s">
        <v>142</v>
      </c>
      <c r="B558" s="17">
        <v>44440</v>
      </c>
      <c r="C558" s="37">
        <v>2.6280000000000001</v>
      </c>
      <c r="D558" s="37">
        <v>2.8069999999999999</v>
      </c>
      <c r="E558" s="19" cm="1">
        <f t="array" ref="E558">IF(D558="","",D558-C558)</f>
        <v>0.17899999999999983</v>
      </c>
      <c r="F558" s="20" cm="1">
        <f t="array" ref="F558">IF(D558=0,"",(D558-C558)/C558)</f>
        <v>6.8112633181126259E-2</v>
      </c>
      <c r="G558" s="21">
        <v>475.2</v>
      </c>
      <c r="H558" s="22">
        <v>1</v>
      </c>
      <c r="I558" s="23" cm="1">
        <f t="array" ref="I558">IF(D558="","",(G558*C558)*0.00075)</f>
        <v>0.9366192000000001</v>
      </c>
      <c r="J558" s="23" cm="1">
        <f t="array" ref="J558">IF(D558="","",(G558*D558)*0.00075)</f>
        <v>1.0004147999999999</v>
      </c>
      <c r="K558" s="24" cm="1">
        <f t="array" ref="K558">IF(D558="","",J558+I558)</f>
        <v>1.9370340000000001</v>
      </c>
      <c r="L558" s="24" cm="1">
        <f t="array" ref="L558">IF(D558=0,0,(D558-C558)*G558)</f>
        <v>85.060799999999915</v>
      </c>
      <c r="M558" s="25">
        <v>1162.7643852000001</v>
      </c>
      <c r="N558" s="26" cm="1">
        <f t="array" ref="N558">IFERROR((K558-J558)/J558,"–")</f>
        <v>0.93623085144282181</v>
      </c>
      <c r="O558" s="24" cm="1">
        <f t="array" ref="O558">IF(D558=0,0,L558-K558)</f>
        <v>83.123765999999918</v>
      </c>
      <c r="P558" s="23"/>
      <c r="Q558" s="27"/>
    </row>
    <row r="559" spans="1:17" ht="22.5" customHeight="1">
      <c r="A559" s="16" t="s">
        <v>142</v>
      </c>
      <c r="B559" s="28">
        <v>44440</v>
      </c>
      <c r="C559" s="36">
        <v>2.6280000000000001</v>
      </c>
      <c r="D559" s="36">
        <v>2.819</v>
      </c>
      <c r="E559" s="30" cm="1">
        <f t="array" ref="E559">IF(D559="","",D559-C559)</f>
        <v>0.19099999999999984</v>
      </c>
      <c r="F559" s="31" cm="1">
        <f t="array" ref="F559">IF(D559=0,"",(D559-C559)/C559)</f>
        <v>7.2678843226788373E-2</v>
      </c>
      <c r="G559" s="32">
        <v>422.3</v>
      </c>
      <c r="H559" s="10">
        <v>1</v>
      </c>
      <c r="I559" s="11" cm="1">
        <f t="array" ref="I559">IF(D559="","",(G559*C559)*0.00075)</f>
        <v>0.83235329999999996</v>
      </c>
      <c r="J559" s="11" cm="1">
        <f t="array" ref="J559">IF(D559="","",(G559*D559)*0.00075)</f>
        <v>0.89284777500000001</v>
      </c>
      <c r="K559" s="33" cm="1">
        <f t="array" ref="K559">IF(D559="","",J559+I559)</f>
        <v>1.725201075</v>
      </c>
      <c r="L559" s="33" cm="1">
        <f t="array" ref="L559">IF(D559=0,0,(D559-C559)*G559)</f>
        <v>80.659299999999931</v>
      </c>
      <c r="M559" s="12">
        <v>1028.2522522249999</v>
      </c>
      <c r="N559" s="34" cm="1">
        <f t="array" ref="N559">IFERROR((K559-J559)/J559,"–")</f>
        <v>0.93224547711954586</v>
      </c>
      <c r="O559" s="33" cm="1">
        <f t="array" ref="O559">IF(D559=0,0,L559-K559)</f>
        <v>78.93409892499993</v>
      </c>
      <c r="P559" s="11"/>
      <c r="Q559" s="35"/>
    </row>
    <row r="560" spans="1:17" ht="22.5" customHeight="1">
      <c r="A560" s="16" t="s">
        <v>142</v>
      </c>
      <c r="B560" s="17">
        <v>44440</v>
      </c>
      <c r="C560" s="37">
        <v>2.6280000000000001</v>
      </c>
      <c r="D560" s="37">
        <v>2.819</v>
      </c>
      <c r="E560" s="19" cm="1">
        <f t="array" ref="E560">IF(D560="","",D560-C560)</f>
        <v>0.19099999999999984</v>
      </c>
      <c r="F560" s="20" cm="1">
        <f t="array" ref="F560">IF(D560=0,"",(D560-C560)/C560)</f>
        <v>7.2678843226788373E-2</v>
      </c>
      <c r="G560" s="21">
        <v>53</v>
      </c>
      <c r="H560" s="22">
        <v>1</v>
      </c>
      <c r="I560" s="23" cm="1">
        <f t="array" ref="I560">IF(D560="","",(G560*C560)*0.00075)</f>
        <v>0.104463</v>
      </c>
      <c r="J560" s="23" cm="1">
        <f t="array" ref="J560">IF(D560="","",(G560*D560)*0.00075)</f>
        <v>0.11205525000000001</v>
      </c>
      <c r="K560" s="24" cm="1">
        <f t="array" ref="K560">IF(D560="","",J560+I560)</f>
        <v>0.21651825000000002</v>
      </c>
      <c r="L560" s="24" cm="1">
        <f t="array" ref="L560">IF(D560=0,0,(D560-C560)*G560)</f>
        <v>10.12299999999999</v>
      </c>
      <c r="M560" s="25">
        <v>129.04894475</v>
      </c>
      <c r="N560" s="26" cm="1">
        <f t="array" ref="N560">IFERROR((K560-J560)/J560,"–")</f>
        <v>0.93224547711954597</v>
      </c>
      <c r="O560" s="24" cm="1">
        <f t="array" ref="O560">IF(D560=0,0,L560-K560)</f>
        <v>9.9064817499999904</v>
      </c>
      <c r="P560" s="23"/>
      <c r="Q560" s="27"/>
    </row>
    <row r="561" spans="1:17" ht="22.5" customHeight="1">
      <c r="A561" s="16" t="s">
        <v>52</v>
      </c>
      <c r="B561" s="28">
        <v>44440</v>
      </c>
      <c r="C561" s="36">
        <v>303.10300000000001</v>
      </c>
      <c r="D561" s="36">
        <v>302.5</v>
      </c>
      <c r="E561" s="30" cm="1">
        <f t="array" ref="E561">IF(D561="","",D561-C561)</f>
        <v>-0.60300000000000864</v>
      </c>
      <c r="F561" s="31" cm="1">
        <f t="array" ref="F561">IF(D561=0,"",(D561-C561)/C561)</f>
        <v>-1.9894227374853057E-3</v>
      </c>
      <c r="G561" s="32">
        <v>54.436</v>
      </c>
      <c r="H561" s="10">
        <v>1</v>
      </c>
      <c r="I561" s="11" cm="1">
        <f t="array" ref="I561">IF(D561="","",(G561*C561)*0.00075)</f>
        <v>12.374786181000001</v>
      </c>
      <c r="J561" s="11" cm="1">
        <f t="array" ref="J561">IF(D561="","",(G561*D561)*0.00075)</f>
        <v>12.3501675</v>
      </c>
      <c r="K561" s="33" cm="1">
        <f t="array" ref="K561">IF(D561="","",J561+I561)</f>
        <v>24.724953681000002</v>
      </c>
      <c r="L561" s="33" cm="1">
        <f t="array" ref="L561">IF(D561=0,0,(D561-C561)*G561)</f>
        <v>-32.82490800000047</v>
      </c>
      <c r="M561" s="12">
        <v>16520.1896485</v>
      </c>
      <c r="N561" s="34" cm="1">
        <f t="array" ref="N561">IFERROR((K561-J561)/J561,"–")</f>
        <v>1.0019933884297523</v>
      </c>
      <c r="O561" s="33" cm="1">
        <f t="array" ref="O561">IF(D561=0,0,L561-K561)</f>
        <v>-57.549861681000472</v>
      </c>
      <c r="P561" s="11"/>
      <c r="Q561" s="35"/>
    </row>
    <row r="562" spans="1:17" ht="22.5" customHeight="1">
      <c r="A562" s="16" t="s">
        <v>52</v>
      </c>
      <c r="B562" s="17">
        <v>44440</v>
      </c>
      <c r="C562" s="37">
        <v>303.10300000000001</v>
      </c>
      <c r="D562" s="37">
        <v>302</v>
      </c>
      <c r="E562" s="19" cm="1">
        <f t="array" ref="E562">IF(D562="","",D562-C562)</f>
        <v>-1.1030000000000086</v>
      </c>
      <c r="F562" s="20" cm="1">
        <f t="array" ref="F562">IF(D562=0,"",(D562-C562)/C562)</f>
        <v>-3.6390269974233467E-3</v>
      </c>
      <c r="G562" s="21">
        <v>3.0830000000000002</v>
      </c>
      <c r="H562" s="22">
        <v>1</v>
      </c>
      <c r="I562" s="23" cm="1">
        <f t="array" ref="I562">IF(D562="","",(G562*C562)*0.00075)</f>
        <v>0.70084991175000011</v>
      </c>
      <c r="J562" s="23" cm="1">
        <f t="array" ref="J562">IF(D562="","",(G562*D562)*0.00075)</f>
        <v>0.69829950000000007</v>
      </c>
      <c r="K562" s="24" cm="1">
        <f t="array" ref="K562">IF(D562="","",J562+I562)</f>
        <v>1.3991494117500003</v>
      </c>
      <c r="L562" s="24" cm="1">
        <f t="array" ref="L562">IF(D562=0,0,(D562-C562)*G562)</f>
        <v>-3.4005490000000269</v>
      </c>
      <c r="M562" s="25">
        <v>937.16879849999998</v>
      </c>
      <c r="N562" s="26" cm="1">
        <f t="array" ref="N562">IFERROR((K562-J562)/J562,"–")</f>
        <v>1.003652317880795</v>
      </c>
      <c r="O562" s="24" cm="1">
        <f t="array" ref="O562">IF(D562=0,0,L562-K562)</f>
        <v>-4.7996984117500272</v>
      </c>
      <c r="P562" s="23"/>
      <c r="Q562" s="27"/>
    </row>
    <row r="563" spans="1:17" ht="22.5" customHeight="1">
      <c r="A563" s="16" t="s">
        <v>52</v>
      </c>
      <c r="B563" s="28">
        <v>44440</v>
      </c>
      <c r="C563" s="36">
        <v>303.10300000000001</v>
      </c>
      <c r="D563" s="36">
        <v>300</v>
      </c>
      <c r="E563" s="30" cm="1">
        <f t="array" ref="E563">IF(D563="","",D563-C563)</f>
        <v>-3.1030000000000086</v>
      </c>
      <c r="F563" s="31" cm="1">
        <f t="array" ref="F563">IF(D563=0,"",(D563-C563)/C563)</f>
        <v>-1.0237444037175509E-2</v>
      </c>
      <c r="G563" s="32">
        <v>51.353999999999999</v>
      </c>
      <c r="H563" s="10">
        <v>1</v>
      </c>
      <c r="I563" s="11" cm="1">
        <f t="array" ref="I563">IF(D563="","",(G563*C563)*0.00075)</f>
        <v>11.6741635965</v>
      </c>
      <c r="J563" s="11" cm="1">
        <f t="array" ref="J563">IF(D563="","",(G563*D563)*0.00075)</f>
        <v>11.554649999999999</v>
      </c>
      <c r="K563" s="33" cm="1">
        <f t="array" ref="K563">IF(D563="","",J563+I563)</f>
        <v>23.228813596499997</v>
      </c>
      <c r="L563" s="33" cm="1">
        <f t="array" ref="L563">IF(D563=0,0,(D563-C563)*G563)</f>
        <v>-159.35146200000045</v>
      </c>
      <c r="M563" s="12">
        <v>15713.348274</v>
      </c>
      <c r="N563" s="34" cm="1">
        <f t="array" ref="N563">IFERROR((K563-J563)/J563,"–")</f>
        <v>1.0103433333333334</v>
      </c>
      <c r="O563" s="33" cm="1">
        <f t="array" ref="O563">IF(D563=0,0,L563-K563)</f>
        <v>-182.58027559650046</v>
      </c>
      <c r="P563" s="11"/>
      <c r="Q563" s="35"/>
    </row>
    <row r="564" spans="1:17" ht="22.5" customHeight="1">
      <c r="A564" s="16" t="s">
        <v>57</v>
      </c>
      <c r="B564" s="17">
        <v>44440</v>
      </c>
      <c r="C564" s="37">
        <v>2.4881000000000002</v>
      </c>
      <c r="D564" s="37">
        <v>2.5150000000000001</v>
      </c>
      <c r="E564" s="19" cm="1">
        <f t="array" ref="E564">IF(D564="","",D564-C564)</f>
        <v>2.6899999999999924E-2</v>
      </c>
      <c r="F564" s="20" cm="1">
        <f t="array" ref="F564">IF(D564=0,"",(D564-C564)/C564)</f>
        <v>1.0811462561794109E-2</v>
      </c>
      <c r="G564" s="21">
        <v>3818</v>
      </c>
      <c r="H564" s="22">
        <v>1</v>
      </c>
      <c r="I564" s="23" cm="1">
        <f t="array" ref="I564">IF(D564="","",(G564*C564)*0.00075)</f>
        <v>7.1246743500000003</v>
      </c>
      <c r="J564" s="23" cm="1">
        <f t="array" ref="J564">IF(D564="","",(G564*D564)*0.00075)</f>
        <v>7.2017025000000006</v>
      </c>
      <c r="K564" s="24" cm="1">
        <f t="array" ref="K564">IF(D564="","",J564+I564)</f>
        <v>14.326376850000001</v>
      </c>
      <c r="L564" s="24" cm="1">
        <f t="array" ref="L564">IF(D564=0,0,(D564-C564)*G564)</f>
        <v>102.70419999999972</v>
      </c>
      <c r="M564" s="25">
        <v>9389.6598974999997</v>
      </c>
      <c r="N564" s="26" cm="1">
        <f t="array" ref="N564">IFERROR((K564-J564)/J564,"–")</f>
        <v>0.98930417495029821</v>
      </c>
      <c r="O564" s="24" cm="1">
        <f t="array" ref="O564">IF(D564=0,0,L564-K564)</f>
        <v>88.377823149999713</v>
      </c>
      <c r="P564" s="23"/>
      <c r="Q564" s="27"/>
    </row>
    <row r="565" spans="1:17" ht="22.5" customHeight="1">
      <c r="A565" s="16" t="s">
        <v>57</v>
      </c>
      <c r="B565" s="28">
        <v>44440</v>
      </c>
      <c r="C565" s="36">
        <v>2.4881000000000002</v>
      </c>
      <c r="D565" s="36">
        <v>2.52</v>
      </c>
      <c r="E565" s="30" cm="1">
        <f t="array" ref="E565">IF(D565="","",D565-C565)</f>
        <v>3.1899999999999817E-2</v>
      </c>
      <c r="F565" s="31" cm="1">
        <f t="array" ref="F565">IF(D565=0,"",(D565-C565)/C565)</f>
        <v>1.2821028093726062E-2</v>
      </c>
      <c r="G565" s="32">
        <v>5727</v>
      </c>
      <c r="H565" s="10">
        <v>1</v>
      </c>
      <c r="I565" s="11" cm="1">
        <f t="array" ref="I565">IF(D565="","",(G565*C565)*0.00075)</f>
        <v>10.687011525000001</v>
      </c>
      <c r="J565" s="11" cm="1">
        <f t="array" ref="J565">IF(D565="","",(G565*D565)*0.00075)</f>
        <v>10.82403</v>
      </c>
      <c r="K565" s="33" cm="1">
        <f t="array" ref="K565">IF(D565="","",J565+I565)</f>
        <v>21.511041525000003</v>
      </c>
      <c r="L565" s="33" cm="1">
        <f t="array" ref="L565">IF(D565=0,0,(D565-C565)*G565)</f>
        <v>182.69129999999896</v>
      </c>
      <c r="M565" s="12">
        <v>14055.83337</v>
      </c>
      <c r="N565" s="34" cm="1">
        <f t="array" ref="N565">IFERROR((K565-J565)/J565,"–")</f>
        <v>0.98734126984127002</v>
      </c>
      <c r="O565" s="33" cm="1">
        <f t="array" ref="O565">IF(D565=0,0,L565-K565)</f>
        <v>161.18025847499896</v>
      </c>
      <c r="P565" s="11"/>
      <c r="Q565" s="35"/>
    </row>
    <row r="566" spans="1:17" ht="22.5" customHeight="1">
      <c r="A566" s="16" t="s">
        <v>57</v>
      </c>
      <c r="B566" s="17">
        <v>44440</v>
      </c>
      <c r="C566" s="37">
        <v>2.4881000000000002</v>
      </c>
      <c r="D566" s="37">
        <v>2.5169999999999999</v>
      </c>
      <c r="E566" s="19" cm="1">
        <f t="array" ref="E566">IF(D566="","",D566-C566)</f>
        <v>2.8899999999999704E-2</v>
      </c>
      <c r="F566" s="20" cm="1">
        <f t="array" ref="F566">IF(D566=0,"",(D566-C566)/C566)</f>
        <v>1.1615288774566818E-2</v>
      </c>
      <c r="G566" s="21">
        <v>1431.7</v>
      </c>
      <c r="H566" s="22">
        <v>1</v>
      </c>
      <c r="I566" s="23" cm="1">
        <f t="array" ref="I566">IF(D566="","",(G566*C566)*0.00075)</f>
        <v>2.6716595775000003</v>
      </c>
      <c r="J566" s="23" cm="1">
        <f t="array" ref="J566">IF(D566="","",(G566*D566)*0.00075)</f>
        <v>2.7026916750000001</v>
      </c>
      <c r="K566" s="24" cm="1">
        <f t="array" ref="K566">IF(D566="","",J566+I566)</f>
        <v>5.3743512525000003</v>
      </c>
      <c r="L566" s="24" cm="1">
        <f t="array" ref="L566">IF(D566=0,0,(D566-C566)*G566)</f>
        <v>41.376129999999577</v>
      </c>
      <c r="M566" s="25">
        <v>3518.1339483249999</v>
      </c>
      <c r="N566" s="26" cm="1">
        <f t="array" ref="N566">IFERROR((K566-J566)/J566,"–")</f>
        <v>0.98851807707588402</v>
      </c>
      <c r="O566" s="24" cm="1">
        <f t="array" ref="O566">IF(D566=0,0,L566-K566)</f>
        <v>36.001778747499579</v>
      </c>
      <c r="P566" s="23"/>
      <c r="Q566" s="27"/>
    </row>
    <row r="567" spans="1:17" ht="22.5" customHeight="1">
      <c r="A567" s="16" t="s">
        <v>57</v>
      </c>
      <c r="B567" s="28">
        <v>44440</v>
      </c>
      <c r="C567" s="36">
        <v>2.4881000000000002</v>
      </c>
      <c r="D567" s="36">
        <v>2.52</v>
      </c>
      <c r="E567" s="30" cm="1">
        <f t="array" ref="E567">IF(D567="","",D567-C567)</f>
        <v>3.1899999999999817E-2</v>
      </c>
      <c r="F567" s="31" cm="1">
        <f t="array" ref="F567">IF(D567=0,"",(D567-C567)/C567)</f>
        <v>1.2821028093726062E-2</v>
      </c>
      <c r="G567" s="32">
        <v>4295.3999999999996</v>
      </c>
      <c r="H567" s="10">
        <v>1</v>
      </c>
      <c r="I567" s="11" cm="1">
        <f t="array" ref="I567">IF(D567="","",(G567*C567)*0.00075)</f>
        <v>8.0155385549999991</v>
      </c>
      <c r="J567" s="11" cm="1">
        <f t="array" ref="J567">IF(D567="","",(G567*D567)*0.00075)</f>
        <v>8.1183060000000005</v>
      </c>
      <c r="K567" s="33" cm="1">
        <f t="array" ref="K567">IF(D567="","",J567+I567)</f>
        <v>16.133844555</v>
      </c>
      <c r="L567" s="33" cm="1">
        <f t="array" ref="L567">IF(D567=0,0,(D567-C567)*G567)</f>
        <v>137.0232599999992</v>
      </c>
      <c r="M567" s="12">
        <v>10542.243173999999</v>
      </c>
      <c r="N567" s="34" cm="1">
        <f t="array" ref="N567">IFERROR((K567-J567)/J567,"–")</f>
        <v>0.98734126984126969</v>
      </c>
      <c r="O567" s="33" cm="1">
        <f t="array" ref="O567">IF(D567=0,0,L567-K567)</f>
        <v>120.8894154449992</v>
      </c>
      <c r="P567" s="11"/>
      <c r="Q567" s="35"/>
    </row>
    <row r="568" spans="1:17" ht="22.5" customHeight="1">
      <c r="A568" s="16" t="s">
        <v>102</v>
      </c>
      <c r="B568" s="17">
        <v>44440</v>
      </c>
      <c r="C568" s="37">
        <v>11.782999999999999</v>
      </c>
      <c r="D568" s="37">
        <v>11.94</v>
      </c>
      <c r="E568" s="19" cm="1">
        <f t="array" ref="E568">IF(D568="","",D568-C568)</f>
        <v>0.15700000000000003</v>
      </c>
      <c r="F568" s="20" cm="1">
        <f t="array" ref="F568">IF(D568=0,"",(D568-C568)/C568)</f>
        <v>1.3324280743443948E-2</v>
      </c>
      <c r="G568" s="21">
        <v>423.72</v>
      </c>
      <c r="H568" s="22">
        <v>1</v>
      </c>
      <c r="I568" s="23" cm="1">
        <f t="array" ref="I568">IF(D568="","",(G568*C568)*0.00075)</f>
        <v>3.74451957</v>
      </c>
      <c r="J568" s="23" cm="1">
        <f t="array" ref="J568">IF(D568="","",(G568*D568)*0.00075)</f>
        <v>3.7944126000000002</v>
      </c>
      <c r="K568" s="24" cm="1">
        <f t="array" ref="K568">IF(D568="","",J568+I568)</f>
        <v>7.5389321700000007</v>
      </c>
      <c r="L568" s="24" cm="1">
        <f t="array" ref="L568">IF(D568=0,0,(D568-C568)*G568)</f>
        <v>66.524040000000014</v>
      </c>
      <c r="M568" s="25">
        <v>4922.3743074000004</v>
      </c>
      <c r="N568" s="26" cm="1">
        <f t="array" ref="N568">IFERROR((K568-J568)/J568,"–")</f>
        <v>0.98685092127303187</v>
      </c>
      <c r="O568" s="24" cm="1">
        <f t="array" ref="O568">IF(D568=0,0,L568-K568)</f>
        <v>58.985107830000011</v>
      </c>
      <c r="P568" s="23"/>
      <c r="Q568" s="27"/>
    </row>
    <row r="569" spans="1:17" ht="22.5" customHeight="1">
      <c r="A569" s="16" t="s">
        <v>165</v>
      </c>
      <c r="B569" s="28">
        <v>44441</v>
      </c>
      <c r="C569" s="36">
        <v>0.79649999999999999</v>
      </c>
      <c r="D569" s="36">
        <v>0.80800000000000005</v>
      </c>
      <c r="E569" s="30" cm="1">
        <f t="array" ref="E569">IF(D569="","",D569-C569)</f>
        <v>1.1500000000000066E-2</v>
      </c>
      <c r="F569" s="31" cm="1">
        <f t="array" ref="F569">IF(D569=0,"",(D569-C569)/C569)</f>
        <v>1.4438166980539945E-2</v>
      </c>
      <c r="G569" s="32">
        <v>12240</v>
      </c>
      <c r="H569" s="10">
        <v>1</v>
      </c>
      <c r="I569" s="11" cm="1">
        <f t="array" ref="I569">IF(D569="","",(G569*C569)*0.00075)</f>
        <v>7.3118699999999999</v>
      </c>
      <c r="J569" s="11" cm="1">
        <f t="array" ref="J569">IF(D569="","",(G569*D569)*0.00075)</f>
        <v>7.41744</v>
      </c>
      <c r="K569" s="33" cm="1">
        <f t="array" ref="K569">IF(D569="","",J569+I569)</f>
        <v>14.72931</v>
      </c>
      <c r="L569" s="33" cm="1">
        <f t="array" ref="L569">IF(D569=0,0,(D569-C569)*G569)</f>
        <v>140.76000000000082</v>
      </c>
      <c r="M569" s="12">
        <v>9600.9825600000004</v>
      </c>
      <c r="N569" s="34" cm="1">
        <f t="array" ref="N569">IFERROR((K569-J569)/J569,"–")</f>
        <v>0.9857673267326732</v>
      </c>
      <c r="O569" s="33" cm="1">
        <f t="array" ref="O569">IF(D569=0,0,L569-K569)</f>
        <v>126.03069000000082</v>
      </c>
      <c r="P569" s="11"/>
      <c r="Q569" s="35"/>
    </row>
    <row r="570" spans="1:17" ht="22.5" customHeight="1">
      <c r="A570" s="16" t="s">
        <v>165</v>
      </c>
      <c r="B570" s="17">
        <v>44441</v>
      </c>
      <c r="C570" s="37">
        <v>0.79649999999999999</v>
      </c>
      <c r="D570" s="37">
        <v>0.81699999999999995</v>
      </c>
      <c r="E570" s="19" cm="1">
        <f t="array" ref="E570">IF(D570="","",D570-C570)</f>
        <v>2.0499999999999963E-2</v>
      </c>
      <c r="F570" s="20" cm="1">
        <f t="array" ref="F570">IF(D570=0,"",(D570-C570)/C570)</f>
        <v>2.5737602008788402E-2</v>
      </c>
      <c r="G570" s="21">
        <v>9180</v>
      </c>
      <c r="H570" s="22">
        <v>1</v>
      </c>
      <c r="I570" s="23" cm="1">
        <f t="array" ref="I570">IF(D570="","",(G570*C570)*0.00075)</f>
        <v>5.4839025000000001</v>
      </c>
      <c r="J570" s="23" cm="1">
        <f t="array" ref="J570">IF(D570="","",(G570*D570)*0.00075)</f>
        <v>5.6250450000000001</v>
      </c>
      <c r="K570" s="24" cm="1">
        <f t="array" ref="K570">IF(D570="","",J570+I570)</f>
        <v>11.108947499999999</v>
      </c>
      <c r="L570" s="24" cm="1">
        <f t="array" ref="L570">IF(D570=0,0,(D570-C570)*G570)</f>
        <v>188.18999999999966</v>
      </c>
      <c r="M570" s="25">
        <v>7118.0549549999996</v>
      </c>
      <c r="N570" s="26" cm="1">
        <f t="array" ref="N570">IFERROR((K570-J570)/J570,"–")</f>
        <v>0.97490820073439399</v>
      </c>
      <c r="O570" s="24" cm="1">
        <f t="array" ref="O570">IF(D570=0,0,L570-K570)</f>
        <v>177.08105249999966</v>
      </c>
      <c r="P570" s="23"/>
      <c r="Q570" s="27"/>
    </row>
    <row r="571" spans="1:17" ht="22.5" customHeight="1">
      <c r="A571" s="16" t="s">
        <v>165</v>
      </c>
      <c r="B571" s="28">
        <v>44441</v>
      </c>
      <c r="C571" s="36">
        <v>0.79649999999999999</v>
      </c>
      <c r="D571" s="36">
        <v>0.82509999999999994</v>
      </c>
      <c r="E571" s="30" cm="1">
        <f t="array" ref="E571">IF(D571="","",D571-C571)</f>
        <v>2.8599999999999959E-2</v>
      </c>
      <c r="F571" s="31" cm="1">
        <f t="array" ref="F571">IF(D571=0,"",(D571-C571)/C571)</f>
        <v>3.5907093534212127E-2</v>
      </c>
      <c r="G571" s="32">
        <v>6885</v>
      </c>
      <c r="H571" s="10">
        <v>1</v>
      </c>
      <c r="I571" s="11" cm="1">
        <f t="array" ref="I571">IF(D571="","",(G571*C571)*0.00075)</f>
        <v>4.1129268750000003</v>
      </c>
      <c r="J571" s="11" cm="1">
        <f t="array" ref="J571">IF(D571="","",(G571*D571)*0.00075)</f>
        <v>4.2606101249999995</v>
      </c>
      <c r="K571" s="33" cm="1">
        <f t="array" ref="K571">IF(D571="","",J571+I571)</f>
        <v>8.3735369999999989</v>
      </c>
      <c r="L571" s="33" cm="1">
        <f t="array" ref="L571">IF(D571=0,0,(D571-C571)*G571)</f>
        <v>196.91099999999972</v>
      </c>
      <c r="M571" s="12">
        <v>5282.7308898749998</v>
      </c>
      <c r="N571" s="34" cm="1">
        <f t="array" ref="N571">IFERROR((K571-J571)/J571,"–")</f>
        <v>0.96533753484426132</v>
      </c>
      <c r="O571" s="33" cm="1">
        <f t="array" ref="O571">IF(D571=0,0,L571-K571)</f>
        <v>188.53746299999972</v>
      </c>
      <c r="P571" s="11"/>
      <c r="Q571" s="35"/>
    </row>
    <row r="572" spans="1:17" ht="22.5" customHeight="1">
      <c r="A572" s="16" t="s">
        <v>165</v>
      </c>
      <c r="B572" s="17">
        <v>44441</v>
      </c>
      <c r="C572" s="37">
        <v>0.79649999999999999</v>
      </c>
      <c r="D572" s="37">
        <v>0.82909999999999995</v>
      </c>
      <c r="E572" s="19" cm="1">
        <f t="array" ref="E572">IF(D572="","",D572-C572)</f>
        <v>3.2599999999999962E-2</v>
      </c>
      <c r="F572" s="20" cm="1">
        <f t="array" ref="F572">IF(D572=0,"",(D572-C572)/C572)</f>
        <v>4.092906465787817E-2</v>
      </c>
      <c r="G572" s="21">
        <v>10328</v>
      </c>
      <c r="H572" s="22">
        <v>1</v>
      </c>
      <c r="I572" s="23" cm="1">
        <f t="array" ref="I572">IF(D572="","",(G572*C572)*0.00075)</f>
        <v>6.1696890000000009</v>
      </c>
      <c r="J572" s="23" cm="1">
        <f t="array" ref="J572">IF(D572="","",(G572*D572)*0.00075)</f>
        <v>6.4222085999999994</v>
      </c>
      <c r="K572" s="24" cm="1">
        <f t="array" ref="K572">IF(D572="","",J572+I572)</f>
        <v>12.591897599999999</v>
      </c>
      <c r="L572" s="24" cm="1">
        <f t="array" ref="L572">IF(D572=0,0,(D572-C572)*G572)</f>
        <v>336.69279999999964</v>
      </c>
      <c r="M572" s="25">
        <v>7883.1369913999997</v>
      </c>
      <c r="N572" s="26" cm="1">
        <f t="array" ref="N572">IFERROR((K572-J572)/J572,"–")</f>
        <v>0.96068025569895077</v>
      </c>
      <c r="O572" s="24" cm="1">
        <f t="array" ref="O572">IF(D572=0,0,L572-K572)</f>
        <v>324.10090239999965</v>
      </c>
      <c r="P572" s="23"/>
      <c r="Q572" s="27"/>
    </row>
    <row r="573" spans="1:17" ht="22.5" customHeight="1">
      <c r="A573" s="16" t="s">
        <v>165</v>
      </c>
      <c r="B573" s="28">
        <v>44441</v>
      </c>
      <c r="C573" s="36">
        <v>0.79649999999999999</v>
      </c>
      <c r="D573" s="36">
        <v>0.84499999999999997</v>
      </c>
      <c r="E573" s="30" cm="1">
        <f t="array" ref="E573">IF(D573="","",D573-C573)</f>
        <v>4.8499999999999988E-2</v>
      </c>
      <c r="F573" s="31" cm="1">
        <f t="array" ref="F573">IF(D573=0,"",(D573-C573)/C573)</f>
        <v>6.0891399874450705E-2</v>
      </c>
      <c r="G573" s="32">
        <v>10328</v>
      </c>
      <c r="H573" s="10">
        <v>1</v>
      </c>
      <c r="I573" s="11" cm="1">
        <f t="array" ref="I573">IF(D573="","",(G573*C573)*0.00075)</f>
        <v>6.1696890000000009</v>
      </c>
      <c r="J573" s="11" cm="1">
        <f t="array" ref="J573">IF(D573="","",(G573*D573)*0.00075)</f>
        <v>6.5453700000000001</v>
      </c>
      <c r="K573" s="33" cm="1">
        <f t="array" ref="K573">IF(D573="","",J573+I573)</f>
        <v>12.715059</v>
      </c>
      <c r="L573" s="33" cm="1">
        <f t="array" ref="L573">IF(D573=0,0,(D573-C573)*G573)</f>
        <v>500.90799999999984</v>
      </c>
      <c r="M573" s="12">
        <v>7718.7986300000002</v>
      </c>
      <c r="N573" s="34" cm="1">
        <f t="array" ref="N573">IFERROR((K573-J573)/J573,"–")</f>
        <v>0.94260355029585796</v>
      </c>
      <c r="O573" s="33" cm="1">
        <f t="array" ref="O573">IF(D573=0,0,L573-K573)</f>
        <v>488.19294099999985</v>
      </c>
      <c r="P573" s="11"/>
      <c r="Q573" s="35"/>
    </row>
    <row r="574" spans="1:17" ht="22.5" customHeight="1">
      <c r="A574" s="16" t="s">
        <v>438</v>
      </c>
      <c r="B574" s="17">
        <v>44441</v>
      </c>
      <c r="C574" s="37">
        <v>33</v>
      </c>
      <c r="D574" s="37">
        <v>1</v>
      </c>
      <c r="E574" s="19" cm="1">
        <f t="array" ref="E574">IF(D574="","",D574-C574)</f>
        <v>-32</v>
      </c>
      <c r="F574" s="20" cm="1">
        <f t="array" ref="F574">IF(D574=0,"",(D574-C574)/C574)</f>
        <v>-0.96969696969696972</v>
      </c>
      <c r="G574" s="21">
        <v>1</v>
      </c>
      <c r="H574" s="22">
        <v>1</v>
      </c>
      <c r="I574" s="23" cm="1">
        <f t="array" ref="I574">IF(D574="","",(G574*C574)*0.00075)</f>
        <v>2.4750000000000001E-2</v>
      </c>
      <c r="J574" s="23" cm="1">
        <f t="array" ref="J574">IF(D574="","",(G574*D574)*0.00075)</f>
        <v>7.5000000000000002E-4</v>
      </c>
      <c r="K574" s="24" cm="1">
        <f t="array" ref="K574">IF(D574="","",J574+I574)</f>
        <v>2.5500000000000002E-2</v>
      </c>
      <c r="L574" s="24" cm="1">
        <f t="array" ref="L574">IF(D574=0,0,(D574-C574)*G574)</f>
        <v>-32</v>
      </c>
      <c r="M574" s="25">
        <v>64.999250000000004</v>
      </c>
      <c r="N574" s="26" cm="1">
        <f t="array" ref="N574">IFERROR((K574-J574)/J574,"–")</f>
        <v>33</v>
      </c>
      <c r="O574" s="24" cm="1">
        <f t="array" ref="O574">IF(D574=0,0,L574-K574)</f>
        <v>-32.025500000000001</v>
      </c>
      <c r="P574" s="23"/>
      <c r="Q574" s="27"/>
    </row>
    <row r="575" spans="1:17" ht="22.5" customHeight="1">
      <c r="A575" s="16" t="s">
        <v>142</v>
      </c>
      <c r="B575" s="28">
        <v>44442</v>
      </c>
      <c r="C575" s="36">
        <v>2.75</v>
      </c>
      <c r="D575" s="36">
        <v>2.86</v>
      </c>
      <c r="E575" s="30" cm="1">
        <f t="array" ref="E575">IF(D575="","",D575-C575)</f>
        <v>0.10999999999999988</v>
      </c>
      <c r="F575" s="31" cm="1">
        <f t="array" ref="F575">IF(D575=0,"",(D575-C575)/C575)</f>
        <v>3.9999999999999952E-2</v>
      </c>
      <c r="G575" s="32">
        <v>1000</v>
      </c>
      <c r="H575" s="10">
        <v>1</v>
      </c>
      <c r="I575" s="11" cm="1">
        <f t="array" ref="I575">IF(D575="","",(G575*C575)*0.00075)</f>
        <v>2.0625</v>
      </c>
      <c r="J575" s="11" cm="1">
        <f t="array" ref="J575">IF(D575="","",(G575*D575)*0.00075)</f>
        <v>2.145</v>
      </c>
      <c r="K575" s="33" cm="1">
        <f t="array" ref="K575">IF(D575="","",J575+I575)</f>
        <v>4.2074999999999996</v>
      </c>
      <c r="L575" s="33" cm="1">
        <f t="array" ref="L575">IF(D575=0,0,(D575-C575)*G575)</f>
        <v>109.99999999999987</v>
      </c>
      <c r="M575" s="12">
        <v>2637.855</v>
      </c>
      <c r="N575" s="34" cm="1">
        <f t="array" ref="N575">IFERROR((K575-J575)/J575,"–")</f>
        <v>0.96153846153846134</v>
      </c>
      <c r="O575" s="33" cm="1">
        <f t="array" ref="O575">IF(D575=0,0,L575-K575)</f>
        <v>105.79249999999988</v>
      </c>
      <c r="P575" s="11"/>
      <c r="Q575" s="35"/>
    </row>
    <row r="576" spans="1:17" ht="22.5" customHeight="1">
      <c r="A576" s="16" t="s">
        <v>133</v>
      </c>
      <c r="B576" s="17">
        <v>44442</v>
      </c>
      <c r="C576" s="37">
        <v>1.1173999999999999</v>
      </c>
      <c r="D576" s="37">
        <v>1.1253</v>
      </c>
      <c r="E576" s="19" cm="1">
        <f t="array" ref="E576">IF(D576="","",D576-C576)</f>
        <v>7.9000000000000181E-3</v>
      </c>
      <c r="F576" s="20" cm="1">
        <f t="array" ref="F576">IF(D576=0,"",(D576-C576)/C576)</f>
        <v>7.0699838911759605E-3</v>
      </c>
      <c r="G576" s="21">
        <v>6711</v>
      </c>
      <c r="H576" s="22">
        <v>1</v>
      </c>
      <c r="I576" s="23" cm="1">
        <f t="array" ref="I576">IF(D576="","",(G576*C576)*0.00075)</f>
        <v>5.6241535499999999</v>
      </c>
      <c r="J576" s="23" cm="1">
        <f t="array" ref="J576">IF(D576="","",(G576*D576)*0.00075)</f>
        <v>5.6639162249999995</v>
      </c>
      <c r="K576" s="24" cm="1">
        <f t="array" ref="K576">IF(D576="","",J576+I576)</f>
        <v>11.288069775</v>
      </c>
      <c r="L576" s="24" cm="1">
        <f t="array" ref="L576">IF(D576=0,0,(D576-C576)*G576)</f>
        <v>53.01690000000012</v>
      </c>
      <c r="M576" s="25">
        <v>7440.1905837750001</v>
      </c>
      <c r="N576" s="26" cm="1">
        <f t="array" ref="N576">IFERROR((K576-J576)/J576,"–")</f>
        <v>0.99297964987114573</v>
      </c>
      <c r="O576" s="24" cm="1">
        <f t="array" ref="O576">IF(D576=0,0,L576-K576)</f>
        <v>41.728830225000124</v>
      </c>
      <c r="P576" s="23"/>
      <c r="Q576" s="27"/>
    </row>
    <row r="577" spans="1:17" ht="22.5" customHeight="1">
      <c r="A577" s="16" t="s">
        <v>133</v>
      </c>
      <c r="B577" s="28">
        <v>44442</v>
      </c>
      <c r="C577" s="36">
        <v>1.1173999999999999</v>
      </c>
      <c r="D577" s="36">
        <v>1.1299999999999999</v>
      </c>
      <c r="E577" s="30" cm="1">
        <f t="array" ref="E577">IF(D577="","",D577-C577)</f>
        <v>1.2599999999999945E-2</v>
      </c>
      <c r="F577" s="31" cm="1">
        <f t="array" ref="F577">IF(D577=0,"",(D577-C577)/C577)</f>
        <v>1.1276176839090697E-2</v>
      </c>
      <c r="G577" s="32">
        <v>5033</v>
      </c>
      <c r="H577" s="10">
        <v>1</v>
      </c>
      <c r="I577" s="11" cm="1">
        <f t="array" ref="I577">IF(D577="","",(G577*C577)*0.00075)</f>
        <v>4.2179056499999996</v>
      </c>
      <c r="J577" s="11" cm="1">
        <f t="array" ref="J577">IF(D577="","",(G577*D577)*0.00075)</f>
        <v>4.2654674999999997</v>
      </c>
      <c r="K577" s="33" cm="1">
        <f t="array" ref="K577">IF(D577="","",J577+I577)</f>
        <v>8.4833731499999985</v>
      </c>
      <c r="L577" s="33" cm="1">
        <f t="array" ref="L577">IF(D577=0,0,(D577-C577)*G577)</f>
        <v>63.41579999999972</v>
      </c>
      <c r="M577" s="12">
        <v>5556.1929325000001</v>
      </c>
      <c r="N577" s="34" cm="1">
        <f t="array" ref="N577">IFERROR((K577-J577)/J577,"–")</f>
        <v>0.98884955752212367</v>
      </c>
      <c r="O577" s="33" cm="1">
        <f t="array" ref="O577">IF(D577=0,0,L577-K577)</f>
        <v>54.932426849999722</v>
      </c>
      <c r="P577" s="11"/>
      <c r="Q577" s="35"/>
    </row>
    <row r="578" spans="1:17" ht="22.5" customHeight="1">
      <c r="A578" s="16" t="s">
        <v>133</v>
      </c>
      <c r="B578" s="17">
        <v>44442</v>
      </c>
      <c r="C578" s="37">
        <v>1.1173999999999999</v>
      </c>
      <c r="D578" s="37">
        <v>1.1379999999999999</v>
      </c>
      <c r="E578" s="19" cm="1">
        <f t="array" ref="E578">IF(D578="","",D578-C578)</f>
        <v>2.0599999999999952E-2</v>
      </c>
      <c r="F578" s="20" cm="1">
        <f t="array" ref="F578">IF(D578=0,"",(D578-C578)/C578)</f>
        <v>1.8435654197243558E-2</v>
      </c>
      <c r="G578" s="21">
        <v>3864</v>
      </c>
      <c r="H578" s="22">
        <v>1</v>
      </c>
      <c r="I578" s="23" cm="1">
        <f t="array" ref="I578">IF(D578="","",(G578*C578)*0.00075)</f>
        <v>3.2382252</v>
      </c>
      <c r="J578" s="23" cm="1">
        <f t="array" ref="J578">IF(D578="","",(G578*D578)*0.00075)</f>
        <v>3.2979240000000001</v>
      </c>
      <c r="K578" s="24" cm="1">
        <f t="array" ref="K578">IF(D578="","",J578+I578)</f>
        <v>6.5361492000000005</v>
      </c>
      <c r="L578" s="24" cm="1">
        <f t="array" ref="L578">IF(D578=0,0,(D578-C578)*G578)</f>
        <v>79.598399999999813</v>
      </c>
      <c r="M578" s="25">
        <v>4234.7372759999998</v>
      </c>
      <c r="N578" s="26" cm="1">
        <f t="array" ref="N578">IFERROR((K578-J578)/J578,"–")</f>
        <v>0.9818980667838314</v>
      </c>
      <c r="O578" s="24" cm="1">
        <f t="array" ref="O578">IF(D578=0,0,L578-K578)</f>
        <v>73.062250799999816</v>
      </c>
      <c r="P578" s="23"/>
      <c r="Q578" s="27"/>
    </row>
    <row r="579" spans="1:17" ht="22.5" customHeight="1">
      <c r="A579" s="16" t="s">
        <v>133</v>
      </c>
      <c r="B579" s="28">
        <v>44442</v>
      </c>
      <c r="C579" s="36">
        <v>1.1173999999999999</v>
      </c>
      <c r="D579" s="36">
        <v>1.1397999999999999</v>
      </c>
      <c r="E579" s="30" cm="1">
        <f t="array" ref="E579">IF(D579="","",D579-C579)</f>
        <v>2.2399999999999975E-2</v>
      </c>
      <c r="F579" s="31" cm="1">
        <f t="array" ref="F579">IF(D579=0,"",(D579-C579)/C579)</f>
        <v>2.0046536602827972E-2</v>
      </c>
      <c r="G579" s="32">
        <v>5663</v>
      </c>
      <c r="H579" s="10">
        <v>1</v>
      </c>
      <c r="I579" s="11" cm="1">
        <f t="array" ref="I579">IF(D579="","",(G579*C579)*0.00075)</f>
        <v>4.7458771500000001</v>
      </c>
      <c r="J579" s="11" cm="1">
        <f t="array" ref="J579">IF(D579="","",(G579*D579)*0.00075)</f>
        <v>4.8410155499999998</v>
      </c>
      <c r="K579" s="33" cm="1">
        <f t="array" ref="K579">IF(D579="","",J579+I579)</f>
        <v>9.5868926999999999</v>
      </c>
      <c r="L579" s="33" cm="1">
        <f t="array" ref="L579">IF(D579=0,0,(D579-C579)*G579)</f>
        <v>126.85119999999986</v>
      </c>
      <c r="M579" s="12">
        <v>6196.1439844500001</v>
      </c>
      <c r="N579" s="34" cm="1">
        <f t="array" ref="N579">IFERROR((K579-J579)/J579,"–")</f>
        <v>0.98034742937357433</v>
      </c>
      <c r="O579" s="33" cm="1">
        <f t="array" ref="O579">IF(D579=0,0,L579-K579)</f>
        <v>117.26430729999987</v>
      </c>
      <c r="P579" s="11"/>
      <c r="Q579" s="35"/>
    </row>
    <row r="580" spans="1:17" ht="22.5" customHeight="1">
      <c r="A580" s="16" t="s">
        <v>133</v>
      </c>
      <c r="B580" s="17">
        <v>44442</v>
      </c>
      <c r="C580" s="37">
        <v>1.1173999999999999</v>
      </c>
      <c r="D580" s="37">
        <v>1.1389</v>
      </c>
      <c r="E580" s="19" cm="1">
        <f t="array" ref="E580">IF(D580="","",D580-C580)</f>
        <v>2.1500000000000075E-2</v>
      </c>
      <c r="F580" s="20" cm="1">
        <f t="array" ref="F580">IF(D580=0,"",(D580-C580)/C580)</f>
        <v>1.9241095400035865E-2</v>
      </c>
      <c r="G580" s="21">
        <v>5575</v>
      </c>
      <c r="H580" s="22">
        <v>1</v>
      </c>
      <c r="I580" s="23" cm="1">
        <f t="array" ref="I580">IF(D580="","",(G580*C580)*0.00075)</f>
        <v>4.6721287500000006</v>
      </c>
      <c r="J580" s="23" cm="1">
        <f t="array" ref="J580">IF(D580="","",(G580*D580)*0.00075)</f>
        <v>4.7620256250000006</v>
      </c>
      <c r="K580" s="24" cm="1">
        <f t="array" ref="K580">IF(D580="","",J580+I580)</f>
        <v>9.4341543750000021</v>
      </c>
      <c r="L580" s="24" cm="1">
        <f t="array" ref="L580">IF(D580=0,0,(D580-C580)*G580)</f>
        <v>119.86250000000041</v>
      </c>
      <c r="M580" s="25">
        <v>6104.8804743749997</v>
      </c>
      <c r="N580" s="26" cm="1">
        <f t="array" ref="N580">IFERROR((K580-J580)/J580,"–")</f>
        <v>0.98112213539380122</v>
      </c>
      <c r="O580" s="24" cm="1">
        <f t="array" ref="O580">IF(D580=0,0,L580-K580)</f>
        <v>110.4283456250004</v>
      </c>
      <c r="P580" s="23"/>
      <c r="Q580" s="27"/>
    </row>
    <row r="581" spans="1:17" ht="22.5" customHeight="1">
      <c r="A581" s="16" t="s">
        <v>127</v>
      </c>
      <c r="B581" s="28">
        <v>44442</v>
      </c>
      <c r="C581" s="36">
        <v>7.6284999999999998</v>
      </c>
      <c r="D581" s="36">
        <v>7.69</v>
      </c>
      <c r="E581" s="30" cm="1">
        <f t="array" ref="E581">IF(D581="","",D581-C581)</f>
        <v>6.1500000000000554E-2</v>
      </c>
      <c r="F581" s="31" cm="1">
        <f t="array" ref="F581">IF(D581=0,"",(D581-C581)/C581)</f>
        <v>8.0618732385135429E-3</v>
      </c>
      <c r="G581" s="32">
        <v>250</v>
      </c>
      <c r="H581" s="10">
        <v>1</v>
      </c>
      <c r="I581" s="11" cm="1">
        <f t="array" ref="I581">IF(D581="","",(G581*C581)*0.00075)</f>
        <v>1.43034375</v>
      </c>
      <c r="J581" s="11" cm="1">
        <f t="array" ref="J581">IF(D581="","",(G581*D581)*0.00075)</f>
        <v>1.441875</v>
      </c>
      <c r="K581" s="33" cm="1">
        <f t="array" ref="K581">IF(D581="","",J581+I581)</f>
        <v>2.87221875</v>
      </c>
      <c r="L581" s="33" cm="1">
        <f t="array" ref="L581">IF(D581=0,0,(D581-C581)*G581)</f>
        <v>15.375000000000139</v>
      </c>
      <c r="M581" s="12">
        <v>1890.308125</v>
      </c>
      <c r="N581" s="34" cm="1">
        <f t="array" ref="N581">IFERROR((K581-J581)/J581,"–")</f>
        <v>0.99200260078023406</v>
      </c>
      <c r="O581" s="33" cm="1">
        <f t="array" ref="O581">IF(D581=0,0,L581-K581)</f>
        <v>12.502781250000139</v>
      </c>
      <c r="P581" s="11"/>
      <c r="Q581" s="35"/>
    </row>
    <row r="582" spans="1:17" ht="22.5" customHeight="1">
      <c r="A582" s="16" t="s">
        <v>127</v>
      </c>
      <c r="B582" s="17">
        <v>44442</v>
      </c>
      <c r="C582" s="37">
        <v>7.6284999999999998</v>
      </c>
      <c r="D582" s="37">
        <v>7.74</v>
      </c>
      <c r="E582" s="19" cm="1">
        <f t="array" ref="E582">IF(D582="","",D582-C582)</f>
        <v>0.11150000000000038</v>
      </c>
      <c r="F582" s="20" cm="1">
        <f t="array" ref="F582">IF(D582=0,"",(D582-C582)/C582)</f>
        <v>1.4616241725109835E-2</v>
      </c>
      <c r="G582" s="21">
        <v>250</v>
      </c>
      <c r="H582" s="22">
        <v>1</v>
      </c>
      <c r="I582" s="23" cm="1">
        <f t="array" ref="I582">IF(D582="","",(G582*C582)*0.00075)</f>
        <v>1.43034375</v>
      </c>
      <c r="J582" s="23" cm="1">
        <f t="array" ref="J582">IF(D582="","",(G582*D582)*0.00075)</f>
        <v>1.4512499999999999</v>
      </c>
      <c r="K582" s="24" cm="1">
        <f t="array" ref="K582">IF(D582="","",J582+I582)</f>
        <v>2.88159375</v>
      </c>
      <c r="L582" s="24" cm="1">
        <f t="array" ref="L582">IF(D582=0,0,(D582-C582)*G582)</f>
        <v>27.875000000000092</v>
      </c>
      <c r="M582" s="25">
        <v>1877.7987499999999</v>
      </c>
      <c r="N582" s="26" cm="1">
        <f t="array" ref="N582">IFERROR((K582-J582)/J582,"–")</f>
        <v>0.98559431524547814</v>
      </c>
      <c r="O582" s="24" cm="1">
        <f t="array" ref="O582">IF(D582=0,0,L582-K582)</f>
        <v>24.993406250000092</v>
      </c>
      <c r="P582" s="23"/>
      <c r="Q582" s="27"/>
    </row>
    <row r="583" spans="1:17" ht="22.5" customHeight="1">
      <c r="A583" s="16" t="s">
        <v>49</v>
      </c>
      <c r="B583" s="28">
        <v>44442</v>
      </c>
      <c r="C583" s="36">
        <v>33.5</v>
      </c>
      <c r="D583" s="36">
        <v>33.984999999999999</v>
      </c>
      <c r="E583" s="30" cm="1">
        <f t="array" ref="E583">IF(D583="","",D583-C583)</f>
        <v>0.48499999999999943</v>
      </c>
      <c r="F583" s="31" cm="1">
        <f t="array" ref="F583">IF(D583=0,"",(D583-C583)/C583)</f>
        <v>1.447761194029849E-2</v>
      </c>
      <c r="G583" s="32">
        <v>100</v>
      </c>
      <c r="H583" s="10">
        <v>1</v>
      </c>
      <c r="I583" s="11" cm="1">
        <f t="array" ref="I583">IF(D583="","",(G583*C583)*0.00075)</f>
        <v>2.5125000000000002</v>
      </c>
      <c r="J583" s="11" cm="1">
        <f t="array" ref="J583">IF(D583="","",(G583*D583)*0.00075)</f>
        <v>2.5488750000000002</v>
      </c>
      <c r="K583" s="33" cm="1">
        <f t="array" ref="K583">IF(D583="","",J583+I583)</f>
        <v>5.061375</v>
      </c>
      <c r="L583" s="33" cm="1">
        <f t="array" ref="L583">IF(D583=0,0,(D583-C583)*G583)</f>
        <v>48.499999999999943</v>
      </c>
      <c r="M583" s="12">
        <v>3298.951125</v>
      </c>
      <c r="N583" s="34" cm="1">
        <f t="array" ref="N583">IFERROR((K583-J583)/J583,"–")</f>
        <v>0.98572899808739134</v>
      </c>
      <c r="O583" s="33" cm="1">
        <f t="array" ref="O583">IF(D583=0,0,L583-K583)</f>
        <v>43.438624999999945</v>
      </c>
      <c r="P583" s="11"/>
      <c r="Q583" s="35"/>
    </row>
    <row r="584" spans="1:17" ht="22.5" customHeight="1">
      <c r="A584" s="16" t="s">
        <v>83</v>
      </c>
      <c r="B584" s="17">
        <v>44442</v>
      </c>
      <c r="C584" s="37">
        <v>3.5549999999999998E-2</v>
      </c>
      <c r="D584" s="37">
        <v>3.5900000000000001E-2</v>
      </c>
      <c r="E584" s="19" cm="1">
        <f t="array" ref="E584">IF(D584="","",D584-C584)</f>
        <v>3.5000000000000309E-4</v>
      </c>
      <c r="F584" s="20" cm="1">
        <f t="array" ref="F584">IF(D584=0,"",(D584-C584)/C584)</f>
        <v>9.8452883263010719E-3</v>
      </c>
      <c r="G584" s="21">
        <v>6849</v>
      </c>
      <c r="H584" s="22">
        <v>1</v>
      </c>
      <c r="I584" s="23" cm="1">
        <f t="array" ref="I584">IF(D584="","",(G584*C584)*0.00075)</f>
        <v>0.18261146249999999</v>
      </c>
      <c r="J584" s="23" cm="1">
        <f t="array" ref="J584">IF(D584="","",(G584*D584)*0.00075)</f>
        <v>0.18440932500000001</v>
      </c>
      <c r="K584" s="24" cm="1">
        <f t="array" ref="K584">IF(D584="","",J584+I584)</f>
        <v>0.3670207875</v>
      </c>
      <c r="L584" s="24" cm="1">
        <f t="array" ref="L584">IF(D584=0,0,(D584-C584)*G584)</f>
        <v>2.3971500000000212</v>
      </c>
      <c r="M584" s="25">
        <v>240.90039067500001</v>
      </c>
      <c r="N584" s="26" cm="1">
        <f t="array" ref="N584">IFERROR((K584-J584)/J584,"–")</f>
        <v>0.9902506963788299</v>
      </c>
      <c r="O584" s="24" cm="1">
        <f t="array" ref="O584">IF(D584=0,0,L584-K584)</f>
        <v>2.0301292125000212</v>
      </c>
      <c r="P584" s="23"/>
      <c r="Q584" s="27"/>
    </row>
    <row r="585" spans="1:17" ht="22.5" customHeight="1">
      <c r="A585" s="16" t="s">
        <v>83</v>
      </c>
      <c r="B585" s="28">
        <v>44442</v>
      </c>
      <c r="C585" s="36">
        <v>3.5549999999999998E-2</v>
      </c>
      <c r="D585" s="36">
        <v>3.5799999999999998E-2</v>
      </c>
      <c r="E585" s="30" cm="1">
        <f t="array" ref="E585">IF(D585="","",D585-C585)</f>
        <v>2.5000000000000022E-4</v>
      </c>
      <c r="F585" s="31" cm="1">
        <f t="array" ref="F585">IF(D585=0,"",(D585-C585)/C585)</f>
        <v>7.0323488045007099E-3</v>
      </c>
      <c r="G585" s="32">
        <v>205526</v>
      </c>
      <c r="H585" s="10">
        <v>1</v>
      </c>
      <c r="I585" s="11" cm="1">
        <f t="array" ref="I585">IF(D585="","",(G585*C585)*0.00075)</f>
        <v>5.4798369749999996</v>
      </c>
      <c r="J585" s="11" cm="1">
        <f t="array" ref="J585">IF(D585="","",(G585*D585)*0.00075)</f>
        <v>5.5183730999999998</v>
      </c>
      <c r="K585" s="33" cm="1">
        <f t="array" ref="K585">IF(D585="","",J585+I585)</f>
        <v>10.998210074999999</v>
      </c>
      <c r="L585" s="33" cm="1">
        <f t="array" ref="L585">IF(D585=0,0,(D585-C585)*G585)</f>
        <v>51.381500000000045</v>
      </c>
      <c r="M585" s="12">
        <v>7249.5494269000001</v>
      </c>
      <c r="N585" s="34" cm="1">
        <f t="array" ref="N585">IFERROR((K585-J585)/J585,"–")</f>
        <v>0.99301675977653625</v>
      </c>
      <c r="O585" s="33" cm="1">
        <f t="array" ref="O585">IF(D585=0,0,L585-K585)</f>
        <v>40.383289925000042</v>
      </c>
      <c r="P585" s="11"/>
      <c r="Q585" s="35"/>
    </row>
    <row r="586" spans="1:17" ht="22.5" customHeight="1">
      <c r="A586" s="16" t="s">
        <v>83</v>
      </c>
      <c r="B586" s="17">
        <v>44442</v>
      </c>
      <c r="C586" s="37">
        <v>3.5549999999999998E-2</v>
      </c>
      <c r="D586" s="37">
        <v>3.5749999999999997E-2</v>
      </c>
      <c r="E586" s="19" cm="1">
        <f t="array" ref="E586">IF(D586="","",D586-C586)</f>
        <v>1.9999999999999879E-4</v>
      </c>
      <c r="F586" s="20" cm="1">
        <f t="array" ref="F586">IF(D586=0,"",(D586-C586)/C586)</f>
        <v>5.6258790436005289E-3</v>
      </c>
      <c r="G586" s="21">
        <v>154145</v>
      </c>
      <c r="H586" s="22">
        <v>1</v>
      </c>
      <c r="I586" s="23" cm="1">
        <f t="array" ref="I586">IF(D586="","",(G586*C586)*0.00075)</f>
        <v>4.1098910625</v>
      </c>
      <c r="J586" s="23" cm="1">
        <f t="array" ref="J586">IF(D586="","",(G586*D586)*0.00075)</f>
        <v>4.1330128124999996</v>
      </c>
      <c r="K586" s="24" cm="1">
        <f t="array" ref="K586">IF(D586="","",J586+I586)</f>
        <v>8.2429038749999997</v>
      </c>
      <c r="L586" s="24" cm="1">
        <f t="array" ref="L586">IF(D586=0,0,(D586-C586)*G586)</f>
        <v>30.828999999999812</v>
      </c>
      <c r="M586" s="25">
        <v>5444.8927371874997</v>
      </c>
      <c r="N586" s="26" cm="1">
        <f t="array" ref="N586">IFERROR((K586-J586)/J586,"–")</f>
        <v>0.99440559440559451</v>
      </c>
      <c r="O586" s="24" cm="1">
        <f t="array" ref="O586">IF(D586=0,0,L586-K586)</f>
        <v>22.586096124999813</v>
      </c>
      <c r="P586" s="23"/>
      <c r="Q586" s="27"/>
    </row>
    <row r="587" spans="1:17" ht="22.5" customHeight="1">
      <c r="A587" s="16" t="s">
        <v>83</v>
      </c>
      <c r="B587" s="28">
        <v>44442</v>
      </c>
      <c r="C587" s="36">
        <v>3.5549999999999998E-2</v>
      </c>
      <c r="D587" s="36">
        <v>3.5700000000000003E-2</v>
      </c>
      <c r="E587" s="30" cm="1">
        <f t="array" ref="E587">IF(D587="","",D587-C587)</f>
        <v>1.500000000000043E-4</v>
      </c>
      <c r="F587" s="31" cm="1">
        <f t="array" ref="F587">IF(D587=0,"",(D587-C587)/C587)</f>
        <v>4.219409282700543E-3</v>
      </c>
      <c r="G587" s="32">
        <v>364811</v>
      </c>
      <c r="H587" s="10">
        <v>1</v>
      </c>
      <c r="I587" s="11" cm="1">
        <f t="array" ref="I587">IF(D587="","",(G587*C587)*0.00075)</f>
        <v>9.7267732875000004</v>
      </c>
      <c r="J587" s="11" cm="1">
        <f t="array" ref="J587">IF(D587="","",(G587*D587)*0.00075)</f>
        <v>9.7678145250000004</v>
      </c>
      <c r="K587" s="33" cm="1">
        <f t="array" ref="K587">IF(D587="","",J587+I587)</f>
        <v>19.494587812500001</v>
      </c>
      <c r="L587" s="33" cm="1">
        <f t="array" ref="L587">IF(D587=0,0,(D587-C587)*G587)</f>
        <v>54.721650000001567</v>
      </c>
      <c r="M587" s="12">
        <v>12904.541585475001</v>
      </c>
      <c r="N587" s="34" cm="1">
        <f t="array" ref="N587">IFERROR((K587-J587)/J587,"–")</f>
        <v>0.99579831932773111</v>
      </c>
      <c r="O587" s="33" cm="1">
        <f t="array" ref="O587">IF(D587=0,0,L587-K587)</f>
        <v>35.227062187501566</v>
      </c>
      <c r="P587" s="11"/>
      <c r="Q587" s="35"/>
    </row>
    <row r="588" spans="1:17" ht="22.5" customHeight="1">
      <c r="A588" s="16" t="s">
        <v>83</v>
      </c>
      <c r="B588" s="17">
        <v>44442</v>
      </c>
      <c r="C588" s="37">
        <v>3.5549999999999998E-2</v>
      </c>
      <c r="D588" s="37">
        <v>3.5700000000000003E-2</v>
      </c>
      <c r="E588" s="19" cm="1">
        <f t="array" ref="E588">IF(D588="","",D588-C588)</f>
        <v>1.500000000000043E-4</v>
      </c>
      <c r="F588" s="20" cm="1">
        <f t="array" ref="F588">IF(D588=0,"",(D588-C588)/C588)</f>
        <v>4.219409282700543E-3</v>
      </c>
      <c r="G588" s="21">
        <v>364811</v>
      </c>
      <c r="H588" s="22">
        <v>1</v>
      </c>
      <c r="I588" s="23" cm="1">
        <f t="array" ref="I588">IF(D588="","",(G588*C588)*0.00075)</f>
        <v>9.7267732875000004</v>
      </c>
      <c r="J588" s="23" cm="1">
        <f t="array" ref="J588">IF(D588="","",(G588*D588)*0.00075)</f>
        <v>9.7678145250000004</v>
      </c>
      <c r="K588" s="24" cm="1">
        <f t="array" ref="K588">IF(D588="","",J588+I588)</f>
        <v>19.494587812500001</v>
      </c>
      <c r="L588" s="24" cm="1">
        <f t="array" ref="L588">IF(D588=0,0,(D588-C588)*G588)</f>
        <v>54.721650000001567</v>
      </c>
      <c r="M588" s="25">
        <v>12904.541585475001</v>
      </c>
      <c r="N588" s="26" cm="1">
        <f t="array" ref="N588">IFERROR((K588-J588)/J588,"–")</f>
        <v>0.99579831932773111</v>
      </c>
      <c r="O588" s="24" cm="1">
        <f t="array" ref="O588">IF(D588=0,0,L588-K588)</f>
        <v>35.227062187501566</v>
      </c>
      <c r="P588" s="23"/>
      <c r="Q588" s="27"/>
    </row>
    <row r="589" spans="1:17" ht="22.5" customHeight="1">
      <c r="A589" s="16" t="s">
        <v>166</v>
      </c>
      <c r="B589" s="28">
        <v>44443</v>
      </c>
      <c r="C589" s="36">
        <v>12.9566</v>
      </c>
      <c r="D589" s="36">
        <v>12.99</v>
      </c>
      <c r="E589" s="30" cm="1">
        <f t="array" ref="E589">IF(D589="","",D589-C589)</f>
        <v>3.3400000000000318E-2</v>
      </c>
      <c r="F589" s="31" cm="1">
        <f t="array" ref="F589">IF(D589=0,"",(D589-C589)/C589)</f>
        <v>2.5778367781671362E-3</v>
      </c>
      <c r="G589" s="32">
        <v>771.8</v>
      </c>
      <c r="H589" s="10">
        <v>1</v>
      </c>
      <c r="I589" s="11" cm="1">
        <f t="array" ref="I589">IF(D589="","",(G589*C589)*0.00075)</f>
        <v>7.4999279100000003</v>
      </c>
      <c r="J589" s="11" cm="1">
        <f t="array" ref="J589">IF(D589="","",(G589*D589)*0.00075)</f>
        <v>7.5192614999999989</v>
      </c>
      <c r="K589" s="33" cm="1">
        <f t="array" ref="K589">IF(D589="","",J589+I589)</f>
        <v>15.019189409999999</v>
      </c>
      <c r="L589" s="33" cm="1">
        <f t="array" ref="L589">IF(D589=0,0,(D589-C589)*G589)</f>
        <v>25.778120000000243</v>
      </c>
      <c r="M589" s="12">
        <v>9966.6064984999994</v>
      </c>
      <c r="N589" s="34" cm="1">
        <f t="array" ref="N589">IFERROR((K589-J589)/J589,"–")</f>
        <v>0.99742879137798324</v>
      </c>
      <c r="O589" s="33" cm="1">
        <f t="array" ref="O589">IF(D589=0,0,L589-K589)</f>
        <v>10.758930590000244</v>
      </c>
      <c r="P589" s="11"/>
      <c r="Q589" s="35"/>
    </row>
    <row r="590" spans="1:17" ht="22.5" customHeight="1">
      <c r="A590" s="16" t="s">
        <v>166</v>
      </c>
      <c r="B590" s="17">
        <v>44443</v>
      </c>
      <c r="C590" s="37">
        <v>12.9566</v>
      </c>
      <c r="D590" s="37">
        <v>13.05</v>
      </c>
      <c r="E590" s="19" cm="1">
        <f t="array" ref="E590">IF(D590="","",D590-C590)</f>
        <v>9.3400000000000816E-2</v>
      </c>
      <c r="F590" s="20" cm="1">
        <f t="array" ref="F590">IF(D590=0,"",(D590-C590)/C590)</f>
        <v>7.2086812898446212E-3</v>
      </c>
      <c r="G590" s="21">
        <v>578.79999999999995</v>
      </c>
      <c r="H590" s="22">
        <v>1</v>
      </c>
      <c r="I590" s="23" cm="1">
        <f t="array" ref="I590">IF(D590="","",(G590*C590)*0.00075)</f>
        <v>5.6244600599999997</v>
      </c>
      <c r="J590" s="23" cm="1">
        <f t="array" ref="J590">IF(D590="","",(G590*D590)*0.00075)</f>
        <v>5.6650049999999998</v>
      </c>
      <c r="K590" s="24" cm="1">
        <f t="array" ref="K590">IF(D590="","",J590+I590)</f>
        <v>11.289465059999999</v>
      </c>
      <c r="L590" s="24" cm="1">
        <f t="array" ref="L590">IF(D590=0,0,(D590-C590)*G590)</f>
        <v>54.059920000000467</v>
      </c>
      <c r="M590" s="25">
        <v>7439.555155</v>
      </c>
      <c r="N590" s="26" cm="1">
        <f t="array" ref="N590">IFERROR((K590-J590)/J590,"–")</f>
        <v>0.9928429118773946</v>
      </c>
      <c r="O590" s="24" cm="1">
        <f t="array" ref="O590">IF(D590=0,0,L590-K590)</f>
        <v>42.770454940000469</v>
      </c>
      <c r="P590" s="23"/>
      <c r="Q590" s="27"/>
    </row>
    <row r="591" spans="1:17" ht="22.5" customHeight="1">
      <c r="A591" s="16" t="s">
        <v>166</v>
      </c>
      <c r="B591" s="28">
        <v>44443</v>
      </c>
      <c r="C591" s="36">
        <v>12.9566</v>
      </c>
      <c r="D591" s="36">
        <v>13.05</v>
      </c>
      <c r="E591" s="30" cm="1">
        <f t="array" ref="E591">IF(D591="","",D591-C591)</f>
        <v>9.3400000000000816E-2</v>
      </c>
      <c r="F591" s="31" cm="1">
        <f t="array" ref="F591">IF(D591=0,"",(D591-C591)/C591)</f>
        <v>7.2086812898446212E-3</v>
      </c>
      <c r="G591" s="32">
        <v>434.1</v>
      </c>
      <c r="H591" s="10">
        <v>1</v>
      </c>
      <c r="I591" s="11" cm="1">
        <f t="array" ref="I591">IF(D591="","",(G591*C591)*0.00075)</f>
        <v>4.2183450450000004</v>
      </c>
      <c r="J591" s="11" cm="1">
        <f t="array" ref="J591">IF(D591="","",(G591*D591)*0.00075)</f>
        <v>4.2487537500000006</v>
      </c>
      <c r="K591" s="33" cm="1">
        <f t="array" ref="K591">IF(D591="","",J591+I591)</f>
        <v>8.4670987950000018</v>
      </c>
      <c r="L591" s="33" cm="1">
        <f t="array" ref="L591">IF(D591=0,0,(D591-C591)*G591)</f>
        <v>40.544940000000359</v>
      </c>
      <c r="M591" s="12">
        <v>5579.6663662499996</v>
      </c>
      <c r="N591" s="34" cm="1">
        <f t="array" ref="N591">IFERROR((K591-J591)/J591,"–")</f>
        <v>0.99284291187739482</v>
      </c>
      <c r="O591" s="33" cm="1">
        <f t="array" ref="O591">IF(D591=0,0,L591-K591)</f>
        <v>32.077841205000354</v>
      </c>
      <c r="P591" s="11"/>
      <c r="Q591" s="35"/>
    </row>
    <row r="592" spans="1:17" ht="22.5" customHeight="1">
      <c r="A592" s="16" t="s">
        <v>166</v>
      </c>
      <c r="B592" s="17">
        <v>44443</v>
      </c>
      <c r="C592" s="37">
        <v>12.9566</v>
      </c>
      <c r="D592" s="37">
        <v>13.1</v>
      </c>
      <c r="E592" s="19" cm="1">
        <f t="array" ref="E592">IF(D592="","",D592-C592)</f>
        <v>0.14339999999999975</v>
      </c>
      <c r="F592" s="20" cm="1">
        <f t="array" ref="F592">IF(D592=0,"",(D592-C592)/C592)</f>
        <v>1.1067718382909077E-2</v>
      </c>
      <c r="G592" s="21">
        <v>325.60000000000002</v>
      </c>
      <c r="H592" s="22">
        <v>1</v>
      </c>
      <c r="I592" s="23" cm="1">
        <f t="array" ref="I592">IF(D592="","",(G592*C592)*0.00075)</f>
        <v>3.1640017199999999</v>
      </c>
      <c r="J592" s="23" cm="1">
        <f t="array" ref="J592">IF(D592="","",(G592*D592)*0.00075)</f>
        <v>3.1990200000000004</v>
      </c>
      <c r="K592" s="24" cm="1">
        <f t="array" ref="K592">IF(D592="","",J592+I592)</f>
        <v>6.3630217200000008</v>
      </c>
      <c r="L592" s="24" cm="1">
        <f t="array" ref="L592">IF(D592=0,0,(D592-C592)*G592)</f>
        <v>46.691039999999923</v>
      </c>
      <c r="M592" s="25">
        <v>4168.7789000000002</v>
      </c>
      <c r="N592" s="26" cm="1">
        <f t="array" ref="N592">IFERROR((K592-J592)/J592,"–")</f>
        <v>0.98905343511450383</v>
      </c>
      <c r="O592" s="24" cm="1">
        <f t="array" ref="O592">IF(D592=0,0,L592-K592)</f>
        <v>40.328018279999924</v>
      </c>
      <c r="P592" s="23"/>
      <c r="Q592" s="27"/>
    </row>
    <row r="593" spans="1:17" ht="22.5" customHeight="1">
      <c r="A593" s="16" t="s">
        <v>166</v>
      </c>
      <c r="B593" s="28">
        <v>44443</v>
      </c>
      <c r="C593" s="36">
        <v>12.9566</v>
      </c>
      <c r="D593" s="36">
        <v>13.15</v>
      </c>
      <c r="E593" s="30" cm="1">
        <f t="array" ref="E593">IF(D593="","",D593-C593)</f>
        <v>0.19340000000000046</v>
      </c>
      <c r="F593" s="31" cm="1">
        <f t="array" ref="F593">IF(D593=0,"",(D593-C593)/C593)</f>
        <v>1.492675547597367E-2</v>
      </c>
      <c r="G593" s="32">
        <v>488.4</v>
      </c>
      <c r="H593" s="10">
        <v>1</v>
      </c>
      <c r="I593" s="11" cm="1">
        <f t="array" ref="I593">IF(D593="","",(G593*C593)*0.00075)</f>
        <v>4.7460025799999999</v>
      </c>
      <c r="J593" s="11" cm="1">
        <f t="array" ref="J593">IF(D593="","",(G593*D593)*0.00075)</f>
        <v>4.8168449999999998</v>
      </c>
      <c r="K593" s="33" cm="1">
        <f t="array" ref="K593">IF(D593="","",J593+I593)</f>
        <v>9.5628475799999997</v>
      </c>
      <c r="L593" s="33" cm="1">
        <f t="array" ref="L593">IF(D593=0,0,(D593-C593)*G593)</f>
        <v>94.456560000000223</v>
      </c>
      <c r="M593" s="12">
        <v>6228.7300349999996</v>
      </c>
      <c r="N593" s="34" cm="1">
        <f t="array" ref="N593">IFERROR((K593-J593)/J593,"–")</f>
        <v>0.9852927756653993</v>
      </c>
      <c r="O593" s="33" cm="1">
        <f t="array" ref="O593">IF(D593=0,0,L593-K593)</f>
        <v>84.893712420000227</v>
      </c>
      <c r="P593" s="11"/>
      <c r="Q593" s="35"/>
    </row>
    <row r="594" spans="1:17" ht="22.5" customHeight="1">
      <c r="A594" s="16" t="s">
        <v>166</v>
      </c>
      <c r="B594" s="17">
        <v>44443</v>
      </c>
      <c r="C594" s="37">
        <v>12.9566</v>
      </c>
      <c r="D594" s="37">
        <v>13.08</v>
      </c>
      <c r="E594" s="19" cm="1">
        <f t="array" ref="E594">IF(D594="","",D594-C594)</f>
        <v>0.12340000000000018</v>
      </c>
      <c r="F594" s="20" cm="1">
        <f t="array" ref="F594">IF(D594=0,"",(D594-C594)/C594)</f>
        <v>9.5241035456832945E-3</v>
      </c>
      <c r="G594" s="21">
        <v>488.5</v>
      </c>
      <c r="H594" s="22">
        <v>1</v>
      </c>
      <c r="I594" s="23" cm="1">
        <f t="array" ref="I594">IF(D594="","",(G594*C594)*0.00075)</f>
        <v>4.7469743250000001</v>
      </c>
      <c r="J594" s="23" cm="1">
        <f t="array" ref="J594">IF(D594="","",(G594*D594)*0.00075)</f>
        <v>4.7921849999999999</v>
      </c>
      <c r="K594" s="24" cm="1">
        <f t="array" ref="K594">IF(D594="","",J594+I594)</f>
        <v>9.539159325</v>
      </c>
      <c r="L594" s="24" cm="1">
        <f t="array" ref="L594">IF(D594=0,0,(D594-C594)*G594)</f>
        <v>60.280900000000088</v>
      </c>
      <c r="M594" s="25">
        <v>6264.2260150000002</v>
      </c>
      <c r="N594" s="26" cm="1">
        <f t="array" ref="N594">IFERROR((K594-J594)/J594,"–")</f>
        <v>0.99056574923547402</v>
      </c>
      <c r="O594" s="24" cm="1">
        <f t="array" ref="O594">IF(D594=0,0,L594-K594)</f>
        <v>50.741740675000088</v>
      </c>
      <c r="P594" s="23"/>
      <c r="Q594" s="27"/>
    </row>
    <row r="595" spans="1:17" ht="22.5" customHeight="1">
      <c r="A595" s="16" t="s">
        <v>167</v>
      </c>
      <c r="B595" s="28">
        <v>44443</v>
      </c>
      <c r="C595" s="36">
        <v>13.98</v>
      </c>
      <c r="D595" s="36">
        <v>14.17</v>
      </c>
      <c r="E595" s="30" cm="1">
        <f t="array" ref="E595">IF(D595="","",D595-C595)</f>
        <v>0.1899999999999995</v>
      </c>
      <c r="F595" s="31" cm="1">
        <f t="array" ref="F595">IF(D595=0,"",(D595-C595)/C595)</f>
        <v>1.3590844062947031E-2</v>
      </c>
      <c r="G595" s="32">
        <v>1072.9000000000001</v>
      </c>
      <c r="H595" s="10">
        <v>1</v>
      </c>
      <c r="I595" s="11" cm="1">
        <f t="array" ref="I595">IF(D595="","",(G595*C595)*0.00075)</f>
        <v>11.249356500000001</v>
      </c>
      <c r="J595" s="11" cm="1">
        <f t="array" ref="J595">IF(D595="","",(G595*D595)*0.00075)</f>
        <v>11.402244750000001</v>
      </c>
      <c r="K595" s="33" cm="1">
        <f t="array" ref="K595">IF(D595="","",J595+I595)</f>
        <v>22.651601250000002</v>
      </c>
      <c r="L595" s="33" cm="1">
        <f t="array" ref="L595">IF(D595=0,0,(D595-C595)*G595)</f>
        <v>203.85099999999949</v>
      </c>
      <c r="M595" s="12">
        <v>14783.88875525</v>
      </c>
      <c r="N595" s="34" cm="1">
        <f t="array" ref="N595">IFERROR((K595-J595)/J595,"–")</f>
        <v>0.98659139026111498</v>
      </c>
      <c r="O595" s="33" cm="1">
        <f t="array" ref="O595">IF(D595=0,0,L595-K595)</f>
        <v>181.19939874999949</v>
      </c>
      <c r="P595" s="11"/>
      <c r="Q595" s="35"/>
    </row>
    <row r="596" spans="1:17" ht="22.5" customHeight="1">
      <c r="A596" s="16" t="s">
        <v>167</v>
      </c>
      <c r="B596" s="17">
        <v>44443</v>
      </c>
      <c r="C596" s="37">
        <v>13.98</v>
      </c>
      <c r="D596" s="37">
        <v>14.1</v>
      </c>
      <c r="E596" s="19" cm="1">
        <f t="array" ref="E596">IF(D596="","",D596-C596)</f>
        <v>0.11999999999999922</v>
      </c>
      <c r="F596" s="20" cm="1">
        <f t="array" ref="F596">IF(D596=0,"",(D596-C596)/C596)</f>
        <v>8.583690987124408E-3</v>
      </c>
      <c r="G596" s="21">
        <v>1072.9000000000001</v>
      </c>
      <c r="H596" s="22">
        <v>1</v>
      </c>
      <c r="I596" s="23" cm="1">
        <f t="array" ref="I596">IF(D596="","",(G596*C596)*0.00075)</f>
        <v>11.249356500000001</v>
      </c>
      <c r="J596" s="23" cm="1">
        <f t="array" ref="J596">IF(D596="","",(G596*D596)*0.00075)</f>
        <v>11.345917500000001</v>
      </c>
      <c r="K596" s="24" cm="1">
        <f t="array" ref="K596">IF(D596="","",J596+I596)</f>
        <v>22.595274000000003</v>
      </c>
      <c r="L596" s="24" cm="1">
        <f t="array" ref="L596">IF(D596=0,0,(D596-C596)*G596)</f>
        <v>128.74799999999917</v>
      </c>
      <c r="M596" s="25">
        <v>14859.0480825</v>
      </c>
      <c r="N596" s="26" cm="1">
        <f t="array" ref="N596">IFERROR((K596-J596)/J596,"–")</f>
        <v>0.99148936170212787</v>
      </c>
      <c r="O596" s="24" cm="1">
        <f t="array" ref="O596">IF(D596=0,0,L596-K596)</f>
        <v>106.15272599999916</v>
      </c>
      <c r="P596" s="23"/>
      <c r="Q596" s="27"/>
    </row>
    <row r="597" spans="1:17" ht="22.5" customHeight="1">
      <c r="A597" s="16" t="s">
        <v>40</v>
      </c>
      <c r="B597" s="28">
        <v>44444</v>
      </c>
      <c r="C597" s="36">
        <v>10.491</v>
      </c>
      <c r="D597" s="36">
        <v>10.475</v>
      </c>
      <c r="E597" s="30" cm="1">
        <f t="array" ref="E597">IF(D597="","",D597-C597)</f>
        <v>-1.6000000000000014E-2</v>
      </c>
      <c r="F597" s="31" cm="1">
        <f t="array" ref="F597">IF(D597=0,"",(D597-C597)/C597)</f>
        <v>-1.525116766752456E-3</v>
      </c>
      <c r="G597" s="32">
        <v>953.2</v>
      </c>
      <c r="H597" s="10">
        <v>1</v>
      </c>
      <c r="I597" s="11" cm="1">
        <f t="array" ref="I597">IF(D597="","",(G597*C597)*0.00075)</f>
        <v>7.5000159000000011</v>
      </c>
      <c r="J597" s="11" cm="1">
        <f t="array" ref="J597">IF(D597="","",(G597*D597)*0.00075)</f>
        <v>7.4885775000000008</v>
      </c>
      <c r="K597" s="33" cm="1">
        <f t="array" ref="K597">IF(D597="","",J597+I597)</f>
        <v>14.988593400000003</v>
      </c>
      <c r="L597" s="33" cm="1">
        <f t="array" ref="L597">IF(D597=0,0,(D597-C597)*G597)</f>
        <v>-15.251200000000015</v>
      </c>
      <c r="M597" s="12">
        <v>10007.7838225</v>
      </c>
      <c r="N597" s="34" cm="1">
        <f t="array" ref="N597">IFERROR((K597-J597)/J597,"–")</f>
        <v>1.0015274463007162</v>
      </c>
      <c r="O597" s="33" cm="1">
        <f t="array" ref="O597">IF(D597=0,0,L597-K597)</f>
        <v>-30.239793400000018</v>
      </c>
      <c r="P597" s="11"/>
      <c r="Q597" s="35"/>
    </row>
    <row r="598" spans="1:17" ht="22.5" customHeight="1">
      <c r="A598" s="16" t="s">
        <v>40</v>
      </c>
      <c r="B598" s="17">
        <v>44444</v>
      </c>
      <c r="C598" s="37">
        <v>10.491</v>
      </c>
      <c r="D598" s="37">
        <v>10.47</v>
      </c>
      <c r="E598" s="19" cm="1">
        <f t="array" ref="E598">IF(D598="","",D598-C598)</f>
        <v>-2.0999999999999019E-2</v>
      </c>
      <c r="F598" s="20" cm="1">
        <f t="array" ref="F598">IF(D598=0,"",(D598-C598)/C598)</f>
        <v>-2.0017157563625033E-3</v>
      </c>
      <c r="G598" s="21">
        <v>953.1</v>
      </c>
      <c r="H598" s="22">
        <v>1</v>
      </c>
      <c r="I598" s="23" cm="1">
        <f t="array" ref="I598">IF(D598="","",(G598*C598)*0.00075)</f>
        <v>7.4992290749999997</v>
      </c>
      <c r="J598" s="23" cm="1">
        <f t="array" ref="J598">IF(D598="","",(G598*D598)*0.00075)</f>
        <v>7.48421775</v>
      </c>
      <c r="K598" s="24" cm="1">
        <f t="array" ref="K598">IF(D598="","",J598+I598)</f>
        <v>14.983446825</v>
      </c>
      <c r="L598" s="24" cm="1">
        <f t="array" ref="L598">IF(D598=0,0,(D598-C598)*G598)</f>
        <v>-20.015099999999066</v>
      </c>
      <c r="M598" s="25">
        <v>10011.50298225</v>
      </c>
      <c r="N598" s="26" cm="1">
        <f t="array" ref="N598">IFERROR((K598-J598)/J598,"–")</f>
        <v>1.0020057306590258</v>
      </c>
      <c r="O598" s="24" cm="1">
        <f t="array" ref="O598">IF(D598=0,0,L598-K598)</f>
        <v>-34.998546824999067</v>
      </c>
      <c r="P598" s="23"/>
      <c r="Q598" s="27"/>
    </row>
    <row r="599" spans="1:17" ht="22.5" customHeight="1">
      <c r="A599" s="16" t="s">
        <v>63</v>
      </c>
      <c r="B599" s="28">
        <v>44444</v>
      </c>
      <c r="C599" s="36">
        <v>0.30719000000000002</v>
      </c>
      <c r="D599" s="36">
        <v>0.312</v>
      </c>
      <c r="E599" s="30" cm="1">
        <f t="array" ref="E599">IF(D599="","",D599-C599)</f>
        <v>4.809999999999981E-3</v>
      </c>
      <c r="F599" s="31" cm="1">
        <f t="array" ref="F599">IF(D599=0,"",(D599-C599)/C599)</f>
        <v>1.5658061785865363E-2</v>
      </c>
      <c r="G599" s="32">
        <v>60222</v>
      </c>
      <c r="H599" s="10">
        <v>1</v>
      </c>
      <c r="I599" s="11" cm="1">
        <f t="array" ref="I599">IF(D599="","",(G599*C599)*0.00075)</f>
        <v>13.874697135</v>
      </c>
      <c r="J599" s="11" cm="1">
        <f t="array" ref="J599">IF(D599="","",(G599*D599)*0.00075)</f>
        <v>14.091948</v>
      </c>
      <c r="K599" s="33" cm="1">
        <f t="array" ref="K599">IF(D599="","",J599+I599)</f>
        <v>27.966645135</v>
      </c>
      <c r="L599" s="33" cm="1">
        <f t="array" ref="L599">IF(D599=0,0,(D599-C599)*G599)</f>
        <v>289.66781999999887</v>
      </c>
      <c r="M599" s="12">
        <v>18195.836412000001</v>
      </c>
      <c r="N599" s="34" cm="1">
        <f t="array" ref="N599">IFERROR((K599-J599)/J599,"–")</f>
        <v>0.98458333333333325</v>
      </c>
      <c r="O599" s="33" cm="1">
        <f t="array" ref="O599">IF(D599=0,0,L599-K599)</f>
        <v>261.70117486499885</v>
      </c>
      <c r="P599" s="11"/>
      <c r="Q599" s="35"/>
    </row>
    <row r="600" spans="1:17" ht="22.5" customHeight="1">
      <c r="A600" s="16" t="s">
        <v>63</v>
      </c>
      <c r="B600" s="17">
        <v>44444</v>
      </c>
      <c r="C600" s="37">
        <v>0.30719000000000002</v>
      </c>
      <c r="D600" s="37">
        <v>0.3105</v>
      </c>
      <c r="E600" s="19" cm="1">
        <f t="array" ref="E600">IF(D600="","",D600-C600)</f>
        <v>3.3099999999999796E-3</v>
      </c>
      <c r="F600" s="20" cm="1">
        <f t="array" ref="F600">IF(D600=0,"",(D600-C600)/C600)</f>
        <v>1.0775090334971775E-2</v>
      </c>
      <c r="G600" s="21">
        <v>15055</v>
      </c>
      <c r="H600" s="22">
        <v>1</v>
      </c>
      <c r="I600" s="23" cm="1">
        <f t="array" ref="I600">IF(D600="","",(G600*C600)*0.00075)</f>
        <v>3.4685590875000005</v>
      </c>
      <c r="J600" s="23" cm="1">
        <f t="array" ref="J600">IF(D600="","",(G600*D600)*0.00075)</f>
        <v>3.5059331250000003</v>
      </c>
      <c r="K600" s="24" cm="1">
        <f t="array" ref="K600">IF(D600="","",J600+I600)</f>
        <v>6.9744922125000013</v>
      </c>
      <c r="L600" s="24" cm="1">
        <f t="array" ref="L600">IF(D600=0,0,(D600-C600)*G600)</f>
        <v>49.83204999999969</v>
      </c>
      <c r="M600" s="25">
        <v>4571.407466875</v>
      </c>
      <c r="N600" s="26" cm="1">
        <f t="array" ref="N600">IFERROR((K600-J600)/J600,"–")</f>
        <v>0.98933977455716604</v>
      </c>
      <c r="O600" s="24" cm="1">
        <f t="array" ref="O600">IF(D600=0,0,L600-K600)</f>
        <v>42.857557787499687</v>
      </c>
      <c r="P600" s="23"/>
      <c r="Q600" s="27"/>
    </row>
    <row r="601" spans="1:17" ht="22.5" customHeight="1">
      <c r="A601" s="16" t="s">
        <v>63</v>
      </c>
      <c r="B601" s="28">
        <v>44444</v>
      </c>
      <c r="C601" s="36">
        <v>0.30719000000000002</v>
      </c>
      <c r="D601" s="36">
        <v>0.3115</v>
      </c>
      <c r="E601" s="30" cm="1">
        <f t="array" ref="E601">IF(D601="","",D601-C601)</f>
        <v>4.3099999999999805E-3</v>
      </c>
      <c r="F601" s="31" cm="1">
        <f t="array" ref="F601">IF(D601=0,"",(D601-C601)/C601)</f>
        <v>1.4030404635567499E-2</v>
      </c>
      <c r="G601" s="32">
        <v>22583</v>
      </c>
      <c r="H601" s="10">
        <v>1</v>
      </c>
      <c r="I601" s="11" cm="1">
        <f t="array" ref="I601">IF(D601="","",(G601*C601)*0.00075)</f>
        <v>5.2029538275</v>
      </c>
      <c r="J601" s="11" cm="1">
        <f t="array" ref="J601">IF(D601="","",(G601*D601)*0.00075)</f>
        <v>5.2759533750000003</v>
      </c>
      <c r="K601" s="33" cm="1">
        <f t="array" ref="K601">IF(D601="","",J601+I601)</f>
        <v>10.4789072025</v>
      </c>
      <c r="L601" s="33" cm="1">
        <f t="array" ref="L601">IF(D601=0,0,(D601-C601)*G601)</f>
        <v>97.332729999999557</v>
      </c>
      <c r="M601" s="12">
        <v>6834.6630866249998</v>
      </c>
      <c r="N601" s="34" cm="1">
        <f t="array" ref="N601">IFERROR((K601-J601)/J601,"–")</f>
        <v>0.98616372391653284</v>
      </c>
      <c r="O601" s="33" cm="1">
        <f t="array" ref="O601">IF(D601=0,0,L601-K601)</f>
        <v>86.853822797499561</v>
      </c>
      <c r="P601" s="11"/>
      <c r="Q601" s="35"/>
    </row>
    <row r="602" spans="1:17" ht="22.5" customHeight="1">
      <c r="A602" s="16" t="s">
        <v>63</v>
      </c>
      <c r="B602" s="17">
        <v>44444</v>
      </c>
      <c r="C602" s="37">
        <v>0.30719000000000002</v>
      </c>
      <c r="D602" s="37">
        <v>0.31190000000000001</v>
      </c>
      <c r="E602" s="19" cm="1">
        <f t="array" ref="E602">IF(D602="","",D602-C602)</f>
        <v>4.709999999999992E-3</v>
      </c>
      <c r="F602" s="20" cm="1">
        <f t="array" ref="F602">IF(D602=0,"",(D602-C602)/C602)</f>
        <v>1.5332530355805826E-2</v>
      </c>
      <c r="G602" s="21">
        <v>11292</v>
      </c>
      <c r="H602" s="22">
        <v>1</v>
      </c>
      <c r="I602" s="23" cm="1">
        <f t="array" ref="I602">IF(D602="","",(G602*C602)*0.00075)</f>
        <v>2.6015921100000003</v>
      </c>
      <c r="J602" s="23" cm="1">
        <f t="array" ref="J602">IF(D602="","",(G602*D602)*0.00075)</f>
        <v>2.6414811</v>
      </c>
      <c r="K602" s="24" cm="1">
        <f t="array" ref="K602">IF(D602="","",J602+I602)</f>
        <v>5.2430732100000004</v>
      </c>
      <c r="L602" s="24" cm="1">
        <f t="array" ref="L602">IF(D602=0,0,(D602-C602)*G602)</f>
        <v>53.185319999999912</v>
      </c>
      <c r="M602" s="25">
        <v>3412.9626788999999</v>
      </c>
      <c r="N602" s="26" cm="1">
        <f t="array" ref="N602">IFERROR((K602-J602)/J602,"–")</f>
        <v>0.98489900609169623</v>
      </c>
      <c r="O602" s="24" cm="1">
        <f t="array" ref="O602">IF(D602=0,0,L602-K602)</f>
        <v>47.942246789999913</v>
      </c>
      <c r="P602" s="23"/>
      <c r="Q602" s="27"/>
    </row>
    <row r="603" spans="1:17" ht="22.5" customHeight="1">
      <c r="A603" s="16" t="s">
        <v>63</v>
      </c>
      <c r="B603" s="28">
        <v>44444</v>
      </c>
      <c r="C603" s="36">
        <v>0.30719000000000002</v>
      </c>
      <c r="D603" s="36">
        <v>0.3115</v>
      </c>
      <c r="E603" s="30" cm="1">
        <f t="array" ref="E603">IF(D603="","",D603-C603)</f>
        <v>4.3099999999999805E-3</v>
      </c>
      <c r="F603" s="31" cm="1">
        <f t="array" ref="F603">IF(D603=0,"",(D603-C603)/C603)</f>
        <v>1.4030404635567499E-2</v>
      </c>
      <c r="G603" s="32">
        <v>11292</v>
      </c>
      <c r="H603" s="10">
        <v>1</v>
      </c>
      <c r="I603" s="11" cm="1">
        <f t="array" ref="I603">IF(D603="","",(G603*C603)*0.00075)</f>
        <v>2.6015921100000003</v>
      </c>
      <c r="J603" s="11" cm="1">
        <f t="array" ref="J603">IF(D603="","",(G603*D603)*0.00075)</f>
        <v>2.6380935000000001</v>
      </c>
      <c r="K603" s="33" cm="1">
        <f t="array" ref="K603">IF(D603="","",J603+I603)</f>
        <v>5.2396856100000004</v>
      </c>
      <c r="L603" s="33" cm="1">
        <f t="array" ref="L603">IF(D603=0,0,(D603-C603)*G603)</f>
        <v>48.668519999999781</v>
      </c>
      <c r="M603" s="12">
        <v>3417.4828665</v>
      </c>
      <c r="N603" s="34" cm="1">
        <f t="array" ref="N603">IFERROR((K603-J603)/J603,"–")</f>
        <v>0.98616372391653295</v>
      </c>
      <c r="O603" s="33" cm="1">
        <f t="array" ref="O603">IF(D603=0,0,L603-K603)</f>
        <v>43.428834389999778</v>
      </c>
      <c r="P603" s="11"/>
      <c r="Q603" s="35"/>
    </row>
    <row r="604" spans="1:17" ht="22.5" customHeight="1">
      <c r="A604" s="16" t="s">
        <v>168</v>
      </c>
      <c r="B604" s="17">
        <v>44444</v>
      </c>
      <c r="C604" s="37">
        <v>2.1434000000000002</v>
      </c>
      <c r="D604" s="37">
        <v>2.16</v>
      </c>
      <c r="E604" s="19" cm="1">
        <f t="array" ref="E604">IF(D604="","",D604-C604)</f>
        <v>1.6599999999999948E-2</v>
      </c>
      <c r="F604" s="20" cm="1">
        <f t="array" ref="F604">IF(D604=0,"",(D604-C604)/C604)</f>
        <v>7.7447046748156884E-3</v>
      </c>
      <c r="G604" s="21">
        <v>4781.8999999999996</v>
      </c>
      <c r="H604" s="22">
        <v>1</v>
      </c>
      <c r="I604" s="23" cm="1">
        <f t="array" ref="I604">IF(D604="","",(G604*C604)*0.00075)</f>
        <v>7.6871433450000008</v>
      </c>
      <c r="J604" s="23" cm="1">
        <f t="array" ref="J604">IF(D604="","",(G604*D604)*0.00075)</f>
        <v>7.7466780000000002</v>
      </c>
      <c r="K604" s="24" cm="1">
        <f t="array" ref="K604">IF(D604="","",J604+I604)</f>
        <v>15.433821345000002</v>
      </c>
      <c r="L604" s="24" cm="1">
        <f t="array" ref="L604">IF(D604=0,0,(D604-C604)*G604)</f>
        <v>79.37953999999975</v>
      </c>
      <c r="M604" s="25">
        <v>10162.398241999999</v>
      </c>
      <c r="N604" s="26" cm="1">
        <f t="array" ref="N604">IFERROR((K604-J604)/J604,"–")</f>
        <v>0.99231481481481498</v>
      </c>
      <c r="O604" s="24" cm="1">
        <f t="array" ref="O604">IF(D604=0,0,L604-K604)</f>
        <v>63.945718654999752</v>
      </c>
      <c r="P604" s="23"/>
      <c r="Q604" s="27"/>
    </row>
    <row r="605" spans="1:17" ht="22.5" customHeight="1">
      <c r="A605" s="16" t="s">
        <v>168</v>
      </c>
      <c r="B605" s="28">
        <v>44444</v>
      </c>
      <c r="C605" s="36">
        <v>2.1434000000000002</v>
      </c>
      <c r="D605" s="36">
        <v>2.16</v>
      </c>
      <c r="E605" s="30" cm="1">
        <f t="array" ref="E605">IF(D605="","",D605-C605)</f>
        <v>1.6599999999999948E-2</v>
      </c>
      <c r="F605" s="31" cm="1">
        <f t="array" ref="F605">IF(D605=0,"",(D605-C605)/C605)</f>
        <v>7.7447046748156884E-3</v>
      </c>
      <c r="G605" s="32">
        <v>3586.5</v>
      </c>
      <c r="H605" s="10">
        <v>1</v>
      </c>
      <c r="I605" s="11" cm="1">
        <f t="array" ref="I605">IF(D605="","",(G605*C605)*0.00075)</f>
        <v>5.7654780750000008</v>
      </c>
      <c r="J605" s="11" cm="1">
        <f t="array" ref="J605">IF(D605="","",(G605*D605)*0.00075)</f>
        <v>5.81013</v>
      </c>
      <c r="K605" s="33" cm="1">
        <f t="array" ref="K605">IF(D605="","",J605+I605)</f>
        <v>11.575608075000002</v>
      </c>
      <c r="L605" s="33" cm="1">
        <f t="array" ref="L605">IF(D605=0,0,(D605-C605)*G605)</f>
        <v>59.535899999999813</v>
      </c>
      <c r="M605" s="12">
        <v>7621.9580699999997</v>
      </c>
      <c r="N605" s="34" cm="1">
        <f t="array" ref="N605">IFERROR((K605-J605)/J605,"–")</f>
        <v>0.99231481481481509</v>
      </c>
      <c r="O605" s="33" cm="1">
        <f t="array" ref="O605">IF(D605=0,0,L605-K605)</f>
        <v>47.960291924999808</v>
      </c>
      <c r="P605" s="11"/>
      <c r="Q605" s="35"/>
    </row>
    <row r="606" spans="1:17" ht="22.5" customHeight="1">
      <c r="A606" s="16" t="s">
        <v>168</v>
      </c>
      <c r="B606" s="17">
        <v>44444</v>
      </c>
      <c r="C606" s="37">
        <v>2.1434000000000002</v>
      </c>
      <c r="D606" s="37">
        <v>2.1629999999999998</v>
      </c>
      <c r="E606" s="19" cm="1">
        <f t="array" ref="E606">IF(D606="","",D606-C606)</f>
        <v>1.9599999999999618E-2</v>
      </c>
      <c r="F606" s="20" cm="1">
        <f t="array" ref="F606">IF(D606=0,"",(D606-C606)/C606)</f>
        <v>9.1443500979750004E-3</v>
      </c>
      <c r="G606" s="21">
        <v>5379.7</v>
      </c>
      <c r="H606" s="22">
        <v>1</v>
      </c>
      <c r="I606" s="23" cm="1">
        <f t="array" ref="I606">IF(D606="","",(G606*C606)*0.00075)</f>
        <v>8.6481367350000014</v>
      </c>
      <c r="J606" s="23" cm="1">
        <f t="array" ref="J606">IF(D606="","",(G606*D606)*0.00075)</f>
        <v>8.7272183249999991</v>
      </c>
      <c r="K606" s="24" cm="1">
        <f t="array" ref="K606">IF(D606="","",J606+I606)</f>
        <v>17.37535506</v>
      </c>
      <c r="L606" s="24" cm="1">
        <f t="array" ref="L606">IF(D606=0,0,(D606-C606)*G606)</f>
        <v>105.44211999999794</v>
      </c>
      <c r="M606" s="25">
        <v>11416.679641675</v>
      </c>
      <c r="N606" s="26" cm="1">
        <f t="array" ref="N606">IFERROR((K606-J606)/J606,"–")</f>
        <v>0.99093851132686106</v>
      </c>
      <c r="O606" s="24" cm="1">
        <f t="array" ref="O606">IF(D606=0,0,L606-K606)</f>
        <v>88.066764939997938</v>
      </c>
      <c r="P606" s="23"/>
      <c r="Q606" s="27"/>
    </row>
    <row r="607" spans="1:17" ht="22.5" customHeight="1">
      <c r="A607" s="16" t="s">
        <v>168</v>
      </c>
      <c r="B607" s="28">
        <v>44444</v>
      </c>
      <c r="C607" s="36">
        <v>2.1434000000000002</v>
      </c>
      <c r="D607" s="36">
        <v>2.165</v>
      </c>
      <c r="E607" s="30" cm="1">
        <f t="array" ref="E607">IF(D607="","",D607-C607)</f>
        <v>2.1599999999999842E-2</v>
      </c>
      <c r="F607" s="31" cm="1">
        <f t="array" ref="F607">IF(D607=0,"",(D607-C607)/C607)</f>
        <v>1.0077447046748083E-2</v>
      </c>
      <c r="G607" s="32">
        <v>2689.9</v>
      </c>
      <c r="H607" s="10">
        <v>1</v>
      </c>
      <c r="I607" s="11" cm="1">
        <f t="array" ref="I607">IF(D607="","",(G607*C607)*0.00075)</f>
        <v>4.3241487450000005</v>
      </c>
      <c r="J607" s="11" cm="1">
        <f t="array" ref="J607">IF(D607="","",(G607*D607)*0.00075)</f>
        <v>4.3677251249999998</v>
      </c>
      <c r="K607" s="33" cm="1">
        <f t="array" ref="K607">IF(D607="","",J607+I607)</f>
        <v>8.6918738700000002</v>
      </c>
      <c r="L607" s="33" cm="1">
        <f t="array" ref="L607">IF(D607=0,0,(D607-C607)*G607)</f>
        <v>58.101839999999576</v>
      </c>
      <c r="M607" s="12">
        <v>5703.0620948750002</v>
      </c>
      <c r="N607" s="34" cm="1">
        <f t="array" ref="N607">IFERROR((K607-J607)/J607,"–")</f>
        <v>0.99002309468822192</v>
      </c>
      <c r="O607" s="33" cm="1">
        <f t="array" ref="O607">IF(D607=0,0,L607-K607)</f>
        <v>49.409966129999574</v>
      </c>
      <c r="P607" s="11"/>
      <c r="Q607" s="35"/>
    </row>
    <row r="608" spans="1:17" ht="22.5" customHeight="1">
      <c r="A608" s="16" t="s">
        <v>168</v>
      </c>
      <c r="B608" s="17">
        <v>44444</v>
      </c>
      <c r="C608" s="37">
        <v>2.1434000000000002</v>
      </c>
      <c r="D608" s="37">
        <v>2.165</v>
      </c>
      <c r="E608" s="19" cm="1">
        <f t="array" ref="E608">IF(D608="","",D608-C608)</f>
        <v>2.1599999999999842E-2</v>
      </c>
      <c r="F608" s="20" cm="1">
        <f t="array" ref="F608">IF(D608=0,"",(D608-C608)/C608)</f>
        <v>1.0077447046748083E-2</v>
      </c>
      <c r="G608" s="21">
        <v>2689.9</v>
      </c>
      <c r="H608" s="22">
        <v>1</v>
      </c>
      <c r="I608" s="23" cm="1">
        <f t="array" ref="I608">IF(D608="","",(G608*C608)*0.00075)</f>
        <v>4.3241487450000005</v>
      </c>
      <c r="J608" s="23" cm="1">
        <f t="array" ref="J608">IF(D608="","",(G608*D608)*0.00075)</f>
        <v>4.3677251249999998</v>
      </c>
      <c r="K608" s="24" cm="1">
        <f t="array" ref="K608">IF(D608="","",J608+I608)</f>
        <v>8.6918738700000002</v>
      </c>
      <c r="L608" s="24" cm="1">
        <f t="array" ref="L608">IF(D608=0,0,(D608-C608)*G608)</f>
        <v>58.101839999999576</v>
      </c>
      <c r="M608" s="25">
        <v>5703.0620948750002</v>
      </c>
      <c r="N608" s="26" cm="1">
        <f t="array" ref="N608">IFERROR((K608-J608)/J608,"–")</f>
        <v>0.99002309468822192</v>
      </c>
      <c r="O608" s="24" cm="1">
        <f t="array" ref="O608">IF(D608=0,0,L608-K608)</f>
        <v>49.409966129999574</v>
      </c>
      <c r="P608" s="23"/>
      <c r="Q608" s="27"/>
    </row>
    <row r="609" spans="1:17" ht="22.5" customHeight="1">
      <c r="A609" s="16" t="s">
        <v>117</v>
      </c>
      <c r="B609" s="28">
        <v>44445</v>
      </c>
      <c r="C609" s="36">
        <v>2.9891000000000001</v>
      </c>
      <c r="D609" s="36">
        <v>2.95</v>
      </c>
      <c r="E609" s="30" cm="1">
        <f t="array" ref="E609">IF(D609="","",D609-C609)</f>
        <v>-3.9099999999999913E-2</v>
      </c>
      <c r="F609" s="31" cm="1">
        <f t="array" ref="F609">IF(D609=0,"",(D609-C609)/C609)</f>
        <v>-1.3080860459670106E-2</v>
      </c>
      <c r="G609" s="32">
        <v>6586.5</v>
      </c>
      <c r="H609" s="10">
        <v>1</v>
      </c>
      <c r="I609" s="11" cm="1">
        <f t="array" ref="I609">IF(D609="","",(G609*C609)*0.00075)</f>
        <v>14.765780362500001</v>
      </c>
      <c r="J609" s="11" cm="1">
        <f t="array" ref="J609">IF(D609="","",(G609*D609)*0.00075)</f>
        <v>14.572631250000002</v>
      </c>
      <c r="K609" s="33" cm="1">
        <f t="array" ref="K609">IF(D609="","",J609+I609)</f>
        <v>29.338411612500003</v>
      </c>
      <c r="L609" s="33" cm="1">
        <f t="array" ref="L609">IF(D609=0,0,(D609-C609)*G609)</f>
        <v>-257.53214999999943</v>
      </c>
      <c r="M609" s="12">
        <v>19930.66666875</v>
      </c>
      <c r="N609" s="34" cm="1">
        <f t="array" ref="N609">IFERROR((K609-J609)/J609,"–")</f>
        <v>1.0132542372881355</v>
      </c>
      <c r="O609" s="33" cm="1">
        <f t="array" ref="O609">IF(D609=0,0,L609-K609)</f>
        <v>-286.87056161249944</v>
      </c>
      <c r="P609" s="11"/>
      <c r="Q609" s="35"/>
    </row>
    <row r="610" spans="1:17" ht="22.5" customHeight="1">
      <c r="A610" s="16" t="s">
        <v>117</v>
      </c>
      <c r="B610" s="17">
        <v>44445</v>
      </c>
      <c r="C610" s="37">
        <v>2.9891000000000001</v>
      </c>
      <c r="D610" s="37">
        <v>2.94</v>
      </c>
      <c r="E610" s="19" cm="1">
        <f t="array" ref="E610">IF(D610="","",D610-C610)</f>
        <v>-4.9100000000000144E-2</v>
      </c>
      <c r="F610" s="20" cm="1">
        <f t="array" ref="F610">IF(D610=0,"",(D610-C610)/C610)</f>
        <v>-1.6426349068281471E-2</v>
      </c>
      <c r="G610" s="21">
        <v>5122.6000000000004</v>
      </c>
      <c r="H610" s="22">
        <v>1</v>
      </c>
      <c r="I610" s="23" cm="1">
        <f t="array" ref="I610">IF(D610="","",(G610*C610)*0.00075)</f>
        <v>11.483972745000001</v>
      </c>
      <c r="J610" s="23" cm="1">
        <f t="array" ref="J610">IF(D610="","",(G610*D610)*0.00075)</f>
        <v>11.295333000000001</v>
      </c>
      <c r="K610" s="24" cm="1">
        <f t="array" ref="K610">IF(D610="","",J610+I610)</f>
        <v>22.779305745000002</v>
      </c>
      <c r="L610" s="24" cm="1">
        <f t="array" ref="L610">IF(D610=0,0,(D610-C610)*G610)</f>
        <v>-251.51966000000075</v>
      </c>
      <c r="M610" s="25">
        <v>15552.187986999999</v>
      </c>
      <c r="N610" s="26" cm="1">
        <f t="array" ref="N610">IFERROR((K610-J610)/J610,"–")</f>
        <v>1.0167006802721088</v>
      </c>
      <c r="O610" s="24" cm="1">
        <f t="array" ref="O610">IF(D610=0,0,L610-K610)</f>
        <v>-274.29896574500077</v>
      </c>
      <c r="P610" s="23"/>
      <c r="Q610" s="27"/>
    </row>
    <row r="611" spans="1:17" ht="22.5" customHeight="1">
      <c r="A611" s="16" t="s">
        <v>79</v>
      </c>
      <c r="B611" s="28">
        <v>44445</v>
      </c>
      <c r="C611" s="36">
        <v>1297.8499999999999</v>
      </c>
      <c r="D611" s="36">
        <v>1300</v>
      </c>
      <c r="E611" s="30" cm="1">
        <f t="array" ref="E611">IF(D611="","",D611-C611)</f>
        <v>2.1500000000000909</v>
      </c>
      <c r="F611" s="31" cm="1">
        <f t="array" ref="F611">IF(D611=0,"",(D611-C611)/C611)</f>
        <v>1.6565858920523104E-3</v>
      </c>
      <c r="G611" s="32">
        <v>6.7409999999999997</v>
      </c>
      <c r="H611" s="10">
        <v>1</v>
      </c>
      <c r="I611" s="11" cm="1">
        <f t="array" ref="I611">IF(D611="","",(G611*C611)*0.00075)</f>
        <v>6.5616051374999991</v>
      </c>
      <c r="J611" s="11" cm="1">
        <f t="array" ref="J611">IF(D611="","",(G611*D611)*0.00075)</f>
        <v>6.5724749999999998</v>
      </c>
      <c r="K611" s="33" cm="1">
        <f t="array" ref="K611">IF(D611="","",J611+I611)</f>
        <v>13.1340801375</v>
      </c>
      <c r="L611" s="33" cm="1">
        <f t="array" ref="L611">IF(D611=0,0,(D611-C611)*G611)</f>
        <v>14.493150000000613</v>
      </c>
      <c r="M611" s="12">
        <v>8727.7412249999998</v>
      </c>
      <c r="N611" s="34" cm="1">
        <f t="array" ref="N611">IFERROR((K611-J611)/J611,"–")</f>
        <v>0.99834615384615388</v>
      </c>
      <c r="O611" s="33" cm="1">
        <f t="array" ref="O611">IF(D611=0,0,L611-K611)</f>
        <v>1.359069862500613</v>
      </c>
      <c r="P611" s="11"/>
      <c r="Q611" s="35"/>
    </row>
    <row r="612" spans="1:17" ht="22.5" customHeight="1">
      <c r="A612" s="16" t="s">
        <v>79</v>
      </c>
      <c r="B612" s="17">
        <v>44445</v>
      </c>
      <c r="C612" s="37">
        <v>1297.8499999999999</v>
      </c>
      <c r="D612" s="37">
        <v>1305</v>
      </c>
      <c r="E612" s="19" cm="1">
        <f t="array" ref="E612">IF(D612="","",D612-C612)</f>
        <v>7.1500000000000909</v>
      </c>
      <c r="F612" s="20" cm="1">
        <f t="array" ref="F612">IF(D612=0,"",(D612-C612)/C612)</f>
        <v>5.5091112224063578E-3</v>
      </c>
      <c r="G612" s="21">
        <v>10.113</v>
      </c>
      <c r="H612" s="22">
        <v>1</v>
      </c>
      <c r="I612" s="23" cm="1">
        <f t="array" ref="I612">IF(D612="","",(G612*C612)*0.00075)</f>
        <v>9.8438677874999989</v>
      </c>
      <c r="J612" s="23" cm="1">
        <f t="array" ref="J612">IF(D612="","",(G612*D612)*0.00075)</f>
        <v>9.8980987500000008</v>
      </c>
      <c r="K612" s="24" cm="1">
        <f t="array" ref="K612">IF(D612="","",J612+I612)</f>
        <v>19.741966537499998</v>
      </c>
      <c r="L612" s="24" cm="1">
        <f t="array" ref="L612">IF(D612=0,0,(D612-C612)*G612)</f>
        <v>72.307950000000915</v>
      </c>
      <c r="M612" s="25">
        <v>13042.95100125</v>
      </c>
      <c r="N612" s="26" cm="1">
        <f t="array" ref="N612">IFERROR((K612-J612)/J612,"–")</f>
        <v>0.99452107279693447</v>
      </c>
      <c r="O612" s="24" cm="1">
        <f t="array" ref="O612">IF(D612=0,0,L612-K612)</f>
        <v>52.565983462500917</v>
      </c>
      <c r="P612" s="23"/>
      <c r="Q612" s="27"/>
    </row>
    <row r="613" spans="1:17" ht="22.5" customHeight="1">
      <c r="A613" s="16" t="s">
        <v>79</v>
      </c>
      <c r="B613" s="28">
        <v>44445</v>
      </c>
      <c r="C613" s="36">
        <v>1297.8499999999999</v>
      </c>
      <c r="D613" s="36">
        <v>1300</v>
      </c>
      <c r="E613" s="30" cm="1">
        <f t="array" ref="E613">IF(D613="","",D613-C613)</f>
        <v>2.1500000000000909</v>
      </c>
      <c r="F613" s="31" cm="1">
        <f t="array" ref="F613">IF(D613=0,"",(D613-C613)/C613)</f>
        <v>1.6565858920523104E-3</v>
      </c>
      <c r="G613" s="32">
        <v>5.056</v>
      </c>
      <c r="H613" s="10">
        <v>1</v>
      </c>
      <c r="I613" s="11" cm="1">
        <f t="array" ref="I613">IF(D613="","",(G613*C613)*0.00075)</f>
        <v>4.9214471999999994</v>
      </c>
      <c r="J613" s="11" cm="1">
        <f t="array" ref="J613">IF(D613="","",(G613*D613)*0.00075)</f>
        <v>4.9296000000000006</v>
      </c>
      <c r="K613" s="33" cm="1">
        <f t="array" ref="K613">IF(D613="","",J613+I613)</f>
        <v>9.8510472</v>
      </c>
      <c r="L613" s="33" cm="1">
        <f t="array" ref="L613">IF(D613=0,0,(D613-C613)*G613)</f>
        <v>10.87040000000046</v>
      </c>
      <c r="M613" s="12">
        <v>6546.1296000000002</v>
      </c>
      <c r="N613" s="34" cm="1">
        <f t="array" ref="N613">IFERROR((K613-J613)/J613,"–")</f>
        <v>0.99834615384615355</v>
      </c>
      <c r="O613" s="33" cm="1">
        <f t="array" ref="O613">IF(D613=0,0,L613-K613)</f>
        <v>1.0193528000004601</v>
      </c>
      <c r="P613" s="11"/>
      <c r="Q613" s="35"/>
    </row>
    <row r="614" spans="1:17" ht="22.5" customHeight="1">
      <c r="A614" s="16" t="s">
        <v>79</v>
      </c>
      <c r="B614" s="17">
        <v>44445</v>
      </c>
      <c r="C614" s="37">
        <v>1297.8499999999999</v>
      </c>
      <c r="D614" s="37">
        <v>1310</v>
      </c>
      <c r="E614" s="19" cm="1">
        <f t="array" ref="E614">IF(D614="","",D614-C614)</f>
        <v>12.150000000000091</v>
      </c>
      <c r="F614" s="20" cm="1">
        <f t="array" ref="F614">IF(D614=0,"",(D614-C614)/C614)</f>
        <v>9.3616365527604047E-3</v>
      </c>
      <c r="G614" s="21">
        <v>5.0570000000000004</v>
      </c>
      <c r="H614" s="22">
        <v>1</v>
      </c>
      <c r="I614" s="23" cm="1">
        <f t="array" ref="I614">IF(D614="","",(G614*C614)*0.00075)</f>
        <v>4.9224205875000004</v>
      </c>
      <c r="J614" s="23" cm="1">
        <f t="array" ref="J614">IF(D614="","",(G614*D614)*0.00075)</f>
        <v>4.9685025000000005</v>
      </c>
      <c r="K614" s="24" cm="1">
        <f t="array" ref="K614">IF(D614="","",J614+I614)</f>
        <v>9.8909230875000009</v>
      </c>
      <c r="L614" s="24" cm="1">
        <f t="array" ref="L614">IF(D614=0,0,(D614-C614)*G614)</f>
        <v>61.442550000000466</v>
      </c>
      <c r="M614" s="25">
        <v>6496.8163974999998</v>
      </c>
      <c r="N614" s="26" cm="1">
        <f t="array" ref="N614">IFERROR((K614-J614)/J614,"–")</f>
        <v>0.99072519083969468</v>
      </c>
      <c r="O614" s="24" cm="1">
        <f t="array" ref="O614">IF(D614=0,0,L614-K614)</f>
        <v>51.551626912500467</v>
      </c>
      <c r="P614" s="23"/>
      <c r="Q614" s="27"/>
    </row>
    <row r="615" spans="1:17" ht="22.5" customHeight="1">
      <c r="A615" s="16" t="s">
        <v>169</v>
      </c>
      <c r="B615" s="28">
        <v>44445</v>
      </c>
      <c r="C615" s="36">
        <v>1</v>
      </c>
      <c r="D615" s="36">
        <v>27</v>
      </c>
      <c r="E615" s="30" cm="1">
        <f t="array" ref="E615">IF(D615="","",D615-C615)</f>
        <v>26</v>
      </c>
      <c r="F615" s="31" cm="1">
        <f t="array" ref="F615">IF(D615=0,"",(D615-C615)/C615)</f>
        <v>26</v>
      </c>
      <c r="G615" s="32">
        <v>1</v>
      </c>
      <c r="H615" s="10">
        <v>1</v>
      </c>
      <c r="I615" s="11" cm="1">
        <f t="array" ref="I615">IF(D615="","",(G615*C615)*0.00075)</f>
        <v>7.5000000000000002E-4</v>
      </c>
      <c r="J615" s="11" cm="1">
        <f t="array" ref="J615">IF(D615="","",(G615*D615)*0.00075)</f>
        <v>2.0250000000000001E-2</v>
      </c>
      <c r="K615" s="33" cm="1">
        <f t="array" ref="K615">IF(D615="","",J615+I615)</f>
        <v>2.1000000000000001E-2</v>
      </c>
      <c r="L615" s="33" cm="1">
        <f t="array" ref="L615">IF(D615=0,0,(D615-C615)*G615)</f>
        <v>26</v>
      </c>
      <c r="M615" s="12">
        <v>-25.020250000000001</v>
      </c>
      <c r="N615" s="34" cm="1">
        <f t="array" ref="N615">IFERROR((K615-J615)/J615,"–")</f>
        <v>3.703703703703707E-2</v>
      </c>
      <c r="O615" s="33" cm="1">
        <f t="array" ref="O615">IF(D615=0,0,L615-K615)</f>
        <v>25.978999999999999</v>
      </c>
      <c r="P615" s="11"/>
      <c r="Q615" s="35"/>
    </row>
    <row r="616" spans="1:17" ht="22.5" customHeight="1">
      <c r="A616" s="16" t="s">
        <v>77</v>
      </c>
      <c r="B616" s="17">
        <v>44445</v>
      </c>
      <c r="C616" s="37">
        <v>1.0640000000000001</v>
      </c>
      <c r="D616" s="37">
        <v>1.08</v>
      </c>
      <c r="E616" s="19" cm="1">
        <f t="array" ref="E616">IF(D616="","",D616-C616)</f>
        <v>1.6000000000000014E-2</v>
      </c>
      <c r="F616" s="20" cm="1">
        <f t="array" ref="F616">IF(D616=0,"",(D616-C616)/C616)</f>
        <v>1.5037593984962419E-2</v>
      </c>
      <c r="G616" s="21">
        <v>16446</v>
      </c>
      <c r="H616" s="22">
        <v>1</v>
      </c>
      <c r="I616" s="23" cm="1">
        <f t="array" ref="I616">IF(D616="","",(G616*C616)*0.00075)</f>
        <v>13.123908000000002</v>
      </c>
      <c r="J616" s="23" cm="1">
        <f t="array" ref="J616">IF(D616="","",(G616*D616)*0.00075)</f>
        <v>13.321260000000001</v>
      </c>
      <c r="K616" s="24" cm="1">
        <f t="array" ref="K616">IF(D616="","",J616+I616)</f>
        <v>26.445168000000002</v>
      </c>
      <c r="L616" s="24" cm="1">
        <f t="array" ref="L616">IF(D616=0,0,(D616-C616)*G616)</f>
        <v>263.13600000000025</v>
      </c>
      <c r="M616" s="25">
        <v>17222.086739999999</v>
      </c>
      <c r="N616" s="26" cm="1">
        <f t="array" ref="N616">IFERROR((K616-J616)/J616,"–")</f>
        <v>0.98518518518518527</v>
      </c>
      <c r="O616" s="24" cm="1">
        <f t="array" ref="O616">IF(D616=0,0,L616-K616)</f>
        <v>236.69083200000026</v>
      </c>
      <c r="P616" s="23"/>
      <c r="Q616" s="27"/>
    </row>
    <row r="617" spans="1:17" ht="22.5" customHeight="1">
      <c r="A617" s="16" t="s">
        <v>77</v>
      </c>
      <c r="B617" s="28">
        <v>44445</v>
      </c>
      <c r="C617" s="36">
        <v>1.0640000000000001</v>
      </c>
      <c r="D617" s="36">
        <v>1.0782</v>
      </c>
      <c r="E617" s="30" cm="1">
        <f t="array" ref="E617">IF(D617="","",D617-C617)</f>
        <v>1.419999999999999E-2</v>
      </c>
      <c r="F617" s="31" cm="1">
        <f t="array" ref="F617">IF(D617=0,"",(D617-C617)/C617)</f>
        <v>1.3345864661654126E-2</v>
      </c>
      <c r="G617" s="32">
        <v>8223</v>
      </c>
      <c r="H617" s="10">
        <v>1</v>
      </c>
      <c r="I617" s="11" cm="1">
        <f t="array" ref="I617">IF(D617="","",(G617*C617)*0.00075)</f>
        <v>6.561954000000001</v>
      </c>
      <c r="J617" s="11" cm="1">
        <f t="array" ref="J617">IF(D617="","",(G617*D617)*0.00075)</f>
        <v>6.6495289499999997</v>
      </c>
      <c r="K617" s="33" cm="1">
        <f t="array" ref="K617">IF(D617="","",J617+I617)</f>
        <v>13.211482950000001</v>
      </c>
      <c r="L617" s="33" cm="1">
        <f t="array" ref="L617">IF(D617=0,0,(D617-C617)*G617)</f>
        <v>116.76659999999993</v>
      </c>
      <c r="M617" s="12">
        <v>8625.8558710500001</v>
      </c>
      <c r="N617" s="34" cm="1">
        <f t="array" ref="N617">IFERROR((K617-J617)/J617,"–")</f>
        <v>0.98682990168799867</v>
      </c>
      <c r="O617" s="33" cm="1">
        <f t="array" ref="O617">IF(D617=0,0,L617-K617)</f>
        <v>103.55511704999992</v>
      </c>
      <c r="P617" s="11"/>
      <c r="Q617" s="35"/>
    </row>
    <row r="618" spans="1:17" ht="22.5" customHeight="1">
      <c r="A618" s="16" t="s">
        <v>77</v>
      </c>
      <c r="B618" s="17">
        <v>44445</v>
      </c>
      <c r="C618" s="37">
        <v>1.0640000000000001</v>
      </c>
      <c r="D618" s="37">
        <v>1.0810999999999999</v>
      </c>
      <c r="E618" s="19" cm="1">
        <f t="array" ref="E618">IF(D618="","",D618-C618)</f>
        <v>1.7099999999999893E-2</v>
      </c>
      <c r="F618" s="20" cm="1">
        <f t="array" ref="F618">IF(D618=0,"",(D618-C618)/C618)</f>
        <v>1.6071428571428469E-2</v>
      </c>
      <c r="G618" s="21">
        <v>8223</v>
      </c>
      <c r="H618" s="22">
        <v>1</v>
      </c>
      <c r="I618" s="23" cm="1">
        <f t="array" ref="I618">IF(D618="","",(G618*C618)*0.00075)</f>
        <v>6.561954000000001</v>
      </c>
      <c r="J618" s="23" cm="1">
        <f t="array" ref="J618">IF(D618="","",(G618*D618)*0.00075)</f>
        <v>6.6674139749999997</v>
      </c>
      <c r="K618" s="24" cm="1">
        <f t="array" ref="K618">IF(D618="","",J618+I618)</f>
        <v>13.229367975000001</v>
      </c>
      <c r="L618" s="24" cm="1">
        <f t="array" ref="L618">IF(D618=0,0,(D618-C618)*G618)</f>
        <v>140.61329999999913</v>
      </c>
      <c r="M618" s="25">
        <v>8601.9912860250006</v>
      </c>
      <c r="N618" s="26" cm="1">
        <f t="array" ref="N618">IFERROR((K618-J618)/J618,"–")</f>
        <v>0.9841827768014062</v>
      </c>
      <c r="O618" s="24" cm="1">
        <f t="array" ref="O618">IF(D618=0,0,L618-K618)</f>
        <v>127.38393202499913</v>
      </c>
      <c r="P618" s="23"/>
      <c r="Q618" s="27"/>
    </row>
    <row r="619" spans="1:17" ht="22.5" customHeight="1">
      <c r="A619" s="16" t="s">
        <v>26</v>
      </c>
      <c r="B619" s="28">
        <v>44445</v>
      </c>
      <c r="C619" s="36">
        <v>7.8654000000000002</v>
      </c>
      <c r="D619" s="36">
        <v>7.88</v>
      </c>
      <c r="E619" s="30" cm="1">
        <f t="array" ref="E619">IF(D619="","",D619-C619)</f>
        <v>1.4599999999999724E-2</v>
      </c>
      <c r="F619" s="31" cm="1">
        <f t="array" ref="F619">IF(D619=0,"",(D619-C619)/C619)</f>
        <v>1.8562310880565164E-3</v>
      </c>
      <c r="G619" s="32">
        <v>1334.9</v>
      </c>
      <c r="H619" s="10">
        <v>1</v>
      </c>
      <c r="I619" s="11" cm="1">
        <f t="array" ref="I619">IF(D619="","",(G619*C619)*0.00075)</f>
        <v>7.8746418450000002</v>
      </c>
      <c r="J619" s="11" cm="1">
        <f t="array" ref="J619">IF(D619="","",(G619*D619)*0.00075)</f>
        <v>7.8892590000000009</v>
      </c>
      <c r="K619" s="33" cm="1">
        <f t="array" ref="K619">IF(D619="","",J619+I619)</f>
        <v>15.763900845000002</v>
      </c>
      <c r="L619" s="33" cm="1">
        <f t="array" ref="L619">IF(D619=0,0,(D619-C619)*G619)</f>
        <v>19.489539999999632</v>
      </c>
      <c r="M619" s="12">
        <v>10472.143661</v>
      </c>
      <c r="N619" s="34" cm="1">
        <f t="array" ref="N619">IFERROR((K619-J619)/J619,"–")</f>
        <v>0.99814720812182745</v>
      </c>
      <c r="O619" s="33" cm="1">
        <f t="array" ref="O619">IF(D619=0,0,L619-K619)</f>
        <v>3.7256391549996302</v>
      </c>
      <c r="P619" s="11"/>
      <c r="Q619" s="35"/>
    </row>
    <row r="620" spans="1:17" ht="22.5" customHeight="1">
      <c r="A620" s="16" t="s">
        <v>26</v>
      </c>
      <c r="B620" s="17">
        <v>44445</v>
      </c>
      <c r="C620" s="37">
        <v>7.8654000000000002</v>
      </c>
      <c r="D620" s="37">
        <v>7.89</v>
      </c>
      <c r="E620" s="19" cm="1">
        <f t="array" ref="E620">IF(D620="","",D620-C620)</f>
        <v>2.4599999999999511E-2</v>
      </c>
      <c r="F620" s="20" cm="1">
        <f t="array" ref="F620">IF(D620=0,"",(D620-C620)/C620)</f>
        <v>3.1276222442596065E-3</v>
      </c>
      <c r="G620" s="21">
        <v>1001.2</v>
      </c>
      <c r="H620" s="22">
        <v>1</v>
      </c>
      <c r="I620" s="23" cm="1">
        <f t="array" ref="I620">IF(D620="","",(G620*C620)*0.00075)</f>
        <v>5.9061288600000008</v>
      </c>
      <c r="J620" s="23" cm="1">
        <f t="array" ref="J620">IF(D620="","",(G620*D620)*0.00075)</f>
        <v>5.924601</v>
      </c>
      <c r="K620" s="24" cm="1">
        <f t="array" ref="K620">IF(D620="","",J620+I620)</f>
        <v>11.830729860000002</v>
      </c>
      <c r="L620" s="24" cm="1">
        <f t="array" ref="L620">IF(D620=0,0,(D620-C620)*G620)</f>
        <v>24.629519999999513</v>
      </c>
      <c r="M620" s="25">
        <v>7844.2843590000002</v>
      </c>
      <c r="N620" s="26" cm="1">
        <f t="array" ref="N620">IFERROR((K620-J620)/J620,"–")</f>
        <v>0.99688212927756681</v>
      </c>
      <c r="O620" s="24" cm="1">
        <f t="array" ref="O620">IF(D620=0,0,L620-K620)</f>
        <v>12.798790139999511</v>
      </c>
      <c r="P620" s="23"/>
      <c r="Q620" s="27"/>
    </row>
    <row r="621" spans="1:17" ht="22.5" customHeight="1">
      <c r="A621" s="16" t="s">
        <v>26</v>
      </c>
      <c r="B621" s="28">
        <v>44445</v>
      </c>
      <c r="C621" s="36">
        <v>7.8654000000000002</v>
      </c>
      <c r="D621" s="36">
        <v>7.89</v>
      </c>
      <c r="E621" s="30" cm="1">
        <f t="array" ref="E621">IF(D621="","",D621-C621)</f>
        <v>2.4599999999999511E-2</v>
      </c>
      <c r="F621" s="31" cm="1">
        <f t="array" ref="F621">IF(D621=0,"",(D621-C621)/C621)</f>
        <v>3.1276222442596065E-3</v>
      </c>
      <c r="G621" s="32">
        <v>1501.8</v>
      </c>
      <c r="H621" s="10">
        <v>1</v>
      </c>
      <c r="I621" s="11" cm="1">
        <f t="array" ref="I621">IF(D621="","",(G621*C621)*0.00075)</f>
        <v>8.8591932900000003</v>
      </c>
      <c r="J621" s="11" cm="1">
        <f t="array" ref="J621">IF(D621="","",(G621*D621)*0.00075)</f>
        <v>8.8869015000000005</v>
      </c>
      <c r="K621" s="33" cm="1">
        <f t="array" ref="K621">IF(D621="","",J621+I621)</f>
        <v>17.746094790000001</v>
      </c>
      <c r="L621" s="33" cm="1">
        <f t="array" ref="L621">IF(D621=0,0,(D621-C621)*G621)</f>
        <v>36.944279999999267</v>
      </c>
      <c r="M621" s="12">
        <v>11766.4265385</v>
      </c>
      <c r="N621" s="34" cm="1">
        <f t="array" ref="N621">IFERROR((K621-J621)/J621,"–")</f>
        <v>0.99688212927756648</v>
      </c>
      <c r="O621" s="33" cm="1">
        <f t="array" ref="O621">IF(D621=0,0,L621-K621)</f>
        <v>19.198185209999266</v>
      </c>
      <c r="P621" s="11"/>
      <c r="Q621" s="35"/>
    </row>
    <row r="622" spans="1:17" ht="22.5" customHeight="1">
      <c r="A622" s="16" t="s">
        <v>26</v>
      </c>
      <c r="B622" s="17">
        <v>44445</v>
      </c>
      <c r="C622" s="37">
        <v>7.8654000000000002</v>
      </c>
      <c r="D622" s="37">
        <v>7.87</v>
      </c>
      <c r="E622" s="19" cm="1">
        <f t="array" ref="E622">IF(D622="","",D622-C622)</f>
        <v>4.5999999999999375E-3</v>
      </c>
      <c r="F622" s="20" cm="1">
        <f t="array" ref="F622">IF(D622=0,"",(D622-C622)/C622)</f>
        <v>5.848399318534261E-4</v>
      </c>
      <c r="G622" s="21">
        <v>1501.9</v>
      </c>
      <c r="H622" s="22">
        <v>1</v>
      </c>
      <c r="I622" s="23" cm="1">
        <f t="array" ref="I622">IF(D622="","",(G622*C622)*0.00075)</f>
        <v>8.8597831950000003</v>
      </c>
      <c r="J622" s="23" cm="1">
        <f t="array" ref="J622">IF(D622="","",(G622*D622)*0.00075)</f>
        <v>8.8649647500000004</v>
      </c>
      <c r="K622" s="24" cm="1">
        <f t="array" ref="K622">IF(D622="","",J622+I622)</f>
        <v>17.724747945000001</v>
      </c>
      <c r="L622" s="24" cm="1">
        <f t="array" ref="L622">IF(D622=0,0,(D622-C622)*G622)</f>
        <v>6.9087399999999066</v>
      </c>
      <c r="M622" s="25">
        <v>11797.270555249999</v>
      </c>
      <c r="N622" s="26" cm="1">
        <f t="array" ref="N622">IFERROR((K622-J622)/J622,"–")</f>
        <v>0.99941550190597206</v>
      </c>
      <c r="O622" s="24" cm="1">
        <f t="array" ref="O622">IF(D622=0,0,L622-K622)</f>
        <v>-10.816007945000095</v>
      </c>
      <c r="P622" s="23"/>
      <c r="Q622" s="27"/>
    </row>
    <row r="623" spans="1:17" ht="22.5" customHeight="1">
      <c r="A623" s="16" t="s">
        <v>103</v>
      </c>
      <c r="B623" s="28">
        <v>44445</v>
      </c>
      <c r="C623" s="36">
        <v>0.54479999999999995</v>
      </c>
      <c r="D623" s="36">
        <v>0.54249999999999998</v>
      </c>
      <c r="E623" s="30" cm="1">
        <f t="array" ref="E623">IF(D623="","",D623-C623)</f>
        <v>-2.2999999999999687E-3</v>
      </c>
      <c r="F623" s="31" cm="1">
        <f t="array" ref="F623">IF(D623=0,"",(D623-C623)/C623)</f>
        <v>-4.2217327459617635E-3</v>
      </c>
      <c r="G623" s="32">
        <v>7341</v>
      </c>
      <c r="H623" s="10">
        <v>1</v>
      </c>
      <c r="I623" s="11" cm="1">
        <f t="array" ref="I623">IF(D623="","",(G623*C623)*0.00075)</f>
        <v>2.9995325999999998</v>
      </c>
      <c r="J623" s="11" cm="1">
        <f t="array" ref="J623">IF(D623="","",(G623*D623)*0.00075)</f>
        <v>2.9868693749999999</v>
      </c>
      <c r="K623" s="33" cm="1">
        <f t="array" ref="K623">IF(D623="","",J623+I623)</f>
        <v>5.9864019749999997</v>
      </c>
      <c r="L623" s="33" cm="1">
        <f t="array" ref="L623">IF(D623=0,0,(D623-C623)*G623)</f>
        <v>-16.884299999999769</v>
      </c>
      <c r="M623" s="12">
        <v>4013.2742306250002</v>
      </c>
      <c r="N623" s="34" cm="1">
        <f t="array" ref="N623">IFERROR((K623-J623)/J623,"–")</f>
        <v>1.0042396313364055</v>
      </c>
      <c r="O623" s="33" cm="1">
        <f t="array" ref="O623">IF(D623=0,0,L623-K623)</f>
        <v>-22.870701974999768</v>
      </c>
      <c r="P623" s="11"/>
      <c r="Q623" s="35"/>
    </row>
    <row r="624" spans="1:17" ht="22.5" customHeight="1">
      <c r="A624" s="16" t="s">
        <v>162</v>
      </c>
      <c r="B624" s="17">
        <v>44445</v>
      </c>
      <c r="C624" s="37">
        <v>11.7272</v>
      </c>
      <c r="D624" s="37">
        <v>11.75</v>
      </c>
      <c r="E624" s="19" cm="1">
        <f t="array" ref="E624">IF(D624="","",D624-C624)</f>
        <v>2.2800000000000153E-2</v>
      </c>
      <c r="F624" s="20" cm="1">
        <f t="array" ref="F624">IF(D624=0,"",(D624-C624)/C624)</f>
        <v>1.9441981035541436E-3</v>
      </c>
      <c r="G624" s="21">
        <v>852.71</v>
      </c>
      <c r="H624" s="22">
        <v>1</v>
      </c>
      <c r="I624" s="23" cm="1">
        <f t="array" ref="I624">IF(D624="","",(G624*C624)*0.00075)</f>
        <v>7.4999255340000008</v>
      </c>
      <c r="J624" s="23" cm="1">
        <f t="array" ref="J624">IF(D624="","",(G624*D624)*0.00075)</f>
        <v>7.5145068750000004</v>
      </c>
      <c r="K624" s="24" cm="1">
        <f t="array" ref="K624">IF(D624="","",J624+I624)</f>
        <v>15.014432409000001</v>
      </c>
      <c r="L624" s="24" cm="1">
        <f t="array" ref="L624">IF(D624=0,0,(D624-C624)*G624)</f>
        <v>19.44178800000013</v>
      </c>
      <c r="M624" s="25">
        <v>9972.9444171249997</v>
      </c>
      <c r="N624" s="26" cm="1">
        <f t="array" ref="N624">IFERROR((K624-J624)/J624,"–")</f>
        <v>0.99805957446808513</v>
      </c>
      <c r="O624" s="24" cm="1">
        <f t="array" ref="O624">IF(D624=0,0,L624-K624)</f>
        <v>4.4273555910001292</v>
      </c>
      <c r="P624" s="23"/>
      <c r="Q624" s="27"/>
    </row>
    <row r="625" spans="1:17" ht="22.5" customHeight="1">
      <c r="A625" s="16" t="s">
        <v>162</v>
      </c>
      <c r="B625" s="28">
        <v>44445</v>
      </c>
      <c r="C625" s="36">
        <v>11.7272</v>
      </c>
      <c r="D625" s="36">
        <v>11.79</v>
      </c>
      <c r="E625" s="30" cm="1">
        <f t="array" ref="E625">IF(D625="","",D625-C625)</f>
        <v>6.2799999999999301E-2</v>
      </c>
      <c r="F625" s="31" cm="1">
        <f t="array" ref="F625">IF(D625=0,"",(D625-C625)/C625)</f>
        <v>5.3550719694385107E-3</v>
      </c>
      <c r="G625" s="32">
        <v>639.53</v>
      </c>
      <c r="H625" s="10">
        <v>1</v>
      </c>
      <c r="I625" s="11" cm="1">
        <f t="array" ref="I625">IF(D625="","",(G625*C625)*0.00075)</f>
        <v>5.6249221619999998</v>
      </c>
      <c r="J625" s="11" cm="1">
        <f t="array" ref="J625">IF(D625="","",(G625*D625)*0.00075)</f>
        <v>5.6550440249999987</v>
      </c>
      <c r="K625" s="33" cm="1">
        <f t="array" ref="K625">IF(D625="","",J625+I625)</f>
        <v>11.279966186999999</v>
      </c>
      <c r="L625" s="33" cm="1">
        <f t="array" ref="L625">IF(D625=0,0,(D625-C625)*G625)</f>
        <v>40.162483999999552</v>
      </c>
      <c r="M625" s="12">
        <v>7454.0786879750003</v>
      </c>
      <c r="N625" s="34" cm="1">
        <f t="array" ref="N625">IFERROR((K625-J625)/J625,"–")</f>
        <v>0.99467345207803259</v>
      </c>
      <c r="O625" s="33" cm="1">
        <f t="array" ref="O625">IF(D625=0,0,L625-K625)</f>
        <v>28.882517812999552</v>
      </c>
      <c r="P625" s="11"/>
      <c r="Q625" s="35"/>
    </row>
    <row r="626" spans="1:17" ht="22.5" customHeight="1">
      <c r="A626" s="16" t="s">
        <v>162</v>
      </c>
      <c r="B626" s="17">
        <v>44445</v>
      </c>
      <c r="C626" s="37">
        <v>11.7272</v>
      </c>
      <c r="D626" s="37">
        <v>11.75</v>
      </c>
      <c r="E626" s="19" cm="1">
        <f t="array" ref="E626">IF(D626="","",D626-C626)</f>
        <v>2.2800000000000153E-2</v>
      </c>
      <c r="F626" s="20" cm="1">
        <f t="array" ref="F626">IF(D626=0,"",(D626-C626)/C626)</f>
        <v>1.9441981035541436E-3</v>
      </c>
      <c r="G626" s="21">
        <v>959.31</v>
      </c>
      <c r="H626" s="22">
        <v>1</v>
      </c>
      <c r="I626" s="23" cm="1">
        <f t="array" ref="I626">IF(D626="","",(G626*C626)*0.00075)</f>
        <v>8.4375151739999996</v>
      </c>
      <c r="J626" s="23" cm="1">
        <f t="array" ref="J626">IF(D626="","",(G626*D626)*0.00075)</f>
        <v>8.4539193749999999</v>
      </c>
      <c r="K626" s="24" cm="1">
        <f t="array" ref="K626">IF(D626="","",J626+I626)</f>
        <v>16.891434549</v>
      </c>
      <c r="L626" s="24" cm="1">
        <f t="array" ref="L626">IF(D626=0,0,(D626-C626)*G626)</f>
        <v>21.872268000000147</v>
      </c>
      <c r="M626" s="25">
        <v>11219.694044624999</v>
      </c>
      <c r="N626" s="26" cm="1">
        <f t="array" ref="N626">IFERROR((K626-J626)/J626,"–")</f>
        <v>0.99805957446808502</v>
      </c>
      <c r="O626" s="24" cm="1">
        <f t="array" ref="O626">IF(D626=0,0,L626-K626)</f>
        <v>4.980833451000148</v>
      </c>
      <c r="P626" s="23"/>
      <c r="Q626" s="27"/>
    </row>
    <row r="627" spans="1:17" ht="22.5" customHeight="1">
      <c r="A627" s="16" t="s">
        <v>162</v>
      </c>
      <c r="B627" s="28">
        <v>44445</v>
      </c>
      <c r="C627" s="36">
        <v>11.7272</v>
      </c>
      <c r="D627" s="36">
        <v>11.78</v>
      </c>
      <c r="E627" s="30" cm="1">
        <f t="array" ref="E627">IF(D627="","",D627-C627)</f>
        <v>5.2799999999999514E-2</v>
      </c>
      <c r="F627" s="31" cm="1">
        <f t="array" ref="F627">IF(D627=0,"",(D627-C627)/C627)</f>
        <v>4.5023535029674192E-3</v>
      </c>
      <c r="G627" s="32">
        <v>959.31</v>
      </c>
      <c r="H627" s="10">
        <v>1</v>
      </c>
      <c r="I627" s="11" cm="1">
        <f t="array" ref="I627">IF(D627="","",(G627*C627)*0.00075)</f>
        <v>8.4375151739999996</v>
      </c>
      <c r="J627" s="11" cm="1">
        <f t="array" ref="J627">IF(D627="","",(G627*D627)*0.00075)</f>
        <v>8.4755038499999991</v>
      </c>
      <c r="K627" s="33" cm="1">
        <f t="array" ref="K627">IF(D627="","",J627+I627)</f>
        <v>16.913019024</v>
      </c>
      <c r="L627" s="33" cm="1">
        <f t="array" ref="L627">IF(D627=0,0,(D627-C627)*G627)</f>
        <v>50.651567999999529</v>
      </c>
      <c r="M627" s="12">
        <v>11190.893160150001</v>
      </c>
      <c r="N627" s="34" cm="1">
        <f t="array" ref="N627">IFERROR((K627-J627)/J627,"–")</f>
        <v>0.99551782682512757</v>
      </c>
      <c r="O627" s="33" cm="1">
        <f t="array" ref="O627">IF(D627=0,0,L627-K627)</f>
        <v>33.738548975999528</v>
      </c>
      <c r="P627" s="45"/>
      <c r="Q627" s="50"/>
    </row>
    <row r="628" spans="1:17" ht="22.5" customHeight="1">
      <c r="A628" s="16" t="s">
        <v>77</v>
      </c>
      <c r="B628" s="17">
        <v>44445</v>
      </c>
      <c r="C628" s="37">
        <v>1.0837000000000001</v>
      </c>
      <c r="D628" s="37">
        <v>1.0949</v>
      </c>
      <c r="E628" s="19" cm="1">
        <f t="array" ref="E628">IF(D628="","",D628-C628)</f>
        <v>1.1199999999999877E-2</v>
      </c>
      <c r="F628" s="20" cm="1">
        <f t="array" ref="F628">IF(D628=0,"",(D628-C628)/C628)</f>
        <v>1.0334963550798076E-2</v>
      </c>
      <c r="G628" s="21">
        <v>8067</v>
      </c>
      <c r="H628" s="22">
        <v>1</v>
      </c>
      <c r="I628" s="23" cm="1">
        <f t="array" ref="I628">IF(D628="","",(G628*C628)*0.00075)</f>
        <v>6.5566559250000012</v>
      </c>
      <c r="J628" s="23" cm="1">
        <f t="array" ref="J628">IF(D628="","",(G628*D628)*0.00075)</f>
        <v>6.6244187250000008</v>
      </c>
      <c r="K628" s="24" cm="1">
        <f t="array" ref="K628">IF(D628="","",J628+I628)</f>
        <v>13.181074650000003</v>
      </c>
      <c r="L628" s="24" cm="1">
        <f t="array" ref="L628">IF(D628=0,0,(D628-C628)*G628)</f>
        <v>90.350399999998999</v>
      </c>
      <c r="M628" s="25">
        <v>8645.2330812750006</v>
      </c>
      <c r="N628" s="26" cm="1">
        <f t="array" ref="N628">IFERROR((K628-J628)/J628,"–")</f>
        <v>0.98977075532012071</v>
      </c>
      <c r="O628" s="24" cm="1">
        <f t="array" ref="O628">IF(D628=0,0,L628-K628)</f>
        <v>77.169325349998999</v>
      </c>
      <c r="P628" s="23"/>
      <c r="Q628" s="27"/>
    </row>
    <row r="629" spans="1:17" ht="22.5" customHeight="1">
      <c r="A629" s="16" t="s">
        <v>77</v>
      </c>
      <c r="B629" s="28">
        <v>44445</v>
      </c>
      <c r="C629" s="36">
        <v>1.0837000000000001</v>
      </c>
      <c r="D629" s="36">
        <v>1.0949</v>
      </c>
      <c r="E629" s="30" cm="1">
        <f t="array" ref="E629">IF(D629="","",D629-C629)</f>
        <v>1.1199999999999877E-2</v>
      </c>
      <c r="F629" s="31" cm="1">
        <f t="array" ref="F629">IF(D629=0,"",(D629-C629)/C629)</f>
        <v>1.0334963550798076E-2</v>
      </c>
      <c r="G629" s="32">
        <v>4538</v>
      </c>
      <c r="H629" s="10">
        <v>1</v>
      </c>
      <c r="I629" s="11" cm="1">
        <f t="array" ref="I629">IF(D629="","",(G629*C629)*0.00075)</f>
        <v>3.6883729500000002</v>
      </c>
      <c r="J629" s="11" cm="1">
        <f t="array" ref="J629">IF(D629="","",(G629*D629)*0.00075)</f>
        <v>3.7264921500000003</v>
      </c>
      <c r="K629" s="33" cm="1">
        <f t="array" ref="K629">IF(D629="","",J629+I629)</f>
        <v>7.4148651000000001</v>
      </c>
      <c r="L629" s="33" cm="1">
        <f t="array" ref="L629">IF(D629=0,0,(D629-C629)*G629)</f>
        <v>50.82559999999944</v>
      </c>
      <c r="M629" s="12">
        <v>4863.2785078500001</v>
      </c>
      <c r="N629" s="34" cm="1">
        <f t="array" ref="N629">IFERROR((K629-J629)/J629,"–")</f>
        <v>0.98977075532012038</v>
      </c>
      <c r="O629" s="33" cm="1">
        <f t="array" ref="O629">IF(D629=0,0,L629-K629)</f>
        <v>43.41073489999944</v>
      </c>
      <c r="P629" s="11"/>
      <c r="Q629" s="35"/>
    </row>
    <row r="630" spans="1:17" ht="22.5" customHeight="1">
      <c r="A630" s="16" t="s">
        <v>77</v>
      </c>
      <c r="B630" s="17">
        <v>44445</v>
      </c>
      <c r="C630" s="37">
        <v>1.0837000000000001</v>
      </c>
      <c r="D630" s="37">
        <v>1.093</v>
      </c>
      <c r="E630" s="19" cm="1">
        <f t="array" ref="E630">IF(D630="","",D630-C630)</f>
        <v>9.2999999999998639E-3</v>
      </c>
      <c r="F630" s="20" cm="1">
        <f t="array" ref="F630">IF(D630=0,"",(D630-C630)/C630)</f>
        <v>8.5817108055733712E-3</v>
      </c>
      <c r="G630" s="21">
        <v>6807</v>
      </c>
      <c r="H630" s="22">
        <v>1</v>
      </c>
      <c r="I630" s="23" cm="1">
        <f t="array" ref="I630">IF(D630="","",(G630*C630)*0.00075)</f>
        <v>5.5325594250000005</v>
      </c>
      <c r="J630" s="23" cm="1">
        <f t="array" ref="J630">IF(D630="","",(G630*D630)*0.00075)</f>
        <v>5.5800382499999994</v>
      </c>
      <c r="K630" s="24" cm="1">
        <f t="array" ref="K630">IF(D630="","",J630+I630)</f>
        <v>11.112597675</v>
      </c>
      <c r="L630" s="24" cm="1">
        <f t="array" ref="L630">IF(D630=0,0,(D630-C630)*G630)</f>
        <v>63.305099999999072</v>
      </c>
      <c r="M630" s="25">
        <v>7307.8607617500002</v>
      </c>
      <c r="N630" s="26" cm="1">
        <f t="array" ref="N630">IFERROR((K630-J630)/J630,"–")</f>
        <v>0.99149130832570931</v>
      </c>
      <c r="O630" s="24" cm="1">
        <f t="array" ref="O630">IF(D630=0,0,L630-K630)</f>
        <v>52.192502324999069</v>
      </c>
      <c r="P630" s="23"/>
      <c r="Q630" s="27"/>
    </row>
    <row r="631" spans="1:17" ht="22.5" customHeight="1">
      <c r="A631" s="16" t="s">
        <v>77</v>
      </c>
      <c r="B631" s="28">
        <v>44445</v>
      </c>
      <c r="C631" s="36">
        <v>1.0837000000000001</v>
      </c>
      <c r="D631" s="36">
        <v>1.093</v>
      </c>
      <c r="E631" s="30" cm="1">
        <f t="array" ref="E631">IF(D631="","",D631-C631)</f>
        <v>9.2999999999998639E-3</v>
      </c>
      <c r="F631" s="31" cm="1">
        <f t="array" ref="F631">IF(D631=0,"",(D631-C631)/C631)</f>
        <v>8.5817108055733712E-3</v>
      </c>
      <c r="G631" s="32">
        <v>6428</v>
      </c>
      <c r="H631" s="10">
        <v>1</v>
      </c>
      <c r="I631" s="11" cm="1">
        <f t="array" ref="I631">IF(D631="","",(G631*C631)*0.00075)</f>
        <v>5.2245177000000007</v>
      </c>
      <c r="J631" s="11" cm="1">
        <f t="array" ref="J631">IF(D631="","",(G631*D631)*0.00075)</f>
        <v>5.2693529999999997</v>
      </c>
      <c r="K631" s="33" cm="1">
        <f t="array" ref="K631">IF(D631="","",J631+I631)</f>
        <v>10.4938707</v>
      </c>
      <c r="L631" s="33" cm="1">
        <f t="array" ref="L631">IF(D631=0,0,(D631-C631)*G631)</f>
        <v>59.780399999999126</v>
      </c>
      <c r="M631" s="12">
        <v>6900.9738470000002</v>
      </c>
      <c r="N631" s="34" cm="1">
        <f t="array" ref="N631">IFERROR((K631-J631)/J631,"–")</f>
        <v>0.9914913083257092</v>
      </c>
      <c r="O631" s="33" cm="1">
        <f t="array" ref="O631">IF(D631=0,0,L631-K631)</f>
        <v>49.286529299999124</v>
      </c>
      <c r="P631" s="11"/>
      <c r="Q631" s="35"/>
    </row>
    <row r="632" spans="1:17" ht="22.5" customHeight="1">
      <c r="A632" s="16" t="s">
        <v>77</v>
      </c>
      <c r="B632" s="17">
        <v>44445</v>
      </c>
      <c r="C632" s="37">
        <v>1.0837000000000001</v>
      </c>
      <c r="D632" s="37">
        <v>1.093</v>
      </c>
      <c r="E632" s="19" cm="1">
        <f t="array" ref="E632">IF(D632="","",D632-C632)</f>
        <v>9.2999999999998639E-3</v>
      </c>
      <c r="F632" s="20" cm="1">
        <f t="array" ref="F632">IF(D632=0,"",(D632-C632)/C632)</f>
        <v>8.5817108055733712E-3</v>
      </c>
      <c r="G632" s="21">
        <v>6429</v>
      </c>
      <c r="H632" s="22">
        <v>1</v>
      </c>
      <c r="I632" s="23" cm="1">
        <f t="array" ref="I632">IF(D632="","",(G632*C632)*0.00075)</f>
        <v>5.2253304750000007</v>
      </c>
      <c r="J632" s="23" cm="1">
        <f t="array" ref="J632">IF(D632="","",(G632*D632)*0.00075)</f>
        <v>5.2701727500000004</v>
      </c>
      <c r="K632" s="24" cm="1">
        <f t="array" ref="K632">IF(D632="","",J632+I632)</f>
        <v>10.495503225</v>
      </c>
      <c r="L632" s="24" cm="1">
        <f t="array" ref="L632">IF(D632=0,0,(D632-C632)*G632)</f>
        <v>59.789699999999122</v>
      </c>
      <c r="M632" s="25">
        <v>6902.0474272499996</v>
      </c>
      <c r="N632" s="26" cm="1">
        <f t="array" ref="N632">IFERROR((K632-J632)/J632,"–")</f>
        <v>0.99149130832570898</v>
      </c>
      <c r="O632" s="24" cm="1">
        <f t="array" ref="O632">IF(D632=0,0,L632-K632)</f>
        <v>49.294196774999122</v>
      </c>
      <c r="P632" s="23"/>
      <c r="Q632" s="27"/>
    </row>
    <row r="633" spans="1:17" ht="22.5" customHeight="1">
      <c r="A633" s="16" t="s">
        <v>80</v>
      </c>
      <c r="B633" s="28">
        <v>44445</v>
      </c>
      <c r="C633" s="36">
        <v>0.9</v>
      </c>
      <c r="D633" s="36">
        <v>0.90500000000000003</v>
      </c>
      <c r="E633" s="30" cm="1">
        <f t="array" ref="E633">IF(D633="","",D633-C633)</f>
        <v>5.0000000000000044E-3</v>
      </c>
      <c r="F633" s="31" cm="1">
        <f t="array" ref="F633">IF(D633=0,"",(D633-C633)/C633)</f>
        <v>5.5555555555555601E-3</v>
      </c>
      <c r="G633" s="32">
        <v>9712</v>
      </c>
      <c r="H633" s="10">
        <v>1</v>
      </c>
      <c r="I633" s="11" cm="1">
        <f t="array" ref="I633">IF(D633="","",(G633*C633)*0.00075)</f>
        <v>6.555600000000001</v>
      </c>
      <c r="J633" s="11" cm="1">
        <f t="array" ref="J633">IF(D633="","",(G633*D633)*0.00075)</f>
        <v>6.5920200000000007</v>
      </c>
      <c r="K633" s="33" cm="1">
        <f t="array" ref="K633">IF(D633="","",J633+I633)</f>
        <v>13.147620000000002</v>
      </c>
      <c r="L633" s="33" cm="1">
        <f t="array" ref="L633">IF(D633=0,0,(D633-C633)*G633)</f>
        <v>48.560000000000045</v>
      </c>
      <c r="M633" s="12">
        <v>8685.6479799999997</v>
      </c>
      <c r="N633" s="34" cm="1">
        <f t="array" ref="N633">IFERROR((K633-J633)/J633,"–")</f>
        <v>0.99447513812154698</v>
      </c>
      <c r="O633" s="33" cm="1">
        <f t="array" ref="O633">IF(D633=0,0,L633-K633)</f>
        <v>35.412380000000041</v>
      </c>
      <c r="P633" s="11"/>
      <c r="Q633" s="35"/>
    </row>
    <row r="634" spans="1:17" ht="22.5" customHeight="1">
      <c r="A634" s="16" t="s">
        <v>80</v>
      </c>
      <c r="B634" s="17">
        <v>44445</v>
      </c>
      <c r="C634" s="37">
        <v>0.9</v>
      </c>
      <c r="D634" s="37">
        <v>0.90900000000000003</v>
      </c>
      <c r="E634" s="19" cm="1">
        <f t="array" ref="E634">IF(D634="","",D634-C634)</f>
        <v>9.000000000000008E-3</v>
      </c>
      <c r="F634" s="20" cm="1">
        <f t="array" ref="F634">IF(D634=0,"",(D634-C634)/C634)</f>
        <v>1.0000000000000009E-2</v>
      </c>
      <c r="G634" s="21">
        <v>7284</v>
      </c>
      <c r="H634" s="22">
        <v>1</v>
      </c>
      <c r="I634" s="23" cm="1">
        <f t="array" ref="I634">IF(D634="","",(G634*C634)*0.00075)</f>
        <v>4.9167000000000005</v>
      </c>
      <c r="J634" s="23" cm="1">
        <f t="array" ref="J634">IF(D634="","",(G634*D634)*0.00075)</f>
        <v>4.9658670000000003</v>
      </c>
      <c r="K634" s="24" cm="1">
        <f t="array" ref="K634">IF(D634="","",J634+I634)</f>
        <v>9.8825670000000017</v>
      </c>
      <c r="L634" s="24" cm="1">
        <f t="array" ref="L634">IF(D634=0,0,(D634-C634)*G634)</f>
        <v>65.556000000000054</v>
      </c>
      <c r="M634" s="25">
        <v>6485.078133</v>
      </c>
      <c r="N634" s="26" cm="1">
        <f t="array" ref="N634">IFERROR((K634-J634)/J634,"–")</f>
        <v>0.99009900990099031</v>
      </c>
      <c r="O634" s="24" cm="1">
        <f t="array" ref="O634">IF(D634=0,0,L634-K634)</f>
        <v>55.673433000000053</v>
      </c>
      <c r="P634" s="23"/>
      <c r="Q634" s="27"/>
    </row>
    <row r="635" spans="1:17" ht="22.5" customHeight="1">
      <c r="A635" s="16" t="s">
        <v>80</v>
      </c>
      <c r="B635" s="28">
        <v>44445</v>
      </c>
      <c r="C635" s="36">
        <v>0.9</v>
      </c>
      <c r="D635" s="36">
        <v>0.9143</v>
      </c>
      <c r="E635" s="30" cm="1">
        <f t="array" ref="E635">IF(D635="","",D635-C635)</f>
        <v>1.4299999999999979E-2</v>
      </c>
      <c r="F635" s="31" cm="1">
        <f t="array" ref="F635">IF(D635=0,"",(D635-C635)/C635)</f>
        <v>1.5888888888888866E-2</v>
      </c>
      <c r="G635" s="32">
        <v>5463</v>
      </c>
      <c r="H635" s="10">
        <v>1</v>
      </c>
      <c r="I635" s="11" cm="1">
        <f t="array" ref="I635">IF(D635="","",(G635*C635)*0.00075)</f>
        <v>3.6875249999999999</v>
      </c>
      <c r="J635" s="11" cm="1">
        <f t="array" ref="J635">IF(D635="","",(G635*D635)*0.00075)</f>
        <v>3.746115675</v>
      </c>
      <c r="K635" s="33" cm="1">
        <f t="array" ref="K635">IF(D635="","",J635+I635)</f>
        <v>7.4336406749999995</v>
      </c>
      <c r="L635" s="33" cm="1">
        <f t="array" ref="L635">IF(D635=0,0,(D635-C635)*G635)</f>
        <v>78.120899999999892</v>
      </c>
      <c r="M635" s="12">
        <v>4834.8329843250003</v>
      </c>
      <c r="N635" s="34" cm="1">
        <f t="array" ref="N635">IFERROR((K635-J635)/J635,"–")</f>
        <v>0.98435961938094707</v>
      </c>
      <c r="O635" s="33" cm="1">
        <f t="array" ref="O635">IF(D635=0,0,L635-K635)</f>
        <v>70.6872593249999</v>
      </c>
      <c r="P635" s="11"/>
      <c r="Q635" s="35"/>
    </row>
    <row r="636" spans="1:17" ht="22.5" customHeight="1">
      <c r="A636" s="16" t="s">
        <v>80</v>
      </c>
      <c r="B636" s="17">
        <v>44445</v>
      </c>
      <c r="C636" s="37">
        <v>0.9</v>
      </c>
      <c r="D636" s="37">
        <v>0.9173</v>
      </c>
      <c r="E636" s="19" cm="1">
        <f t="array" ref="E636">IF(D636="","",D636-C636)</f>
        <v>1.7299999999999982E-2</v>
      </c>
      <c r="F636" s="20" cm="1">
        <f t="array" ref="F636">IF(D636=0,"",(D636-C636)/C636)</f>
        <v>1.9222222222222203E-2</v>
      </c>
      <c r="G636" s="21">
        <v>8195</v>
      </c>
      <c r="H636" s="22">
        <v>1</v>
      </c>
      <c r="I636" s="23" cm="1">
        <f t="array" ref="I636">IF(D636="","",(G636*C636)*0.00075)</f>
        <v>5.531625</v>
      </c>
      <c r="J636" s="23" cm="1">
        <f t="array" ref="J636">IF(D636="","",(G636*D636)*0.00075)</f>
        <v>5.6379551250000004</v>
      </c>
      <c r="K636" s="24" cm="1">
        <f t="array" ref="K636">IF(D636="","",J636+I636)</f>
        <v>11.169580125</v>
      </c>
      <c r="L636" s="24" cm="1">
        <f t="array" ref="L636">IF(D636=0,0,(D636-C636)*G636)</f>
        <v>141.77349999999984</v>
      </c>
      <c r="M636" s="25">
        <v>7228.0885448749996</v>
      </c>
      <c r="N636" s="26" cm="1">
        <f t="array" ref="N636">IFERROR((K636-J636)/J636,"–")</f>
        <v>0.98114030306333788</v>
      </c>
      <c r="O636" s="24" cm="1">
        <f t="array" ref="O636">IF(D636=0,0,L636-K636)</f>
        <v>130.60391987499983</v>
      </c>
      <c r="P636" s="23"/>
      <c r="Q636" s="27"/>
    </row>
    <row r="637" spans="1:17" ht="22.5" customHeight="1">
      <c r="A637" s="16" t="s">
        <v>80</v>
      </c>
      <c r="B637" s="28">
        <v>44445</v>
      </c>
      <c r="C637" s="36">
        <v>0.9</v>
      </c>
      <c r="D637" s="36">
        <v>0.92300000000000004</v>
      </c>
      <c r="E637" s="30" cm="1">
        <f t="array" ref="E637">IF(D637="","",D637-C637)</f>
        <v>2.300000000000002E-2</v>
      </c>
      <c r="F637" s="31" cm="1">
        <f t="array" ref="F637">IF(D637=0,"",(D637-C637)/C637)</f>
        <v>2.5555555555555578E-2</v>
      </c>
      <c r="G637" s="32">
        <v>8195</v>
      </c>
      <c r="H637" s="10">
        <v>1</v>
      </c>
      <c r="I637" s="11" cm="1">
        <f t="array" ref="I637">IF(D637="","",(G637*C637)*0.00075)</f>
        <v>5.531625</v>
      </c>
      <c r="J637" s="11" cm="1">
        <f t="array" ref="J637">IF(D637="","",(G637*D637)*0.00075)</f>
        <v>5.6729887500000009</v>
      </c>
      <c r="K637" s="33" cm="1">
        <f t="array" ref="K637">IF(D637="","",J637+I637)</f>
        <v>11.20461375</v>
      </c>
      <c r="L637" s="33" cm="1">
        <f t="array" ref="L637">IF(D637=0,0,(D637-C637)*G637)</f>
        <v>188.48500000000016</v>
      </c>
      <c r="M637" s="12">
        <v>7181.3420112499998</v>
      </c>
      <c r="N637" s="34" cm="1">
        <f t="array" ref="N637">IFERROR((K637-J637)/J637,"–")</f>
        <v>0.97508125677139734</v>
      </c>
      <c r="O637" s="33" cm="1">
        <f t="array" ref="O637">IF(D637=0,0,L637-K637)</f>
        <v>177.28038625000016</v>
      </c>
      <c r="P637" s="11"/>
      <c r="Q637" s="35"/>
    </row>
    <row r="638" spans="1:17" ht="22.5" customHeight="1">
      <c r="A638" s="16" t="s">
        <v>43</v>
      </c>
      <c r="B638" s="17">
        <v>44445</v>
      </c>
      <c r="C638" s="37">
        <v>1.0428999999999999</v>
      </c>
      <c r="D638" s="37">
        <v>1.0529999999999999</v>
      </c>
      <c r="E638" s="19" cm="1">
        <f t="array" ref="E638">IF(D638="","",D638-C638)</f>
        <v>1.0099999999999998E-2</v>
      </c>
      <c r="F638" s="20" cm="1">
        <f t="array" ref="F638">IF(D638=0,"",(D638-C638)/C638)</f>
        <v>9.6845335123214096E-3</v>
      </c>
      <c r="G638" s="21">
        <v>8389</v>
      </c>
      <c r="H638" s="22">
        <v>1</v>
      </c>
      <c r="I638" s="23" cm="1">
        <f t="array" ref="I638">IF(D638="","",(G638*C638)*0.00075)</f>
        <v>6.5616660750000007</v>
      </c>
      <c r="J638" s="23" cm="1">
        <f t="array" ref="J638">IF(D638="","",(G638*D638)*0.00075)</f>
        <v>6.6252127500000002</v>
      </c>
      <c r="K638" s="24" cm="1">
        <f t="array" ref="K638">IF(D638="","",J638+I638)</f>
        <v>13.186878825000001</v>
      </c>
      <c r="L638" s="24" cm="1">
        <f t="array" ref="L638">IF(D638=0,0,(D638-C638)*G638)</f>
        <v>84.728899999999982</v>
      </c>
      <c r="M638" s="25">
        <v>8657.5339872500008</v>
      </c>
      <c r="N638" s="26" cm="1">
        <f t="array" ref="N638">IFERROR((K638-J638)/J638,"–")</f>
        <v>0.99040835707502384</v>
      </c>
      <c r="O638" s="24" cm="1">
        <f t="array" ref="O638">IF(D638=0,0,L638-K638)</f>
        <v>71.542021174999974</v>
      </c>
      <c r="P638" s="23"/>
      <c r="Q638" s="27"/>
    </row>
    <row r="639" spans="1:17" ht="22.5" customHeight="1">
      <c r="A639" s="16" t="s">
        <v>43</v>
      </c>
      <c r="B639" s="28">
        <v>44445</v>
      </c>
      <c r="C639" s="36">
        <v>1.0428999999999999</v>
      </c>
      <c r="D639" s="36">
        <v>1.0569999999999999</v>
      </c>
      <c r="E639" s="30" cm="1">
        <f t="array" ref="E639">IF(D639="","",D639-C639)</f>
        <v>1.4100000000000001E-2</v>
      </c>
      <c r="F639" s="31" cm="1">
        <f t="array" ref="F639">IF(D639=0,"",(D639-C639)/C639)</f>
        <v>1.3519992329082369E-2</v>
      </c>
      <c r="G639" s="32">
        <v>6292</v>
      </c>
      <c r="H639" s="10">
        <v>1</v>
      </c>
      <c r="I639" s="11" cm="1">
        <f t="array" ref="I639">IF(D639="","",(G639*C639)*0.00075)</f>
        <v>4.9214450999999997</v>
      </c>
      <c r="J639" s="11" cm="1">
        <f t="array" ref="J639">IF(D639="","",(G639*D639)*0.00075)</f>
        <v>4.9879829999999998</v>
      </c>
      <c r="K639" s="33" cm="1">
        <f t="array" ref="K639">IF(D639="","",J639+I639)</f>
        <v>9.9094280999999995</v>
      </c>
      <c r="L639" s="33" cm="1">
        <f t="array" ref="L639">IF(D639=0,0,(D639-C639)*G639)</f>
        <v>88.717200000000005</v>
      </c>
      <c r="M639" s="12">
        <v>6468.2216170000002</v>
      </c>
      <c r="N639" s="34" cm="1">
        <f t="array" ref="N639">IFERROR((K639-J639)/J639,"–")</f>
        <v>0.98666035950804165</v>
      </c>
      <c r="O639" s="33" cm="1">
        <f t="array" ref="O639">IF(D639=0,0,L639-K639)</f>
        <v>78.807771900000006</v>
      </c>
      <c r="P639" s="11"/>
      <c r="Q639" s="35"/>
    </row>
    <row r="640" spans="1:17" ht="22.5" customHeight="1">
      <c r="A640" s="16" t="s">
        <v>43</v>
      </c>
      <c r="B640" s="17">
        <v>44445</v>
      </c>
      <c r="C640" s="37">
        <v>1.0428999999999999</v>
      </c>
      <c r="D640" s="37">
        <v>1.0580000000000001</v>
      </c>
      <c r="E640" s="19" cm="1">
        <f t="array" ref="E640">IF(D640="","",D640-C640)</f>
        <v>1.5100000000000113E-2</v>
      </c>
      <c r="F640" s="20" cm="1">
        <f t="array" ref="F640">IF(D640=0,"",(D640-C640)/C640)</f>
        <v>1.4478857033272714E-2</v>
      </c>
      <c r="G640" s="21">
        <v>4719</v>
      </c>
      <c r="H640" s="22">
        <v>1</v>
      </c>
      <c r="I640" s="23" cm="1">
        <f t="array" ref="I640">IF(D640="","",(G640*C640)*0.00075)</f>
        <v>3.6910838250000002</v>
      </c>
      <c r="J640" s="23" cm="1">
        <f t="array" ref="J640">IF(D640="","",(G640*D640)*0.00075)</f>
        <v>3.7445265000000001</v>
      </c>
      <c r="K640" s="24" cm="1">
        <f t="array" ref="K640">IF(D640="","",J640+I640)</f>
        <v>7.4356103250000007</v>
      </c>
      <c r="L640" s="24" cm="1">
        <f t="array" ref="L640">IF(D640=0,0,(D640-C640)*G640)</f>
        <v>71.256900000000542</v>
      </c>
      <c r="M640" s="25">
        <v>4846.4436734999999</v>
      </c>
      <c r="N640" s="26" cm="1">
        <f t="array" ref="N640">IFERROR((K640-J640)/J640,"–")</f>
        <v>0.98572778827977325</v>
      </c>
      <c r="O640" s="24" cm="1">
        <f t="array" ref="O640">IF(D640=0,0,L640-K640)</f>
        <v>63.821289675000543</v>
      </c>
      <c r="P640" s="23"/>
      <c r="Q640" s="27"/>
    </row>
    <row r="641" spans="1:17" ht="22.5" customHeight="1">
      <c r="A641" s="16" t="s">
        <v>43</v>
      </c>
      <c r="B641" s="28">
        <v>44445</v>
      </c>
      <c r="C641" s="36">
        <v>1.0428999999999999</v>
      </c>
      <c r="D641" s="36">
        <v>1.056</v>
      </c>
      <c r="E641" s="30" cm="1">
        <f t="array" ref="E641">IF(D641="","",D641-C641)</f>
        <v>1.3100000000000112E-2</v>
      </c>
      <c r="F641" s="31" cm="1">
        <f t="array" ref="F641">IF(D641=0,"",(D641-C641)/C641)</f>
        <v>1.2561127624892235E-2</v>
      </c>
      <c r="G641" s="32">
        <v>5310</v>
      </c>
      <c r="H641" s="10">
        <v>1</v>
      </c>
      <c r="I641" s="11" cm="1">
        <f t="array" ref="I641">IF(D641="","",(G641*C641)*0.00075)</f>
        <v>4.1533492499999998</v>
      </c>
      <c r="J641" s="11" cm="1">
        <f t="array" ref="J641">IF(D641="","",(G641*D641)*0.00075)</f>
        <v>4.2055200000000008</v>
      </c>
      <c r="K641" s="33" cm="1">
        <f t="array" ref="K641">IF(D641="","",J641+I641)</f>
        <v>8.3588692500000015</v>
      </c>
      <c r="L641" s="33" cm="1">
        <f t="array" ref="L641">IF(D641=0,0,(D641-C641)*G641)</f>
        <v>69.56100000000059</v>
      </c>
      <c r="M641" s="12">
        <v>5464.0324799999999</v>
      </c>
      <c r="N641" s="34" cm="1">
        <f t="array" ref="N641">IFERROR((K641-J641)/J641,"–")</f>
        <v>0.98759469696969693</v>
      </c>
      <c r="O641" s="33" cm="1">
        <f t="array" ref="O641">IF(D641=0,0,L641-K641)</f>
        <v>61.202130750000592</v>
      </c>
      <c r="P641" s="11"/>
      <c r="Q641" s="35"/>
    </row>
    <row r="642" spans="1:17" ht="22.5" customHeight="1">
      <c r="A642" s="16" t="s">
        <v>43</v>
      </c>
      <c r="B642" s="17">
        <v>44445</v>
      </c>
      <c r="C642" s="37">
        <v>1.0428999999999999</v>
      </c>
      <c r="D642" s="37">
        <v>1.0580000000000001</v>
      </c>
      <c r="E642" s="19" cm="1">
        <f t="array" ref="E642">IF(D642="","",D642-C642)</f>
        <v>1.5100000000000113E-2</v>
      </c>
      <c r="F642" s="20" cm="1">
        <f t="array" ref="F642">IF(D642=0,"",(D642-C642)/C642)</f>
        <v>1.4478857033272714E-2</v>
      </c>
      <c r="G642" s="21">
        <v>5310</v>
      </c>
      <c r="H642" s="22">
        <v>1</v>
      </c>
      <c r="I642" s="23" cm="1">
        <f t="array" ref="I642">IF(D642="","",(G642*C642)*0.00075)</f>
        <v>4.1533492499999998</v>
      </c>
      <c r="J642" s="23" cm="1">
        <f t="array" ref="J642">IF(D642="","",(G642*D642)*0.00075)</f>
        <v>4.2134850000000004</v>
      </c>
      <c r="K642" s="24" cm="1">
        <f t="array" ref="K642">IF(D642="","",J642+I642)</f>
        <v>8.3668342500000001</v>
      </c>
      <c r="L642" s="24" cm="1">
        <f t="array" ref="L642">IF(D642=0,0,(D642-C642)*G642)</f>
        <v>80.181000000000608</v>
      </c>
      <c r="M642" s="25">
        <v>5453.4045150000002</v>
      </c>
      <c r="N642" s="26" cm="1">
        <f t="array" ref="N642">IFERROR((K642-J642)/J642,"–")</f>
        <v>0.98572778827977303</v>
      </c>
      <c r="O642" s="24" cm="1">
        <f t="array" ref="O642">IF(D642=0,0,L642-K642)</f>
        <v>71.814165750000612</v>
      </c>
      <c r="P642" s="23"/>
      <c r="Q642" s="27"/>
    </row>
    <row r="643" spans="1:17" ht="22.5" customHeight="1">
      <c r="A643" s="16" t="s">
        <v>43</v>
      </c>
      <c r="B643" s="28">
        <v>44445</v>
      </c>
      <c r="C643" s="36">
        <v>1.0428999999999999</v>
      </c>
      <c r="D643" s="36">
        <v>1.0606</v>
      </c>
      <c r="E643" s="30" cm="1">
        <f t="array" ref="E643">IF(D643="","",D643-C643)</f>
        <v>1.7700000000000049E-2</v>
      </c>
      <c r="F643" s="31" cm="1">
        <f t="array" ref="F643">IF(D643=0,"",(D643-C643)/C643)</f>
        <v>1.6971905264167274E-2</v>
      </c>
      <c r="G643" s="32">
        <v>3539</v>
      </c>
      <c r="H643" s="10">
        <v>1</v>
      </c>
      <c r="I643" s="11" cm="1">
        <f t="array" ref="I643">IF(D643="","",(G643*C643)*0.00075)</f>
        <v>2.768117325</v>
      </c>
      <c r="J643" s="11" cm="1">
        <f t="array" ref="J643">IF(D643="","",(G643*D643)*0.00075)</f>
        <v>2.8150975499999999</v>
      </c>
      <c r="K643" s="33" cm="1">
        <f t="array" ref="K643">IF(D643="","",J643+I643)</f>
        <v>5.5832148749999995</v>
      </c>
      <c r="L643" s="33" cm="1">
        <f t="array" ref="L643">IF(D643=0,0,(D643-C643)*G643)</f>
        <v>62.640300000000174</v>
      </c>
      <c r="M643" s="12">
        <v>3625.3677024499998</v>
      </c>
      <c r="N643" s="34" cm="1">
        <f t="array" ref="N643">IFERROR((K643-J643)/J643,"–")</f>
        <v>0.98331133320761821</v>
      </c>
      <c r="O643" s="33" cm="1">
        <f t="array" ref="O643">IF(D643=0,0,L643-K643)</f>
        <v>57.057085125000171</v>
      </c>
      <c r="P643" s="11"/>
      <c r="Q643" s="35"/>
    </row>
    <row r="644" spans="1:17" ht="22.5" customHeight="1">
      <c r="A644" s="16" t="s">
        <v>170</v>
      </c>
      <c r="B644" s="17">
        <v>44445</v>
      </c>
      <c r="C644" s="37">
        <v>0.87856000000000001</v>
      </c>
      <c r="D644" s="37">
        <v>0.89</v>
      </c>
      <c r="E644" s="19" cm="1">
        <f t="array" ref="E644">IF(D644="","",D644-C644)</f>
        <v>1.1440000000000006E-2</v>
      </c>
      <c r="F644" s="20" cm="1">
        <f t="array" ref="F644">IF(D644=0,"",(D644-C644)/C644)</f>
        <v>1.3021307594245135E-2</v>
      </c>
      <c r="G644" s="21">
        <v>6722</v>
      </c>
      <c r="H644" s="22">
        <v>1</v>
      </c>
      <c r="I644" s="23" cm="1">
        <f t="array" ref="I644">IF(D644="","",(G644*C644)*0.00075)</f>
        <v>4.4292602400000005</v>
      </c>
      <c r="J644" s="23" cm="1">
        <f t="array" ref="J644">IF(D644="","",(G644*D644)*0.00075)</f>
        <v>4.4869349999999999</v>
      </c>
      <c r="K644" s="24" cm="1">
        <f t="array" ref="K644">IF(D644="","",J644+I644)</f>
        <v>8.9161952400000004</v>
      </c>
      <c r="L644" s="24" cm="1">
        <f t="array" ref="L644">IF(D644=0,0,(D644-C644)*G644)</f>
        <v>76.899680000000032</v>
      </c>
      <c r="M644" s="25">
        <v>5824.293705</v>
      </c>
      <c r="N644" s="26" cm="1">
        <f t="array" ref="N644">IFERROR((K644-J644)/J644,"–")</f>
        <v>0.98714606741573052</v>
      </c>
      <c r="O644" s="24" cm="1">
        <f t="array" ref="O644">IF(D644=0,0,L644-K644)</f>
        <v>67.983484760000039</v>
      </c>
      <c r="P644" s="23"/>
      <c r="Q644" s="27"/>
    </row>
    <row r="645" spans="1:17" ht="22.5" customHeight="1">
      <c r="A645" s="16" t="s">
        <v>170</v>
      </c>
      <c r="B645" s="28">
        <v>44445</v>
      </c>
      <c r="C645" s="36">
        <v>0.87856000000000001</v>
      </c>
      <c r="D645" s="36">
        <v>0.88900000000000001</v>
      </c>
      <c r="E645" s="30" cm="1">
        <f t="array" ref="E645">IF(D645="","",D645-C645)</f>
        <v>1.0440000000000005E-2</v>
      </c>
      <c r="F645" s="31" cm="1">
        <f t="array" ref="F645">IF(D645=0,"",(D645-C645)/C645)</f>
        <v>1.1883081405936993E-2</v>
      </c>
      <c r="G645" s="32">
        <v>10270</v>
      </c>
      <c r="H645" s="10">
        <v>1</v>
      </c>
      <c r="I645" s="11" cm="1">
        <f t="array" ref="I645">IF(D645="","",(G645*C645)*0.00075)</f>
        <v>6.7671084000000006</v>
      </c>
      <c r="J645" s="11" cm="1">
        <f t="array" ref="J645">IF(D645="","",(G645*D645)*0.00075)</f>
        <v>6.8475225000000011</v>
      </c>
      <c r="K645" s="33" cm="1">
        <f t="array" ref="K645">IF(D645="","",J645+I645)</f>
        <v>13.614630900000002</v>
      </c>
      <c r="L645" s="33" cm="1">
        <f t="array" ref="L645">IF(D645=0,0,(D645-C645)*G645)</f>
        <v>107.21880000000004</v>
      </c>
      <c r="M645" s="12">
        <v>8908.7448774999993</v>
      </c>
      <c r="N645" s="34" cm="1">
        <f t="array" ref="N645">IFERROR((K645-J645)/J645,"–")</f>
        <v>0.98825646794150723</v>
      </c>
      <c r="O645" s="33" cm="1">
        <f t="array" ref="O645">IF(D645=0,0,L645-K645)</f>
        <v>93.604169100000036</v>
      </c>
      <c r="P645" s="11"/>
      <c r="Q645" s="35"/>
    </row>
    <row r="646" spans="1:17" ht="22.5" customHeight="1">
      <c r="A646" s="16" t="s">
        <v>170</v>
      </c>
      <c r="B646" s="17">
        <v>44445</v>
      </c>
      <c r="C646" s="37">
        <v>0.87856000000000001</v>
      </c>
      <c r="D646" s="37">
        <v>0.89080000000000004</v>
      </c>
      <c r="E646" s="19" cm="1">
        <f t="array" ref="E646">IF(D646="","",D646-C646)</f>
        <v>1.2240000000000029E-2</v>
      </c>
      <c r="F646" s="20" cm="1">
        <f t="array" ref="F646">IF(D646=0,"",(D646-C646)/C646)</f>
        <v>1.3931888544891673E-2</v>
      </c>
      <c r="G646" s="21">
        <v>7703</v>
      </c>
      <c r="H646" s="22">
        <v>1</v>
      </c>
      <c r="I646" s="23" cm="1">
        <f t="array" ref="I646">IF(D646="","",(G646*C646)*0.00075)</f>
        <v>5.0756607599999999</v>
      </c>
      <c r="J646" s="23" cm="1">
        <f t="array" ref="J646">IF(D646="","",(G646*D646)*0.00075)</f>
        <v>5.1463743000000006</v>
      </c>
      <c r="K646" s="24" cm="1">
        <f t="array" ref="K646">IF(D646="","",J646+I646)</f>
        <v>10.22203506</v>
      </c>
      <c r="L646" s="24" cm="1">
        <f t="array" ref="L646">IF(D646=0,0,(D646-C646)*G646)</f>
        <v>94.28472000000022</v>
      </c>
      <c r="M646" s="25">
        <v>6668.1165856999996</v>
      </c>
      <c r="N646" s="26" cm="1">
        <f t="array" ref="N646">IFERROR((K646-J646)/J646,"–")</f>
        <v>0.98625954198473254</v>
      </c>
      <c r="O646" s="24" cm="1">
        <f t="array" ref="O646">IF(D646=0,0,L646-K646)</f>
        <v>84.062684940000224</v>
      </c>
      <c r="P646" s="23"/>
      <c r="Q646" s="27"/>
    </row>
    <row r="647" spans="1:17" ht="22.5" customHeight="1">
      <c r="A647" s="16" t="s">
        <v>170</v>
      </c>
      <c r="B647" s="28">
        <v>44445</v>
      </c>
      <c r="C647" s="36">
        <v>0.87856000000000001</v>
      </c>
      <c r="D647" s="36">
        <v>0.89800000000000002</v>
      </c>
      <c r="E647" s="30" cm="1">
        <f t="array" ref="E647">IF(D647="","",D647-C647)</f>
        <v>1.9440000000000013E-2</v>
      </c>
      <c r="F647" s="31" cm="1">
        <f t="array" ref="F647">IF(D647=0,"",(D647-C647)/C647)</f>
        <v>2.2127117100710268E-2</v>
      </c>
      <c r="G647" s="32">
        <v>8666</v>
      </c>
      <c r="H647" s="10">
        <v>1</v>
      </c>
      <c r="I647" s="11" cm="1">
        <f t="array" ref="I647">IF(D647="","",(G647*C647)*0.00075)</f>
        <v>5.7102007199999996</v>
      </c>
      <c r="J647" s="11" cm="1">
        <f t="array" ref="J647">IF(D647="","",(G647*D647)*0.00075)</f>
        <v>5.836551</v>
      </c>
      <c r="K647" s="33" cm="1">
        <f t="array" ref="K647">IF(D647="","",J647+I647)</f>
        <v>11.54675172</v>
      </c>
      <c r="L647" s="33" cm="1">
        <f t="array" ref="L647">IF(D647=0,0,(D647-C647)*G647)</f>
        <v>168.46704000000011</v>
      </c>
      <c r="M647" s="12">
        <v>7439.2973689999999</v>
      </c>
      <c r="N647" s="34" cm="1">
        <f t="array" ref="N647">IFERROR((K647-J647)/J647,"–")</f>
        <v>0.97835189309576831</v>
      </c>
      <c r="O647" s="33" cm="1">
        <f t="array" ref="O647">IF(D647=0,0,L647-K647)</f>
        <v>156.92028828000011</v>
      </c>
      <c r="P647" s="11"/>
      <c r="Q647" s="35"/>
    </row>
    <row r="648" spans="1:17" ht="22.5" customHeight="1">
      <c r="A648" s="16" t="s">
        <v>170</v>
      </c>
      <c r="B648" s="17">
        <v>44445</v>
      </c>
      <c r="C648" s="37">
        <v>0.87856000000000001</v>
      </c>
      <c r="D648" s="37">
        <v>0.89800000000000002</v>
      </c>
      <c r="E648" s="19" cm="1">
        <f t="array" ref="E648">IF(D648="","",D648-C648)</f>
        <v>1.9440000000000013E-2</v>
      </c>
      <c r="F648" s="20" cm="1">
        <f t="array" ref="F648">IF(D648=0,"",(D648-C648)/C648)</f>
        <v>2.2127117100710268E-2</v>
      </c>
      <c r="G648" s="21">
        <v>4307</v>
      </c>
      <c r="H648" s="22">
        <v>1</v>
      </c>
      <c r="I648" s="23" cm="1">
        <f t="array" ref="I648">IF(D648="","",(G648*C648)*0.00075)</f>
        <v>2.83796844</v>
      </c>
      <c r="J648" s="23" cm="1">
        <f t="array" ref="J648">IF(D648="","",(G648*D648)*0.00075)</f>
        <v>2.9007645000000002</v>
      </c>
      <c r="K648" s="24" cm="1">
        <f t="array" ref="K648">IF(D648="","",J648+I648)</f>
        <v>5.7387329400000002</v>
      </c>
      <c r="L648" s="24" cm="1">
        <f t="array" ref="L648">IF(D648=0,0,(D648-C648)*G648)</f>
        <v>83.728080000000048</v>
      </c>
      <c r="M648" s="25">
        <v>3697.3290754999998</v>
      </c>
      <c r="N648" s="26" cm="1">
        <f t="array" ref="N648">IFERROR((K648-J648)/J648,"–")</f>
        <v>0.97835189309576831</v>
      </c>
      <c r="O648" s="24" cm="1">
        <f t="array" ref="O648">IF(D648=0,0,L648-K648)</f>
        <v>77.989347060000043</v>
      </c>
      <c r="P648" s="23"/>
      <c r="Q648" s="27"/>
    </row>
    <row r="649" spans="1:17" ht="22.5" customHeight="1">
      <c r="A649" s="16" t="s">
        <v>170</v>
      </c>
      <c r="B649" s="28">
        <v>44445</v>
      </c>
      <c r="C649" s="36">
        <v>0.87856000000000001</v>
      </c>
      <c r="D649" s="36">
        <v>0.8952</v>
      </c>
      <c r="E649" s="30" cm="1">
        <f t="array" ref="E649">IF(D649="","",D649-C649)</f>
        <v>1.6639999999999988E-2</v>
      </c>
      <c r="F649" s="31" cm="1">
        <f t="array" ref="F649">IF(D649=0,"",(D649-C649)/C649)</f>
        <v>1.8940083773447445E-2</v>
      </c>
      <c r="G649" s="32">
        <v>5777</v>
      </c>
      <c r="H649" s="10">
        <v>1</v>
      </c>
      <c r="I649" s="11" cm="1">
        <f t="array" ref="I649">IF(D649="","",(G649*C649)*0.00075)</f>
        <v>3.8065808400000005</v>
      </c>
      <c r="J649" s="11" cm="1">
        <f t="array" ref="J649">IF(D649="","",(G649*D649)*0.00075)</f>
        <v>3.8786777999999997</v>
      </c>
      <c r="K649" s="33" cm="1">
        <f t="array" ref="K649">IF(D649="","",J649+I649)</f>
        <v>7.6852586400000007</v>
      </c>
      <c r="L649" s="33" cm="1">
        <f t="array" ref="L649">IF(D649=0,0,(D649-C649)*G649)</f>
        <v>96.129279999999937</v>
      </c>
      <c r="M649" s="12">
        <v>4975.4331622</v>
      </c>
      <c r="N649" s="34" cm="1">
        <f t="array" ref="N649">IFERROR((K649-J649)/J649,"–")</f>
        <v>0.98141197497765897</v>
      </c>
      <c r="O649" s="33" cm="1">
        <f t="array" ref="O649">IF(D649=0,0,L649-K649)</f>
        <v>88.444021359999937</v>
      </c>
      <c r="P649" s="11"/>
      <c r="Q649" s="35"/>
    </row>
    <row r="650" spans="1:17" ht="22.5" customHeight="1">
      <c r="A650" s="16" t="s">
        <v>170</v>
      </c>
      <c r="B650" s="17">
        <v>44445</v>
      </c>
      <c r="C650" s="37">
        <v>0.87856000000000001</v>
      </c>
      <c r="D650" s="37">
        <v>0.89300000000000002</v>
      </c>
      <c r="E650" s="19" cm="1">
        <f t="array" ref="E650">IF(D650="","",D650-C650)</f>
        <v>1.4440000000000008E-2</v>
      </c>
      <c r="F650" s="20" cm="1">
        <f t="array" ref="F650">IF(D650=0,"",(D650-C650)/C650)</f>
        <v>1.6435986159169559E-2</v>
      </c>
      <c r="G650" s="21">
        <v>2344</v>
      </c>
      <c r="H650" s="22">
        <v>1</v>
      </c>
      <c r="I650" s="23" cm="1">
        <f t="array" ref="I650">IF(D650="","",(G650*C650)*0.00075)</f>
        <v>1.54450848</v>
      </c>
      <c r="J650" s="23" cm="1">
        <f t="array" ref="J650">IF(D650="","",(G650*D650)*0.00075)</f>
        <v>1.5698940000000001</v>
      </c>
      <c r="K650" s="24" cm="1">
        <f t="array" ref="K650">IF(D650="","",J650+I650)</f>
        <v>3.1144024799999999</v>
      </c>
      <c r="L650" s="24" cm="1">
        <f t="array" ref="L650">IF(D650=0,0,(D650-C650)*G650)</f>
        <v>33.847360000000023</v>
      </c>
      <c r="M650" s="25">
        <v>2023.9273860000001</v>
      </c>
      <c r="N650" s="26" cm="1">
        <f t="array" ref="N650">IFERROR((K650-J650)/J650,"–")</f>
        <v>0.98382978723404235</v>
      </c>
      <c r="O650" s="24" cm="1">
        <f t="array" ref="O650">IF(D650=0,0,L650-K650)</f>
        <v>30.732957520000024</v>
      </c>
      <c r="P650" s="23"/>
      <c r="Q650" s="27"/>
    </row>
    <row r="651" spans="1:17" ht="22.5" customHeight="1">
      <c r="A651" s="16" t="s">
        <v>170</v>
      </c>
      <c r="B651" s="28">
        <v>44445</v>
      </c>
      <c r="C651" s="36">
        <v>0.87856000000000001</v>
      </c>
      <c r="D651" s="36">
        <v>0.89</v>
      </c>
      <c r="E651" s="30" cm="1">
        <f t="array" ref="E651">IF(D651="","",D651-C651)</f>
        <v>1.1440000000000006E-2</v>
      </c>
      <c r="F651" s="31" cm="1">
        <f t="array" ref="F651">IF(D651=0,"",(D651-C651)/C651)</f>
        <v>1.3021307594245135E-2</v>
      </c>
      <c r="G651" s="32">
        <v>2016</v>
      </c>
      <c r="H651" s="10">
        <v>1</v>
      </c>
      <c r="I651" s="11" cm="1">
        <f t="array" ref="I651">IF(D651="","",(G651*C651)*0.00075)</f>
        <v>1.32838272</v>
      </c>
      <c r="J651" s="11" cm="1">
        <f t="array" ref="J651">IF(D651="","",(G651*D651)*0.00075)</f>
        <v>1.34568</v>
      </c>
      <c r="K651" s="33" cm="1">
        <f t="array" ref="K651">IF(D651="","",J651+I651)</f>
        <v>2.6740627200000002</v>
      </c>
      <c r="L651" s="33" cm="1">
        <f t="array" ref="L651">IF(D651=0,0,(D651-C651)*G651)</f>
        <v>23.063040000000012</v>
      </c>
      <c r="M651" s="12">
        <v>1746.7682400000001</v>
      </c>
      <c r="N651" s="34" cm="1">
        <f t="array" ref="N651">IFERROR((K651-J651)/J651,"–")</f>
        <v>0.98714606741573052</v>
      </c>
      <c r="O651" s="33" cm="1">
        <f t="array" ref="O651">IF(D651=0,0,L651-K651)</f>
        <v>20.388977280000013</v>
      </c>
      <c r="P651" s="11"/>
      <c r="Q651" s="35"/>
    </row>
    <row r="652" spans="1:17" ht="22.5" customHeight="1">
      <c r="A652" s="16" t="s">
        <v>92</v>
      </c>
      <c r="B652" s="17">
        <v>44445</v>
      </c>
      <c r="C652" s="37">
        <v>7.8070000000000001E-2</v>
      </c>
      <c r="D652" s="37">
        <v>7.8899999999999998E-2</v>
      </c>
      <c r="E652" s="19" cm="1">
        <f t="array" ref="E652">IF(D652="","",D652-C652)</f>
        <v>8.2999999999999741E-4</v>
      </c>
      <c r="F652" s="20" cm="1">
        <f t="array" ref="F652">IF(D652=0,"",(D652-C652)/C652)</f>
        <v>1.0631484565133822E-2</v>
      </c>
      <c r="G652" s="21">
        <v>128080.3</v>
      </c>
      <c r="H652" s="22">
        <v>1</v>
      </c>
      <c r="I652" s="23" cm="1">
        <f t="array" ref="I652">IF(D652="","",(G652*C652)*0.00075)</f>
        <v>7.4994217657500011</v>
      </c>
      <c r="J652" s="23" cm="1">
        <f t="array" ref="J652">IF(D652="","",(G652*D652)*0.00075)</f>
        <v>7.5791517524999996</v>
      </c>
      <c r="K652" s="24" cm="1">
        <f t="array" ref="K652">IF(D652="","",J652+I652)</f>
        <v>15.07857351825</v>
      </c>
      <c r="L652" s="24" cm="1">
        <f t="array" ref="L652">IF(D652=0,0,(D652-C652)*G652)</f>
        <v>106.30664899999967</v>
      </c>
      <c r="M652" s="25">
        <v>9885.3432202474996</v>
      </c>
      <c r="N652" s="26" cm="1">
        <f t="array" ref="N652">IFERROR((K652-J652)/J652,"–")</f>
        <v>0.98948035487959451</v>
      </c>
      <c r="O652" s="24" cm="1">
        <f t="array" ref="O652">IF(D652=0,0,L652-K652)</f>
        <v>91.22807548174967</v>
      </c>
      <c r="P652" s="23"/>
      <c r="Q652" s="27"/>
    </row>
    <row r="653" spans="1:17" ht="22.5" customHeight="1">
      <c r="A653" s="16" t="s">
        <v>92</v>
      </c>
      <c r="B653" s="28">
        <v>44445</v>
      </c>
      <c r="C653" s="36">
        <v>7.8070000000000001E-2</v>
      </c>
      <c r="D653" s="36">
        <v>7.8299999999999995E-2</v>
      </c>
      <c r="E653" s="30" cm="1">
        <f t="array" ref="E653">IF(D653="","",D653-C653)</f>
        <v>2.299999999999941E-4</v>
      </c>
      <c r="F653" s="31" cm="1">
        <f t="array" ref="F653">IF(D653=0,"",(D653-C653)/C653)</f>
        <v>2.9460740361213537E-3</v>
      </c>
      <c r="G653" s="32">
        <v>96060.2</v>
      </c>
      <c r="H653" s="10">
        <v>1</v>
      </c>
      <c r="I653" s="11" cm="1">
        <f t="array" ref="I653">IF(D653="","",(G653*C653)*0.00075)</f>
        <v>5.6245648604999996</v>
      </c>
      <c r="J653" s="11" cm="1">
        <f t="array" ref="J653">IF(D653="","",(G653*D653)*0.00075)</f>
        <v>5.6411352450000001</v>
      </c>
      <c r="K653" s="33" cm="1">
        <f t="array" ref="K653">IF(D653="","",J653+I653)</f>
        <v>11.265700105499999</v>
      </c>
      <c r="L653" s="33" cm="1">
        <f t="array" ref="L653">IF(D653=0,0,(D653-C653)*G653)</f>
        <v>22.093845999999431</v>
      </c>
      <c r="M653" s="12">
        <v>7471.6848327549997</v>
      </c>
      <c r="N653" s="34" cm="1">
        <f t="array" ref="N653">IFERROR((K653-J653)/J653,"–")</f>
        <v>0.99706257982120028</v>
      </c>
      <c r="O653" s="33" cm="1">
        <f t="array" ref="O653">IF(D653=0,0,L653-K653)</f>
        <v>10.828145894499432</v>
      </c>
      <c r="P653" s="11"/>
      <c r="Q653" s="35"/>
    </row>
    <row r="654" spans="1:17" ht="22.5" customHeight="1">
      <c r="A654" s="16" t="s">
        <v>92</v>
      </c>
      <c r="B654" s="17">
        <v>44445</v>
      </c>
      <c r="C654" s="37">
        <v>7.8070000000000001E-2</v>
      </c>
      <c r="D654" s="37">
        <v>7.7399999999999997E-2</v>
      </c>
      <c r="E654" s="19" cm="1">
        <f t="array" ref="E654">IF(D654="","",D654-C654)</f>
        <v>-6.7000000000000393E-4</v>
      </c>
      <c r="F654" s="20" cm="1">
        <f t="array" ref="F654">IF(D654=0,"",(D654-C654)/C654)</f>
        <v>-8.5820417573972581E-3</v>
      </c>
      <c r="G654" s="21">
        <v>108067.8</v>
      </c>
      <c r="H654" s="22">
        <v>1</v>
      </c>
      <c r="I654" s="23" cm="1">
        <f t="array" ref="I654">IF(D654="","",(G654*C654)*0.00075)</f>
        <v>6.3276398594999996</v>
      </c>
      <c r="J654" s="23" cm="1">
        <f t="array" ref="J654">IF(D654="","",(G654*D654)*0.00075)</f>
        <v>6.27333579</v>
      </c>
      <c r="K654" s="24" cm="1">
        <f t="array" ref="K654">IF(D654="","",J654+I654)</f>
        <v>12.6009756495</v>
      </c>
      <c r="L654" s="24" cm="1">
        <f t="array" ref="L654">IF(D654=0,0,(D654-C654)*G654)</f>
        <v>-72.405426000000432</v>
      </c>
      <c r="M654" s="25">
        <v>8502.9852362099991</v>
      </c>
      <c r="N654" s="26" cm="1">
        <f t="array" ref="N654">IFERROR((K654-J654)/J654,"–")</f>
        <v>1.0086563307493541</v>
      </c>
      <c r="O654" s="24" cm="1">
        <f t="array" ref="O654">IF(D654=0,0,L654-K654)</f>
        <v>-85.006401649500432</v>
      </c>
      <c r="P654" s="23"/>
      <c r="Q654" s="27"/>
    </row>
    <row r="655" spans="1:17" ht="22.5" customHeight="1">
      <c r="A655" s="16" t="s">
        <v>92</v>
      </c>
      <c r="B655" s="28">
        <v>44445</v>
      </c>
      <c r="C655" s="36">
        <v>7.8070000000000001E-2</v>
      </c>
      <c r="D655" s="36">
        <v>7.6999999999999999E-2</v>
      </c>
      <c r="E655" s="30" cm="1">
        <f t="array" ref="E655">IF(D655="","",D655-C655)</f>
        <v>-1.0700000000000015E-3</v>
      </c>
      <c r="F655" s="31" cm="1">
        <f t="array" ref="F655">IF(D655=0,"",(D655-C655)/C655)</f>
        <v>-1.3705648776738842E-2</v>
      </c>
      <c r="G655" s="32">
        <v>180112.9</v>
      </c>
      <c r="H655" s="10">
        <v>1</v>
      </c>
      <c r="I655" s="11" cm="1">
        <f t="array" ref="I655">IF(D655="","",(G655*C655)*0.00075)</f>
        <v>10.54606057725</v>
      </c>
      <c r="J655" s="11" cm="1">
        <f t="array" ref="J655">IF(D655="","",(G655*D655)*0.00075)</f>
        <v>10.401519974999999</v>
      </c>
      <c r="K655" s="33" cm="1">
        <f t="array" ref="K655">IF(D655="","",J655+I655)</f>
        <v>20.947580552249999</v>
      </c>
      <c r="L655" s="33" cm="1">
        <f t="array" ref="L655">IF(D655=0,0,(D655-C655)*G655)</f>
        <v>-192.72080300000027</v>
      </c>
      <c r="M655" s="12">
        <v>14243.733386025</v>
      </c>
      <c r="N655" s="34" cm="1">
        <f t="array" ref="N655">IFERROR((K655-J655)/J655,"–")</f>
        <v>1.0138961038961039</v>
      </c>
      <c r="O655" s="33" cm="1">
        <f t="array" ref="O655">IF(D655=0,0,L655-K655)</f>
        <v>-213.66838355225028</v>
      </c>
      <c r="P655" s="11"/>
      <c r="Q655" s="35"/>
    </row>
    <row r="656" spans="1:17" ht="22.5" customHeight="1">
      <c r="A656" s="16" t="s">
        <v>171</v>
      </c>
      <c r="B656" s="17">
        <v>44445</v>
      </c>
      <c r="C656" s="37">
        <v>11.2415</v>
      </c>
      <c r="D656" s="37">
        <v>11.16</v>
      </c>
      <c r="E656" s="19" cm="1">
        <f t="array" ref="E656">IF(D656="","",D656-C656)</f>
        <v>-8.1500000000000128E-2</v>
      </c>
      <c r="F656" s="20" cm="1">
        <f t="array" ref="F656">IF(D656=0,"",(D656-C656)/C656)</f>
        <v>-7.2499221634123676E-3</v>
      </c>
      <c r="G656" s="21">
        <v>47.8</v>
      </c>
      <c r="H656" s="22">
        <v>1</v>
      </c>
      <c r="I656" s="23" cm="1">
        <f t="array" ref="I656">IF(D656="","",(G656*C656)*0.00075)</f>
        <v>0.40300777500000001</v>
      </c>
      <c r="J656" s="23" cm="1">
        <f t="array" ref="J656">IF(D656="","",(G656*D656)*0.00075)</f>
        <v>0.400086</v>
      </c>
      <c r="K656" s="24" cm="1">
        <f t="array" ref="K656">IF(D656="","",J656+I656)</f>
        <v>0.80309377500000001</v>
      </c>
      <c r="L656" s="24" cm="1">
        <f t="array" ref="L656">IF(D656=0,0,(D656-C656)*G656)</f>
        <v>-3.8957000000000059</v>
      </c>
      <c r="M656" s="25">
        <v>540.83931399999994</v>
      </c>
      <c r="N656" s="26" cm="1">
        <f t="array" ref="N656">IFERROR((K656-J656)/J656,"–")</f>
        <v>1.0073028673835125</v>
      </c>
      <c r="O656" s="24" cm="1">
        <f t="array" ref="O656">IF(D656=0,0,L656-K656)</f>
        <v>-4.6987937750000057</v>
      </c>
      <c r="P656" s="23"/>
      <c r="Q656" s="27"/>
    </row>
    <row r="657" spans="1:17" ht="22.5" customHeight="1">
      <c r="A657" s="16" t="s">
        <v>171</v>
      </c>
      <c r="B657" s="28">
        <v>44445</v>
      </c>
      <c r="C657" s="36">
        <v>11.2415</v>
      </c>
      <c r="D657" s="36">
        <v>11.1241</v>
      </c>
      <c r="E657" s="30" cm="1">
        <f t="array" ref="E657">IF(D657="","",D657-C657)</f>
        <v>-0.11739999999999995</v>
      </c>
      <c r="F657" s="31" cm="1">
        <f t="array" ref="F657">IF(D657=0,"",(D657-C657)/C657)</f>
        <v>-1.0443446159320371E-2</v>
      </c>
      <c r="G657" s="32">
        <v>1000.8</v>
      </c>
      <c r="H657" s="10">
        <v>1</v>
      </c>
      <c r="I657" s="11" cm="1">
        <f t="array" ref="I657">IF(D657="","",(G657*C657)*0.00075)</f>
        <v>8.437869899999999</v>
      </c>
      <c r="J657" s="11" cm="1">
        <f t="array" ref="J657">IF(D657="","",(G657*D657)*0.00075)</f>
        <v>8.34974946</v>
      </c>
      <c r="K657" s="33" cm="1">
        <f t="array" ref="K657">IF(D657="","",J657+I657)</f>
        <v>16.787619360000001</v>
      </c>
      <c r="L657" s="33" cm="1">
        <f t="array" ref="L657">IF(D657=0,0,(D657-C657)*G657)</f>
        <v>-117.49391999999995</v>
      </c>
      <c r="M657" s="12">
        <v>11359.63737054</v>
      </c>
      <c r="N657" s="34" cm="1">
        <f t="array" ref="N657">IFERROR((K657-J657)/J657,"–")</f>
        <v>1.0105536627682241</v>
      </c>
      <c r="O657" s="33" cm="1">
        <f t="array" ref="O657">IF(D657=0,0,L657-K657)</f>
        <v>-134.28153935999995</v>
      </c>
      <c r="P657" s="11"/>
      <c r="Q657" s="35"/>
    </row>
    <row r="658" spans="1:17" ht="22.5" customHeight="1">
      <c r="A658" s="16" t="s">
        <v>171</v>
      </c>
      <c r="B658" s="17">
        <v>44445</v>
      </c>
      <c r="C658" s="37">
        <v>11.2415</v>
      </c>
      <c r="D658" s="37">
        <v>11.128</v>
      </c>
      <c r="E658" s="19" cm="1">
        <f t="array" ref="E658">IF(D658="","",D658-C658)</f>
        <v>-0.11350000000000016</v>
      </c>
      <c r="F658" s="20" cm="1">
        <f t="array" ref="F658">IF(D658=0,"",(D658-C658)/C658)</f>
        <v>-1.0096517368678571E-2</v>
      </c>
      <c r="G658" s="21">
        <v>2176</v>
      </c>
      <c r="H658" s="22">
        <v>1</v>
      </c>
      <c r="I658" s="23" cm="1">
        <f t="array" ref="I658">IF(D658="","",(G658*C658)*0.00075)</f>
        <v>18.346128</v>
      </c>
      <c r="J658" s="23" cm="1">
        <f t="array" ref="J658">IF(D658="","",(G658*D658)*0.00075)</f>
        <v>18.160895999999997</v>
      </c>
      <c r="K658" s="24" cm="1">
        <f t="array" ref="K658">IF(D658="","",J658+I658)</f>
        <v>36.507024000000001</v>
      </c>
      <c r="L658" s="24" cm="1">
        <f t="array" ref="L658">IF(D658=0,0,(D658-C658)*G658)</f>
        <v>-246.97600000000034</v>
      </c>
      <c r="M658" s="25">
        <v>24690.319103999998</v>
      </c>
      <c r="N658" s="26" cm="1">
        <f t="array" ref="N658">IFERROR((K658-J658)/J658,"–")</f>
        <v>1.0101994967649177</v>
      </c>
      <c r="O658" s="24" cm="1">
        <f t="array" ref="O658">IF(D658=0,0,L658-K658)</f>
        <v>-283.48302400000034</v>
      </c>
      <c r="P658" s="23"/>
      <c r="Q658" s="27"/>
    </row>
    <row r="659" spans="1:17" ht="22.5" customHeight="1">
      <c r="A659" s="16" t="s">
        <v>171</v>
      </c>
      <c r="B659" s="28">
        <v>44445</v>
      </c>
      <c r="C659" s="36">
        <v>11.2415</v>
      </c>
      <c r="D659" s="36">
        <v>11.11</v>
      </c>
      <c r="E659" s="30" cm="1">
        <f t="array" ref="E659">IF(D659="","",D659-C659)</f>
        <v>-0.13150000000000084</v>
      </c>
      <c r="F659" s="31" cm="1">
        <f t="array" ref="F659">IF(D659=0,"",(D659-C659)/C659)</f>
        <v>-1.169772717164087E-2</v>
      </c>
      <c r="G659" s="32">
        <v>333.6</v>
      </c>
      <c r="H659" s="10">
        <v>1</v>
      </c>
      <c r="I659" s="11" cm="1">
        <f t="array" ref="I659">IF(D659="","",(G659*C659)*0.00075)</f>
        <v>2.8126233000000003</v>
      </c>
      <c r="J659" s="11" cm="1">
        <f t="array" ref="J659">IF(D659="","",(G659*D659)*0.00075)</f>
        <v>2.7797220000000005</v>
      </c>
      <c r="K659" s="33" cm="1">
        <f t="array" ref="K659">IF(D659="","",J659+I659)</f>
        <v>5.5923453000000007</v>
      </c>
      <c r="L659" s="33" cm="1">
        <f t="array" ref="L659">IF(D659=0,0,(D659-C659)*G659)</f>
        <v>-43.868400000000285</v>
      </c>
      <c r="M659" s="12">
        <v>3791.2530780000002</v>
      </c>
      <c r="N659" s="34" cm="1">
        <f t="array" ref="N659">IFERROR((K659-J659)/J659,"–")</f>
        <v>1.0118361836183618</v>
      </c>
      <c r="O659" s="33" cm="1">
        <f t="array" ref="O659">IF(D659=0,0,L659-K659)</f>
        <v>-49.460745300000283</v>
      </c>
      <c r="P659" s="11"/>
      <c r="Q659" s="35"/>
    </row>
    <row r="660" spans="1:17" ht="22.5" customHeight="1">
      <c r="A660" s="16" t="s">
        <v>114</v>
      </c>
      <c r="B660" s="17">
        <v>44446</v>
      </c>
      <c r="C660" s="37">
        <v>4.4743000000000004</v>
      </c>
      <c r="D660" s="37">
        <v>4.55</v>
      </c>
      <c r="E660" s="19" cm="1">
        <f t="array" ref="E660">IF(D660="","",D660-C660)</f>
        <v>7.5699999999999434E-2</v>
      </c>
      <c r="F660" s="20" cm="1">
        <f t="array" ref="F660">IF(D660=0,"",(D660-C660)/C660)</f>
        <v>1.6918847640971645E-2</v>
      </c>
      <c r="G660" s="21">
        <v>1955.6</v>
      </c>
      <c r="H660" s="22">
        <v>1</v>
      </c>
      <c r="I660" s="23" cm="1">
        <f t="array" ref="I660">IF(D660="","",(G660*C660)*0.00075)</f>
        <v>6.5624558100000003</v>
      </c>
      <c r="J660" s="23" cm="1">
        <f t="array" ref="J660">IF(D660="","",(G660*D660)*0.00075)</f>
        <v>6.6734849999999994</v>
      </c>
      <c r="K660" s="24" cm="1">
        <f t="array" ref="K660">IF(D660="","",J660+I660)</f>
        <v>13.235940809999999</v>
      </c>
      <c r="L660" s="24" cm="1">
        <f t="array" ref="L660">IF(D660=0,0,(D660-C660)*G660)</f>
        <v>148.03891999999888</v>
      </c>
      <c r="M660" s="25">
        <v>8595.2286750000003</v>
      </c>
      <c r="N660" s="26" cm="1">
        <f t="array" ref="N660">IFERROR((K660-J660)/J660,"–")</f>
        <v>0.9833626373626374</v>
      </c>
      <c r="O660" s="24" cm="1">
        <f t="array" ref="O660">IF(D660=0,0,L660-K660)</f>
        <v>134.80297918999889</v>
      </c>
      <c r="P660" s="23"/>
      <c r="Q660" s="27"/>
    </row>
    <row r="661" spans="1:17" ht="22.5" customHeight="1">
      <c r="A661" s="16" t="s">
        <v>114</v>
      </c>
      <c r="B661" s="28">
        <v>44446</v>
      </c>
      <c r="C661" s="36">
        <v>4.4743000000000004</v>
      </c>
      <c r="D661" s="36">
        <v>4.6500000000000004</v>
      </c>
      <c r="E661" s="30" cm="1">
        <f t="array" ref="E661">IF(D661="","",D661-C661)</f>
        <v>0.17569999999999997</v>
      </c>
      <c r="F661" s="31" cm="1">
        <f t="array" ref="F661">IF(D661=0,"",(D661-C661)/C661)</f>
        <v>3.9268712424289823E-2</v>
      </c>
      <c r="G661" s="32">
        <v>1466.7</v>
      </c>
      <c r="H661" s="10">
        <v>1</v>
      </c>
      <c r="I661" s="11" cm="1">
        <f t="array" ref="I661">IF(D661="","",(G661*C661)*0.00075)</f>
        <v>4.9218418575000005</v>
      </c>
      <c r="J661" s="11" cm="1">
        <f t="array" ref="J661">IF(D661="","",(G661*D661)*0.00075)</f>
        <v>5.1151162500000007</v>
      </c>
      <c r="K661" s="33" cm="1">
        <f t="array" ref="K661">IF(D661="","",J661+I661)</f>
        <v>10.036958107500002</v>
      </c>
      <c r="L661" s="33" cm="1">
        <f t="array" ref="L661">IF(D661=0,0,(D661-C661)*G661)</f>
        <v>257.69918999999999</v>
      </c>
      <c r="M661" s="12">
        <v>6299.6415037500001</v>
      </c>
      <c r="N661" s="34" cm="1">
        <f t="array" ref="N661">IFERROR((K661-J661)/J661,"–")</f>
        <v>0.96221505376344096</v>
      </c>
      <c r="O661" s="33" cm="1">
        <f t="array" ref="O661">IF(D661=0,0,L661-K661)</f>
        <v>247.66223189249999</v>
      </c>
      <c r="P661" s="11"/>
      <c r="Q661" s="35"/>
    </row>
    <row r="662" spans="1:17" ht="22.5" customHeight="1">
      <c r="A662" s="16" t="s">
        <v>114</v>
      </c>
      <c r="B662" s="17">
        <v>44446</v>
      </c>
      <c r="C662" s="37">
        <v>4.4743000000000004</v>
      </c>
      <c r="D662" s="37">
        <v>4.5949999999999998</v>
      </c>
      <c r="E662" s="19" cm="1">
        <f t="array" ref="E662">IF(D662="","",D662-C662)</f>
        <v>0.12069999999999936</v>
      </c>
      <c r="F662" s="20" cm="1">
        <f t="array" ref="F662">IF(D662=0,"",(D662-C662)/C662)</f>
        <v>2.6976286793464754E-2</v>
      </c>
      <c r="G662" s="21">
        <v>2200</v>
      </c>
      <c r="H662" s="22">
        <v>1</v>
      </c>
      <c r="I662" s="23" cm="1">
        <f t="array" ref="I662">IF(D662="","",(G662*C662)*0.00075)</f>
        <v>7.3825950000000011</v>
      </c>
      <c r="J662" s="23" cm="1">
        <f t="array" ref="J662">IF(D662="","",(G662*D662)*0.00075)</f>
        <v>7.5817500000000004</v>
      </c>
      <c r="K662" s="24" cm="1">
        <f t="array" ref="K662">IF(D662="","",J662+I662)</f>
        <v>14.964345000000002</v>
      </c>
      <c r="L662" s="24" cm="1">
        <f t="array" ref="L662">IF(D662=0,0,(D662-C662)*G662)</f>
        <v>265.5399999999986</v>
      </c>
      <c r="M662" s="25">
        <v>9570.3382500000007</v>
      </c>
      <c r="N662" s="26" cm="1">
        <f t="array" ref="N662">IFERROR((K662-J662)/J662,"–")</f>
        <v>0.97373231773667035</v>
      </c>
      <c r="O662" s="24" cm="1">
        <f t="array" ref="O662">IF(D662=0,0,L662-K662)</f>
        <v>250.57565499999859</v>
      </c>
      <c r="P662" s="23"/>
      <c r="Q662" s="27"/>
    </row>
    <row r="663" spans="1:17" ht="22.5" customHeight="1">
      <c r="A663" s="16" t="s">
        <v>114</v>
      </c>
      <c r="B663" s="28">
        <v>44446</v>
      </c>
      <c r="C663" s="36">
        <v>4.4743000000000004</v>
      </c>
      <c r="D663" s="36">
        <v>4.67</v>
      </c>
      <c r="E663" s="30" cm="1">
        <f t="array" ref="E663">IF(D663="","",D663-C663)</f>
        <v>0.19569999999999954</v>
      </c>
      <c r="F663" s="31" cm="1">
        <f t="array" ref="F663">IF(D663=0,"",(D663-C663)/C663)</f>
        <v>4.3738685380953338E-2</v>
      </c>
      <c r="G663" s="32">
        <v>2200.1</v>
      </c>
      <c r="H663" s="10">
        <v>1</v>
      </c>
      <c r="I663" s="11" cm="1">
        <f t="array" ref="I663">IF(D663="","",(G663*C663)*0.00075)</f>
        <v>7.3829305725000012</v>
      </c>
      <c r="J663" s="11" cm="1">
        <f t="array" ref="J663">IF(D663="","",(G663*D663)*0.00075)</f>
        <v>7.7058502499999992</v>
      </c>
      <c r="K663" s="33" cm="1">
        <f t="array" ref="K663">IF(D663="","",J663+I663)</f>
        <v>15.0887808225</v>
      </c>
      <c r="L663" s="33" cm="1">
        <f t="array" ref="L663">IF(D663=0,0,(D663-C663)*G663)</f>
        <v>430.55956999999898</v>
      </c>
      <c r="M663" s="12">
        <v>9405.6420097499995</v>
      </c>
      <c r="N663" s="34" cm="1">
        <f t="array" ref="N663">IFERROR((K663-J663)/J663,"–")</f>
        <v>0.95809421841541775</v>
      </c>
      <c r="O663" s="33" cm="1">
        <f t="array" ref="O663">IF(D663=0,0,L663-K663)</f>
        <v>415.470789177499</v>
      </c>
      <c r="P663" s="11"/>
      <c r="Q663" s="35"/>
    </row>
    <row r="664" spans="1:17" ht="22.5" customHeight="1">
      <c r="A664" s="16" t="s">
        <v>133</v>
      </c>
      <c r="B664" s="17">
        <v>44446</v>
      </c>
      <c r="C664" s="37">
        <v>1.3798999999999999</v>
      </c>
      <c r="D664" s="37">
        <v>1.4</v>
      </c>
      <c r="E664" s="19" cm="1">
        <f t="array" ref="E664">IF(D664="","",D664-C664)</f>
        <v>2.0100000000000007E-2</v>
      </c>
      <c r="F664" s="20" cm="1">
        <f t="array" ref="F664">IF(D664=0,"",(D664-C664)/C664)</f>
        <v>1.4566272918327421E-2</v>
      </c>
      <c r="G664" s="21">
        <v>7246</v>
      </c>
      <c r="H664" s="22">
        <v>1</v>
      </c>
      <c r="I664" s="23" cm="1">
        <f t="array" ref="I664">IF(D664="","",(G664*C664)*0.00075)</f>
        <v>7.4990665500000002</v>
      </c>
      <c r="J664" s="23" cm="1">
        <f t="array" ref="J664">IF(D664="","",(G664*D664)*0.00075)</f>
        <v>7.6082999999999998</v>
      </c>
      <c r="K664" s="24" cm="1">
        <f t="array" ref="K664">IF(D664="","",J664+I664)</f>
        <v>15.10736655</v>
      </c>
      <c r="L664" s="24" cm="1">
        <f t="array" ref="L664">IF(D664=0,0,(D664-C664)*G664)</f>
        <v>145.64460000000005</v>
      </c>
      <c r="M664" s="25">
        <v>9845.5025000000005</v>
      </c>
      <c r="N664" s="26" cm="1">
        <f t="array" ref="N664">IFERROR((K664-J664)/J664,"–")</f>
        <v>0.98564285714285715</v>
      </c>
      <c r="O664" s="24" cm="1">
        <f t="array" ref="O664">IF(D664=0,0,L664-K664)</f>
        <v>130.53723345000006</v>
      </c>
      <c r="P664" s="23"/>
      <c r="Q664" s="27"/>
    </row>
    <row r="665" spans="1:17" ht="22.5" customHeight="1">
      <c r="A665" s="16" t="s">
        <v>133</v>
      </c>
      <c r="B665" s="28">
        <v>44446</v>
      </c>
      <c r="C665" s="36">
        <v>1.3798999999999999</v>
      </c>
      <c r="D665" s="36">
        <v>1.4039999999999999</v>
      </c>
      <c r="E665" s="30" cm="1">
        <f t="array" ref="E665">IF(D665="","",D665-C665)</f>
        <v>2.410000000000001E-2</v>
      </c>
      <c r="F665" s="31" cm="1">
        <f t="array" ref="F665">IF(D665=0,"",(D665-C665)/C665)</f>
        <v>1.7465033698094073E-2</v>
      </c>
      <c r="G665" s="32">
        <v>8153</v>
      </c>
      <c r="H665" s="10">
        <v>1</v>
      </c>
      <c r="I665" s="11" cm="1">
        <f t="array" ref="I665">IF(D665="","",(G665*C665)*0.00075)</f>
        <v>8.4377435250000001</v>
      </c>
      <c r="J665" s="11" cm="1">
        <f t="array" ref="J665">IF(D665="","",(G665*D665)*0.00075)</f>
        <v>8.585109000000001</v>
      </c>
      <c r="K665" s="33" cm="1">
        <f t="array" ref="K665">IF(D665="","",J665+I665)</f>
        <v>17.022852525000001</v>
      </c>
      <c r="L665" s="33" cm="1">
        <f t="array" ref="L665">IF(D665=0,0,(D665-C665)*G665)</f>
        <v>196.48730000000009</v>
      </c>
      <c r="M665" s="12">
        <v>11045.252291000001</v>
      </c>
      <c r="N665" s="34" cm="1">
        <f t="array" ref="N665">IFERROR((K665-J665)/J665,"–")</f>
        <v>0.98283475783475771</v>
      </c>
      <c r="O665" s="33" cm="1">
        <f t="array" ref="O665">IF(D665=0,0,L665-K665)</f>
        <v>179.4644474750001</v>
      </c>
      <c r="P665" s="11"/>
      <c r="Q665" s="35"/>
    </row>
    <row r="666" spans="1:17" ht="22.5" customHeight="1">
      <c r="A666" s="16" t="s">
        <v>133</v>
      </c>
      <c r="B666" s="17">
        <v>44446</v>
      </c>
      <c r="C666" s="37">
        <v>1.3798999999999999</v>
      </c>
      <c r="D666" s="37">
        <v>1.39</v>
      </c>
      <c r="E666" s="19" cm="1">
        <f t="array" ref="E666">IF(D666="","",D666-C666)</f>
        <v>1.0099999999999998E-2</v>
      </c>
      <c r="F666" s="20" cm="1">
        <f t="array" ref="F666">IF(D666=0,"",(D666-C666)/C666)</f>
        <v>7.3193709689107897E-3</v>
      </c>
      <c r="G666" s="21">
        <v>13588</v>
      </c>
      <c r="H666" s="22">
        <v>1</v>
      </c>
      <c r="I666" s="23" cm="1">
        <f t="array" ref="I666">IF(D666="","",(G666*C666)*0.00075)</f>
        <v>14.062560899999998</v>
      </c>
      <c r="J666" s="23" cm="1">
        <f t="array" ref="J666">IF(D666="","",(G666*D666)*0.00075)</f>
        <v>14.16549</v>
      </c>
      <c r="K666" s="24" cm="1">
        <f t="array" ref="K666">IF(D666="","",J666+I666)</f>
        <v>28.2280509</v>
      </c>
      <c r="L666" s="24" cm="1">
        <f t="array" ref="L666">IF(D666=0,0,(D666-C666)*G666)</f>
        <v>137.23879999999997</v>
      </c>
      <c r="M666" s="25">
        <v>18598.676909999998</v>
      </c>
      <c r="N666" s="26" cm="1">
        <f t="array" ref="N666">IFERROR((K666-J666)/J666,"–")</f>
        <v>0.99273381294964025</v>
      </c>
      <c r="O666" s="24" cm="1">
        <f t="array" ref="O666">IF(D666=0,0,L666-K666)</f>
        <v>109.01074909999997</v>
      </c>
      <c r="P666" s="23"/>
      <c r="Q666" s="27"/>
    </row>
    <row r="667" spans="1:17" ht="22.5" customHeight="1">
      <c r="A667" s="16" t="s">
        <v>132</v>
      </c>
      <c r="B667" s="28">
        <v>44446</v>
      </c>
      <c r="C667" s="36">
        <v>0.113</v>
      </c>
      <c r="D667" s="36">
        <v>0.11890000000000001</v>
      </c>
      <c r="E667" s="30" cm="1">
        <f t="array" ref="E667">IF(D667="","",D667-C667)</f>
        <v>5.9000000000000025E-3</v>
      </c>
      <c r="F667" s="31" cm="1">
        <f t="array" ref="F667">IF(D667=0,"",(D667-C667)/C667)</f>
        <v>5.2212389380530994E-2</v>
      </c>
      <c r="G667" s="32">
        <v>88446</v>
      </c>
      <c r="H667" s="10">
        <v>1</v>
      </c>
      <c r="I667" s="11" cm="1">
        <f t="array" ref="I667">IF(D667="","",(G667*C667)*0.00075)</f>
        <v>7.4957985000000011</v>
      </c>
      <c r="J667" s="11" cm="1">
        <f t="array" ref="J667">IF(D667="","",(G667*D667)*0.00075)</f>
        <v>7.8871720500000002</v>
      </c>
      <c r="K667" s="33" cm="1">
        <f t="array" ref="K667">IF(D667="","",J667+I667)</f>
        <v>15.382970550000001</v>
      </c>
      <c r="L667" s="33" cm="1">
        <f t="array" ref="L667">IF(D667=0,0,(D667-C667)*G667)</f>
        <v>521.83140000000026</v>
      </c>
      <c r="M667" s="12">
        <v>9464.6794279500009</v>
      </c>
      <c r="N667" s="34" cm="1">
        <f t="array" ref="N667">IFERROR((K667-J667)/J667,"–")</f>
        <v>0.95037846930193448</v>
      </c>
      <c r="O667" s="33" cm="1">
        <f t="array" ref="O667">IF(D667=0,0,L667-K667)</f>
        <v>506.44842945000028</v>
      </c>
      <c r="P667" s="11"/>
      <c r="Q667" s="35"/>
    </row>
    <row r="668" spans="1:17" ht="22.5" customHeight="1">
      <c r="A668" s="16" t="s">
        <v>132</v>
      </c>
      <c r="B668" s="17">
        <v>44446</v>
      </c>
      <c r="C668" s="37">
        <v>0.113</v>
      </c>
      <c r="D668" s="37">
        <v>0.11990000000000001</v>
      </c>
      <c r="E668" s="19" cm="1">
        <f t="array" ref="E668">IF(D668="","",D668-C668)</f>
        <v>6.9000000000000034E-3</v>
      </c>
      <c r="F668" s="20" cm="1">
        <f t="array" ref="F668">IF(D668=0,"",(D668-C668)/C668)</f>
        <v>6.1061946902654894E-2</v>
      </c>
      <c r="G668" s="21">
        <v>66334</v>
      </c>
      <c r="H668" s="22">
        <v>1</v>
      </c>
      <c r="I668" s="23" cm="1">
        <f t="array" ref="I668">IF(D668="","",(G668*C668)*0.00075)</f>
        <v>5.6218064999999999</v>
      </c>
      <c r="J668" s="23" cm="1">
        <f t="array" ref="J668">IF(D668="","",(G668*D668)*0.00075)</f>
        <v>5.9650849500000005</v>
      </c>
      <c r="K668" s="24" cm="1">
        <f t="array" ref="K668">IF(D668="","",J668+I668)</f>
        <v>11.58689145</v>
      </c>
      <c r="L668" s="24" cm="1">
        <f t="array" ref="L668">IF(D668=0,0,(D668-C668)*G668)</f>
        <v>457.7046000000002</v>
      </c>
      <c r="M668" s="25">
        <v>7032.0723150499998</v>
      </c>
      <c r="N668" s="26" cm="1">
        <f t="array" ref="N668">IFERROR((K668-J668)/J668,"–")</f>
        <v>0.9424520433694743</v>
      </c>
      <c r="O668" s="24" cm="1">
        <f t="array" ref="O668">IF(D668=0,0,L668-K668)</f>
        <v>446.1177085500002</v>
      </c>
      <c r="P668" s="23"/>
      <c r="Q668" s="27"/>
    </row>
    <row r="669" spans="1:17" ht="22.5" customHeight="1">
      <c r="A669" s="16" t="s">
        <v>132</v>
      </c>
      <c r="B669" s="28">
        <v>44446</v>
      </c>
      <c r="C669" s="36">
        <v>0.113</v>
      </c>
      <c r="D669" s="36">
        <v>0.11990000000000001</v>
      </c>
      <c r="E669" s="30" cm="1">
        <f t="array" ref="E669">IF(D669="","",D669-C669)</f>
        <v>6.9000000000000034E-3</v>
      </c>
      <c r="F669" s="31" cm="1">
        <f t="array" ref="F669">IF(D669=0,"",(D669-C669)/C669)</f>
        <v>6.1061946902654894E-2</v>
      </c>
      <c r="G669" s="32">
        <v>49751</v>
      </c>
      <c r="H669" s="10">
        <v>1</v>
      </c>
      <c r="I669" s="11" cm="1">
        <f t="array" ref="I669">IF(D669="","",(G669*C669)*0.00075)</f>
        <v>4.21639725</v>
      </c>
      <c r="J669" s="11" cm="1">
        <f t="array" ref="J669">IF(D669="","",(G669*D669)*0.00075)</f>
        <v>4.4738586750000007</v>
      </c>
      <c r="K669" s="33" cm="1">
        <f t="array" ref="K669">IF(D669="","",J669+I669)</f>
        <v>8.6902559250000007</v>
      </c>
      <c r="L669" s="33" cm="1">
        <f t="array" ref="L669">IF(D669=0,0,(D669-C669)*G669)</f>
        <v>343.28190000000018</v>
      </c>
      <c r="M669" s="12">
        <v>5274.1072413250004</v>
      </c>
      <c r="N669" s="34" cm="1">
        <f t="array" ref="N669">IFERROR((K669-J669)/J669,"–")</f>
        <v>0.94245204336947441</v>
      </c>
      <c r="O669" s="33" cm="1">
        <f t="array" ref="O669">IF(D669=0,0,L669-K669)</f>
        <v>334.5916440750002</v>
      </c>
      <c r="P669" s="11"/>
      <c r="Q669" s="35"/>
    </row>
    <row r="670" spans="1:17" ht="22.5" customHeight="1">
      <c r="A670" s="16" t="s">
        <v>132</v>
      </c>
      <c r="B670" s="17">
        <v>44446</v>
      </c>
      <c r="C670" s="37">
        <v>0.113</v>
      </c>
      <c r="D670" s="37">
        <v>0.121</v>
      </c>
      <c r="E670" s="19" cm="1">
        <f t="array" ref="E670">IF(D670="","",D670-C670)</f>
        <v>7.9999999999999932E-3</v>
      </c>
      <c r="F670" s="20" cm="1">
        <f t="array" ref="F670">IF(D670=0,"",(D670-C670)/C670)</f>
        <v>7.0796460176991094E-2</v>
      </c>
      <c r="G670" s="21">
        <v>74626</v>
      </c>
      <c r="H670" s="22">
        <v>1</v>
      </c>
      <c r="I670" s="23" cm="1">
        <f t="array" ref="I670">IF(D670="","",(G670*C670)*0.00075)</f>
        <v>6.3245534999999995</v>
      </c>
      <c r="J670" s="23" cm="1">
        <f t="array" ref="J670">IF(D670="","",(G670*D670)*0.00075)</f>
        <v>6.7723094999999995</v>
      </c>
      <c r="K670" s="24" cm="1">
        <f t="array" ref="K670">IF(D670="","",J670+I670)</f>
        <v>13.096862999999999</v>
      </c>
      <c r="L670" s="24" cm="1">
        <f t="array" ref="L670">IF(D670=0,0,(D670-C670)*G670)</f>
        <v>597.00799999999947</v>
      </c>
      <c r="M670" s="25">
        <v>7828.9576905000004</v>
      </c>
      <c r="N670" s="26" cm="1">
        <f t="array" ref="N670">IFERROR((K670-J670)/J670,"–")</f>
        <v>0.93388429752066116</v>
      </c>
      <c r="O670" s="24" cm="1">
        <f t="array" ref="O670">IF(D670=0,0,L670-K670)</f>
        <v>583.91113699999948</v>
      </c>
      <c r="P670" s="23"/>
      <c r="Q670" s="27"/>
    </row>
    <row r="671" spans="1:17" ht="22.5" customHeight="1">
      <c r="A671" s="16" t="s">
        <v>132</v>
      </c>
      <c r="B671" s="28">
        <v>44446</v>
      </c>
      <c r="C671" s="36">
        <v>0.113</v>
      </c>
      <c r="D671" s="36">
        <v>0.1195</v>
      </c>
      <c r="E671" s="30" cm="1">
        <f t="array" ref="E671">IF(D671="","",D671-C671)</f>
        <v>6.4999999999999919E-3</v>
      </c>
      <c r="F671" s="31" cm="1">
        <f t="array" ref="F671">IF(D671=0,"",(D671-C671)/C671)</f>
        <v>5.752212389380524E-2</v>
      </c>
      <c r="G671" s="32">
        <v>74627</v>
      </c>
      <c r="H671" s="10">
        <v>1</v>
      </c>
      <c r="I671" s="11" cm="1">
        <f t="array" ref="I671">IF(D671="","",(G671*C671)*0.00075)</f>
        <v>6.3246382500000005</v>
      </c>
      <c r="J671" s="11" cm="1">
        <f t="array" ref="J671">IF(D671="","",(G671*D671)*0.00075)</f>
        <v>6.6884448750000001</v>
      </c>
      <c r="K671" s="33" cm="1">
        <f t="array" ref="K671">IF(D671="","",J671+I671)</f>
        <v>13.013083125000001</v>
      </c>
      <c r="L671" s="33" cm="1">
        <f t="array" ref="L671">IF(D671=0,0,(D671-C671)*G671)</f>
        <v>485.07549999999941</v>
      </c>
      <c r="M671" s="12">
        <v>7941.087055125</v>
      </c>
      <c r="N671" s="34" cm="1">
        <f t="array" ref="N671">IFERROR((K671-J671)/J671,"–")</f>
        <v>0.9456066945606697</v>
      </c>
      <c r="O671" s="33" cm="1">
        <f t="array" ref="O671">IF(D671=0,0,L671-K671)</f>
        <v>472.06241687499943</v>
      </c>
      <c r="P671" s="11"/>
      <c r="Q671" s="35"/>
    </row>
    <row r="672" spans="1:17" ht="22.5" customHeight="1">
      <c r="A672" s="16" t="s">
        <v>79</v>
      </c>
      <c r="B672" s="17">
        <v>44446</v>
      </c>
      <c r="C672" s="37">
        <v>1365.085</v>
      </c>
      <c r="D672" s="37">
        <v>1475</v>
      </c>
      <c r="E672" s="19" cm="1">
        <f t="array" ref="E672">IF(D672="","",D672-C672)</f>
        <v>109.91499999999996</v>
      </c>
      <c r="F672" s="20" cm="1">
        <f t="array" ref="F672">IF(D672=0,"",(D672-C672)/C672)</f>
        <v>8.051879553287887E-2</v>
      </c>
      <c r="G672" s="21">
        <v>7.1420000000000003</v>
      </c>
      <c r="H672" s="22">
        <v>1</v>
      </c>
      <c r="I672" s="23" cm="1">
        <f t="array" ref="I672">IF(D672="","",(G672*C672)*0.00075)</f>
        <v>7.3120778025000002</v>
      </c>
      <c r="J672" s="23" cm="1">
        <f t="array" ref="J672">IF(D672="","",(G672*D672)*0.00075)</f>
        <v>7.9008375000000006</v>
      </c>
      <c r="K672" s="24" cm="1">
        <f t="array" ref="K672">IF(D672="","",J672+I672)</f>
        <v>15.212915302500001</v>
      </c>
      <c r="L672" s="24" cm="1">
        <f t="array" ref="L672">IF(D672=0,0,(D672-C672)*G672)</f>
        <v>785.01292999999976</v>
      </c>
      <c r="M672" s="25">
        <v>8956.5233024999998</v>
      </c>
      <c r="N672" s="26" cm="1">
        <f t="array" ref="N672">IFERROR((K672-J672)/J672,"–")</f>
        <v>0.92548135593220338</v>
      </c>
      <c r="O672" s="24" cm="1">
        <f t="array" ref="O672">IF(D672=0,0,L672-K672)</f>
        <v>769.80001469749971</v>
      </c>
      <c r="P672" s="23"/>
      <c r="Q672" s="27"/>
    </row>
    <row r="673" spans="1:17" ht="22.5" customHeight="1">
      <c r="A673" s="16" t="s">
        <v>79</v>
      </c>
      <c r="B673" s="28">
        <v>44446</v>
      </c>
      <c r="C673" s="36">
        <v>1365.085</v>
      </c>
      <c r="D673" s="36">
        <v>1550</v>
      </c>
      <c r="E673" s="30" cm="1">
        <f t="array" ref="E673">IF(D673="","",D673-C673)</f>
        <v>184.91499999999996</v>
      </c>
      <c r="F673" s="31" cm="1">
        <f t="array" ref="F673">IF(D673=0,"",(D673-C673)/C673)</f>
        <v>0.13546042920404222</v>
      </c>
      <c r="G673" s="32">
        <v>5.3559999999999999</v>
      </c>
      <c r="H673" s="10">
        <v>1</v>
      </c>
      <c r="I673" s="11" cm="1">
        <f t="array" ref="I673">IF(D673="","",(G673*C673)*0.00075)</f>
        <v>5.483546445</v>
      </c>
      <c r="J673" s="11" cm="1">
        <f t="array" ref="J673">IF(D673="","",(G673*D673)*0.00075)</f>
        <v>6.2263499999999992</v>
      </c>
      <c r="K673" s="33" cm="1">
        <f t="array" ref="K673">IF(D673="","",J673+I673)</f>
        <v>11.709896444999998</v>
      </c>
      <c r="L673" s="33" cm="1">
        <f t="array" ref="L673">IF(D673=0,0,(D673-C673)*G673)</f>
        <v>990.40473999999983</v>
      </c>
      <c r="M673" s="12">
        <v>6314.7641700000004</v>
      </c>
      <c r="N673" s="34" cm="1">
        <f t="array" ref="N673">IFERROR((K673-J673)/J673,"–")</f>
        <v>0.88069999999999993</v>
      </c>
      <c r="O673" s="33" cm="1">
        <f t="array" ref="O673">IF(D673=0,0,L673-K673)</f>
        <v>978.69484355499981</v>
      </c>
      <c r="P673" s="11"/>
      <c r="Q673" s="35"/>
    </row>
    <row r="674" spans="1:17" ht="22.5" customHeight="1">
      <c r="A674" s="16" t="s">
        <v>79</v>
      </c>
      <c r="B674" s="17">
        <v>44446</v>
      </c>
      <c r="C674" s="37">
        <v>1365.085</v>
      </c>
      <c r="D674" s="37">
        <v>1570</v>
      </c>
      <c r="E674" s="19" cm="1">
        <f t="array" ref="E674">IF(D674="","",D674-C674)</f>
        <v>204.91499999999996</v>
      </c>
      <c r="F674" s="20" cm="1">
        <f t="array" ref="F674">IF(D674=0,"",(D674-C674)/C674)</f>
        <v>0.15011153151635243</v>
      </c>
      <c r="G674" s="21">
        <v>4.0170000000000003</v>
      </c>
      <c r="H674" s="22">
        <v>1</v>
      </c>
      <c r="I674" s="23" cm="1">
        <f t="array" ref="I674">IF(D674="","",(G674*C674)*0.00075)</f>
        <v>4.1126598337500004</v>
      </c>
      <c r="J674" s="23" cm="1">
        <f t="array" ref="J674">IF(D674="","",(G674*D674)*0.00075)</f>
        <v>4.7300175000000007</v>
      </c>
      <c r="K674" s="24" cm="1">
        <f t="array" ref="K674">IF(D674="","",J674+I674)</f>
        <v>8.8426773337500002</v>
      </c>
      <c r="L674" s="24" cm="1">
        <f t="array" ref="L674">IF(D674=0,0,(D674-C674)*G674)</f>
        <v>823.14355499999988</v>
      </c>
      <c r="M674" s="25">
        <v>4655.6728725000003</v>
      </c>
      <c r="N674" s="26" cm="1">
        <f t="array" ref="N674">IFERROR((K674-J674)/J674,"–")</f>
        <v>0.86948089171974496</v>
      </c>
      <c r="O674" s="24" cm="1">
        <f t="array" ref="O674">IF(D674=0,0,L674-K674)</f>
        <v>814.3008776662499</v>
      </c>
      <c r="P674" s="23"/>
      <c r="Q674" s="27"/>
    </row>
    <row r="675" spans="1:17" ht="22.5" customHeight="1">
      <c r="A675" s="16" t="s">
        <v>79</v>
      </c>
      <c r="B675" s="28">
        <v>44446</v>
      </c>
      <c r="C675" s="36">
        <v>1365.085</v>
      </c>
      <c r="D675" s="36">
        <v>1680</v>
      </c>
      <c r="E675" s="30" cm="1">
        <f t="array" ref="E675">IF(D675="","",D675-C675)</f>
        <v>314.91499999999996</v>
      </c>
      <c r="F675" s="31" cm="1">
        <f t="array" ref="F675">IF(D675=0,"",(D675-C675)/C675)</f>
        <v>0.23069259423405866</v>
      </c>
      <c r="G675" s="32">
        <v>6.0270000000000001</v>
      </c>
      <c r="H675" s="10">
        <v>1</v>
      </c>
      <c r="I675" s="11" cm="1">
        <f t="array" ref="I675">IF(D675="","",(G675*C675)*0.00075)</f>
        <v>6.1705254712500004</v>
      </c>
      <c r="J675" s="11" cm="1">
        <f t="array" ref="J675">IF(D675="","",(G675*D675)*0.00075)</f>
        <v>7.5940200000000004</v>
      </c>
      <c r="K675" s="33" cm="1">
        <f t="array" ref="K675">IF(D675="","",J675+I675)</f>
        <v>13.764545471250001</v>
      </c>
      <c r="L675" s="33" cm="1">
        <f t="array" ref="L675">IF(D675=0,0,(D675-C675)*G675)</f>
        <v>1897.9927049999999</v>
      </c>
      <c r="M675" s="12">
        <v>6321.7805699999999</v>
      </c>
      <c r="N675" s="34" cm="1">
        <f t="array" ref="N675">IFERROR((K675-J675)/J675,"–")</f>
        <v>0.81255059523809525</v>
      </c>
      <c r="O675" s="33" cm="1">
        <f t="array" ref="O675">IF(D675=0,0,L675-K675)</f>
        <v>1884.22815952875</v>
      </c>
      <c r="P675" s="11"/>
      <c r="Q675" s="35"/>
    </row>
    <row r="676" spans="1:17" ht="22.5" customHeight="1">
      <c r="A676" s="16" t="s">
        <v>79</v>
      </c>
      <c r="B676" s="17">
        <v>44446</v>
      </c>
      <c r="C676" s="37">
        <v>1365.085</v>
      </c>
      <c r="D676" s="37">
        <v>1505</v>
      </c>
      <c r="E676" s="19" cm="1">
        <f t="array" ref="E676">IF(D676="","",D676-C676)</f>
        <v>139.91499999999996</v>
      </c>
      <c r="F676" s="20" cm="1">
        <f t="array" ref="F676">IF(D676=0,"",(D676-C676)/C676)</f>
        <v>0.1024954490013442</v>
      </c>
      <c r="G676" s="21">
        <v>6.0270000000000001</v>
      </c>
      <c r="H676" s="22">
        <v>1</v>
      </c>
      <c r="I676" s="23" cm="1">
        <f t="array" ref="I676">IF(D676="","",(G676*C676)*0.00075)</f>
        <v>6.1705254712500004</v>
      </c>
      <c r="J676" s="23" cm="1">
        <f t="array" ref="J676">IF(D676="","",(G676*D676)*0.00075)</f>
        <v>6.8029762500000004</v>
      </c>
      <c r="K676" s="24" cm="1">
        <f t="array" ref="K676">IF(D676="","",J676+I676)</f>
        <v>12.973501721250001</v>
      </c>
      <c r="L676" s="24" cm="1">
        <f t="array" ref="L676">IF(D676=0,0,(D676-C676)*G676)</f>
        <v>843.26770499999975</v>
      </c>
      <c r="M676" s="25">
        <v>7377.2966137499998</v>
      </c>
      <c r="N676" s="26" cm="1">
        <f t="array" ref="N676">IFERROR((K676-J676)/J676,"–")</f>
        <v>0.9070332225913621</v>
      </c>
      <c r="O676" s="24" cm="1">
        <f t="array" ref="O676">IF(D676=0,0,L676-K676)</f>
        <v>830.29420327874971</v>
      </c>
      <c r="P676" s="23"/>
      <c r="Q676" s="27"/>
    </row>
    <row r="677" spans="1:17" ht="22.5" customHeight="1">
      <c r="A677" s="16" t="s">
        <v>142</v>
      </c>
      <c r="B677" s="28">
        <v>44446</v>
      </c>
      <c r="C677" s="36">
        <v>2.17</v>
      </c>
      <c r="D677" s="36">
        <v>2.2650000000000001</v>
      </c>
      <c r="E677" s="30" cm="1">
        <f t="array" ref="E677">IF(D677="","",D677-C677)</f>
        <v>9.5000000000000195E-2</v>
      </c>
      <c r="F677" s="31" cm="1">
        <f t="array" ref="F677">IF(D677=0,"",(D677-C677)/C677)</f>
        <v>4.3778801843318067E-2</v>
      </c>
      <c r="G677" s="32">
        <v>1000</v>
      </c>
      <c r="H677" s="10">
        <v>1</v>
      </c>
      <c r="I677" s="11" cm="1">
        <f t="array" ref="I677">IF(D677="","",(G677*C677)*0.00075)</f>
        <v>1.6274999999999999</v>
      </c>
      <c r="J677" s="11" cm="1">
        <f t="array" ref="J677">IF(D677="","",(G677*D677)*0.00075)</f>
        <v>1.69875</v>
      </c>
      <c r="K677" s="33" cm="1">
        <f t="array" ref="K677">IF(D677="","",J677+I677)</f>
        <v>3.3262499999999999</v>
      </c>
      <c r="L677" s="33" cm="1">
        <f t="array" ref="L677">IF(D677=0,0,(D677-C677)*G677)</f>
        <v>95.000000000000199</v>
      </c>
      <c r="M677" s="12">
        <v>2073.30125</v>
      </c>
      <c r="N677" s="34" cm="1">
        <f t="array" ref="N677">IFERROR((K677-J677)/J677,"–")</f>
        <v>0.95805739514348787</v>
      </c>
      <c r="O677" s="33" cm="1">
        <f t="array" ref="O677">IF(D677=0,0,L677-K677)</f>
        <v>91.673750000000197</v>
      </c>
      <c r="P677" s="11"/>
      <c r="Q677" s="35"/>
    </row>
    <row r="678" spans="1:17" ht="22.5" customHeight="1">
      <c r="A678" s="16" t="s">
        <v>142</v>
      </c>
      <c r="B678" s="17">
        <v>44446</v>
      </c>
      <c r="C678" s="37">
        <v>2.17</v>
      </c>
      <c r="D678" s="37">
        <v>2.222</v>
      </c>
      <c r="E678" s="19" cm="1">
        <f t="array" ref="E678">IF(D678="","",D678-C678)</f>
        <v>5.2000000000000046E-2</v>
      </c>
      <c r="F678" s="20" cm="1">
        <f t="array" ref="F678">IF(D678=0,"",(D678-C678)/C678)</f>
        <v>2.3963133640553018E-2</v>
      </c>
      <c r="G678" s="21">
        <v>1000</v>
      </c>
      <c r="H678" s="22">
        <v>1</v>
      </c>
      <c r="I678" s="23" cm="1">
        <f t="array" ref="I678">IF(D678="","",(G678*C678)*0.00075)</f>
        <v>1.6274999999999999</v>
      </c>
      <c r="J678" s="23" cm="1">
        <f t="array" ref="J678">IF(D678="","",(G678*D678)*0.00075)</f>
        <v>1.6665000000000001</v>
      </c>
      <c r="K678" s="24" cm="1">
        <f t="array" ref="K678">IF(D678="","",J678+I678)</f>
        <v>3.294</v>
      </c>
      <c r="L678" s="24" cm="1">
        <f t="array" ref="L678">IF(D678=0,0,(D678-C678)*G678)</f>
        <v>52.000000000000043</v>
      </c>
      <c r="M678" s="25">
        <v>2116.3335000000002</v>
      </c>
      <c r="N678" s="26" cm="1">
        <f t="array" ref="N678">IFERROR((K678-J678)/J678,"–")</f>
        <v>0.97659765976597657</v>
      </c>
      <c r="O678" s="24" cm="1">
        <f t="array" ref="O678">IF(D678=0,0,L678-K678)</f>
        <v>48.706000000000046</v>
      </c>
      <c r="P678" s="23"/>
      <c r="Q678" s="27"/>
    </row>
    <row r="679" spans="1:17" ht="22.5" customHeight="1">
      <c r="A679" s="16" t="s">
        <v>51</v>
      </c>
      <c r="B679" s="28">
        <v>44446</v>
      </c>
      <c r="C679" s="36">
        <v>2.5350999999999999</v>
      </c>
      <c r="D679" s="36">
        <v>2.5499999999999998</v>
      </c>
      <c r="E679" s="30" cm="1">
        <f t="array" ref="E679">IF(D679="","",D679-C679)</f>
        <v>1.4899999999999913E-2</v>
      </c>
      <c r="F679" s="31" cm="1">
        <f t="array" ref="F679">IF(D679=0,"",(D679-C679)/C679)</f>
        <v>5.8774801782966804E-3</v>
      </c>
      <c r="G679" s="32">
        <v>7889</v>
      </c>
      <c r="H679" s="10">
        <v>1</v>
      </c>
      <c r="I679" s="11" cm="1">
        <f t="array" ref="I679">IF(D679="","",(G679*C679)*0.00075)</f>
        <v>14.999552924999998</v>
      </c>
      <c r="J679" s="11" cm="1">
        <f t="array" ref="J679">IF(D679="","",(G679*D679)*0.00075)</f>
        <v>15.087712499999999</v>
      </c>
      <c r="K679" s="33" cm="1">
        <f t="array" ref="K679">IF(D679="","",J679+I679)</f>
        <v>30.087265424999998</v>
      </c>
      <c r="L679" s="33" cm="1">
        <f t="array" ref="L679">IF(D679=0,0,(D679-C679)*G679)</f>
        <v>117.54609999999931</v>
      </c>
      <c r="M679" s="12">
        <v>19866.770087500001</v>
      </c>
      <c r="N679" s="34" cm="1">
        <f t="array" ref="N679">IFERROR((K679-J679)/J679,"–")</f>
        <v>0.99415686274509807</v>
      </c>
      <c r="O679" s="33" cm="1">
        <f t="array" ref="O679">IF(D679=0,0,L679-K679)</f>
        <v>87.458834574999315</v>
      </c>
      <c r="P679" s="11"/>
      <c r="Q679" s="35"/>
    </row>
    <row r="680" spans="1:17" ht="22.5" customHeight="1">
      <c r="A680" s="16" t="s">
        <v>51</v>
      </c>
      <c r="B680" s="17">
        <v>44446</v>
      </c>
      <c r="C680" s="37">
        <v>2.5350999999999999</v>
      </c>
      <c r="D680" s="37">
        <v>2.5453000000000001</v>
      </c>
      <c r="E680" s="19" cm="1">
        <f t="array" ref="E680">IF(D680="","",D680-C680)</f>
        <v>1.0200000000000209E-2</v>
      </c>
      <c r="F680" s="20" cm="1">
        <f t="array" ref="F680">IF(D680=0,"",(D680-C680)/C680)</f>
        <v>4.0235099207132693E-3</v>
      </c>
      <c r="G680" s="21">
        <v>7889.1</v>
      </c>
      <c r="H680" s="22">
        <v>1</v>
      </c>
      <c r="I680" s="23" cm="1">
        <f t="array" ref="I680">IF(D680="","",(G680*C680)*0.00075)</f>
        <v>14.9997430575</v>
      </c>
      <c r="J680" s="23" cm="1">
        <f t="array" ref="J680">IF(D680="","",(G680*D680)*0.00075)</f>
        <v>15.060094672500002</v>
      </c>
      <c r="K680" s="24" cm="1">
        <f t="array" ref="K680">IF(D680="","",J680+I680)</f>
        <v>30.059837730000002</v>
      </c>
      <c r="L680" s="24" cm="1">
        <f t="array" ref="L680">IF(D680=0,0,(D680-C680)*G680)</f>
        <v>80.468820000001656</v>
      </c>
      <c r="M680" s="25">
        <v>19904.128495327499</v>
      </c>
      <c r="N680" s="26" cm="1">
        <f t="array" ref="N680">IFERROR((K680-J680)/J680,"–")</f>
        <v>0.99599261383726856</v>
      </c>
      <c r="O680" s="24" cm="1">
        <f t="array" ref="O680">IF(D680=0,0,L680-K680)</f>
        <v>50.408982270001658</v>
      </c>
      <c r="P680" s="23"/>
      <c r="Q680" s="27"/>
    </row>
    <row r="681" spans="1:17" ht="22.5" customHeight="1">
      <c r="A681" s="16" t="s">
        <v>115</v>
      </c>
      <c r="B681" s="28">
        <v>44447</v>
      </c>
      <c r="C681" s="36">
        <v>0.37430000000000002</v>
      </c>
      <c r="D681" s="36">
        <v>0.371</v>
      </c>
      <c r="E681" s="30" cm="1">
        <f t="array" ref="E681">IF(D681="","",D681-C681)</f>
        <v>-3.3000000000000251E-3</v>
      </c>
      <c r="F681" s="31" cm="1">
        <f t="array" ref="F681">IF(D681=0,"",(D681-C681)/C681)</f>
        <v>-8.8164573871226948E-3</v>
      </c>
      <c r="G681" s="32">
        <v>18407</v>
      </c>
      <c r="H681" s="10">
        <v>1</v>
      </c>
      <c r="I681" s="11" cm="1">
        <f t="array" ref="I681">IF(D681="","",(G681*C681)*0.00075)</f>
        <v>5.1673050749999998</v>
      </c>
      <c r="J681" s="11" cm="1">
        <f t="array" ref="J681">IF(D681="","",(G681*D681)*0.00075)</f>
        <v>5.1217477499999999</v>
      </c>
      <c r="K681" s="33" cm="1">
        <f t="array" ref="K681">IF(D681="","",J681+I681)</f>
        <v>10.289052824999999</v>
      </c>
      <c r="L681" s="33" cm="1">
        <f t="array" ref="L681">IF(D681=0,0,(D681-C681)*G681)</f>
        <v>-60.74310000000046</v>
      </c>
      <c r="M681" s="12">
        <v>6945.3614522500002</v>
      </c>
      <c r="N681" s="34" cm="1">
        <f t="array" ref="N681">IFERROR((K681-J681)/J681,"–")</f>
        <v>1.0088948787061993</v>
      </c>
      <c r="O681" s="33" cm="1">
        <f t="array" ref="O681">IF(D681=0,0,L681-K681)</f>
        <v>-71.032152825000452</v>
      </c>
      <c r="P681" s="11"/>
      <c r="Q681" s="35"/>
    </row>
    <row r="682" spans="1:17" ht="22.5" customHeight="1">
      <c r="A682" s="16" t="s">
        <v>115</v>
      </c>
      <c r="B682" s="17">
        <v>44447</v>
      </c>
      <c r="C682" s="37">
        <v>0.37430000000000002</v>
      </c>
      <c r="D682" s="37">
        <v>0.3715</v>
      </c>
      <c r="E682" s="19" cm="1">
        <f t="array" ref="E682">IF(D682="","",D682-C682)</f>
        <v>-2.8000000000000247E-3</v>
      </c>
      <c r="F682" s="20" cm="1">
        <f t="array" ref="F682">IF(D682=0,"",(D682-C682)/C682)</f>
        <v>-7.4806305102859327E-3</v>
      </c>
      <c r="G682" s="21">
        <v>1002</v>
      </c>
      <c r="H682" s="22">
        <v>1</v>
      </c>
      <c r="I682" s="23" cm="1">
        <f t="array" ref="I682">IF(D682="","",(G682*C682)*0.00075)</f>
        <v>0.28128645000000002</v>
      </c>
      <c r="J682" s="23" cm="1">
        <f t="array" ref="J682">IF(D682="","",(G682*D682)*0.00075)</f>
        <v>0.27918225000000002</v>
      </c>
      <c r="K682" s="24" cm="1">
        <f t="array" ref="K682">IF(D682="","",J682+I682)</f>
        <v>0.56046870000000004</v>
      </c>
      <c r="L682" s="24" cm="1">
        <f t="array" ref="L682">IF(D682=0,0,(D682-C682)*G682)</f>
        <v>-2.805600000000025</v>
      </c>
      <c r="M682" s="25">
        <v>377.57501774999997</v>
      </c>
      <c r="N682" s="26" cm="1">
        <f t="array" ref="N682">IFERROR((K682-J682)/J682,"–")</f>
        <v>1.0075370121130551</v>
      </c>
      <c r="O682" s="24" cm="1">
        <f t="array" ref="O682">IF(D682=0,0,L682-K682)</f>
        <v>-3.3660687000000249</v>
      </c>
      <c r="P682" s="23"/>
      <c r="Q682" s="27"/>
    </row>
    <row r="683" spans="1:17" ht="22.5" customHeight="1">
      <c r="A683" s="16" t="s">
        <v>115</v>
      </c>
      <c r="B683" s="28">
        <v>44447</v>
      </c>
      <c r="C683" s="36">
        <v>0.37430000000000002</v>
      </c>
      <c r="D683" s="36">
        <v>0.37</v>
      </c>
      <c r="E683" s="30" cm="1">
        <f t="array" ref="E683">IF(D683="","",D683-C683)</f>
        <v>-4.300000000000026E-3</v>
      </c>
      <c r="F683" s="31" cm="1">
        <f t="array" ref="F683">IF(D683=0,"",(D683-C683)/C683)</f>
        <v>-1.1488111140796222E-2</v>
      </c>
      <c r="G683" s="32">
        <v>44177</v>
      </c>
      <c r="H683" s="10">
        <v>1</v>
      </c>
      <c r="I683" s="11" cm="1">
        <f t="array" ref="I683">IF(D683="","",(G683*C683)*0.00075)</f>
        <v>12.401588325000002</v>
      </c>
      <c r="J683" s="11" cm="1">
        <f t="array" ref="J683">IF(D683="","",(G683*D683)*0.00075)</f>
        <v>12.2591175</v>
      </c>
      <c r="K683" s="33" cm="1">
        <f t="array" ref="K683">IF(D683="","",J683+I683)</f>
        <v>24.660705825000001</v>
      </c>
      <c r="L683" s="33" cm="1">
        <f t="array" ref="L683">IF(D683=0,0,(D683-C683)*G683)</f>
        <v>-189.96110000000115</v>
      </c>
      <c r="M683" s="12">
        <v>16713.153082500001</v>
      </c>
      <c r="N683" s="34" cm="1">
        <f t="array" ref="N683">IFERROR((K683-J683)/J683,"–")</f>
        <v>1.0116216216216216</v>
      </c>
      <c r="O683" s="33" cm="1">
        <f t="array" ref="O683">IF(D683=0,0,L683-K683)</f>
        <v>-214.62180582500116</v>
      </c>
      <c r="P683" s="11"/>
      <c r="Q683" s="35"/>
    </row>
    <row r="684" spans="1:17" ht="22.5" customHeight="1">
      <c r="A684" s="16" t="s">
        <v>115</v>
      </c>
      <c r="B684" s="17">
        <v>44447</v>
      </c>
      <c r="C684" s="37">
        <v>0.37430000000000002</v>
      </c>
      <c r="D684" s="37">
        <v>0.37</v>
      </c>
      <c r="E684" s="19" cm="1">
        <f t="array" ref="E684">IF(D684="","",D684-C684)</f>
        <v>-4.300000000000026E-3</v>
      </c>
      <c r="F684" s="20" cm="1">
        <f t="array" ref="F684">IF(D684=0,"",(D684-C684)/C684)</f>
        <v>-1.1488111140796222E-2</v>
      </c>
      <c r="G684" s="21">
        <v>1230</v>
      </c>
      <c r="H684" s="22">
        <v>1</v>
      </c>
      <c r="I684" s="23" cm="1">
        <f t="array" ref="I684">IF(D684="","",(G684*C684)*0.00075)</f>
        <v>0.34529175000000001</v>
      </c>
      <c r="J684" s="23" cm="1">
        <f t="array" ref="J684">IF(D684="","",(G684*D684)*0.00075)</f>
        <v>0.34132500000000005</v>
      </c>
      <c r="K684" s="24" cm="1">
        <f t="array" ref="K684">IF(D684="","",J684+I684)</f>
        <v>0.68661675</v>
      </c>
      <c r="L684" s="24" cm="1">
        <f t="array" ref="L684">IF(D684=0,0,(D684-C684)*G684)</f>
        <v>-5.2890000000000317</v>
      </c>
      <c r="M684" s="25">
        <v>465.33667500000001</v>
      </c>
      <c r="N684" s="26" cm="1">
        <f t="array" ref="N684">IFERROR((K684-J684)/J684,"–")</f>
        <v>1.0116216216216214</v>
      </c>
      <c r="O684" s="24" cm="1">
        <f t="array" ref="O684">IF(D684=0,0,L684-K684)</f>
        <v>-5.9756167500000315</v>
      </c>
      <c r="P684" s="23"/>
      <c r="Q684" s="27"/>
    </row>
    <row r="685" spans="1:17" ht="22.5" customHeight="1">
      <c r="A685" s="16" t="s">
        <v>115</v>
      </c>
      <c r="B685" s="28">
        <v>44447</v>
      </c>
      <c r="C685" s="36">
        <v>0.37430000000000002</v>
      </c>
      <c r="D685" s="36">
        <v>0.36809999999999998</v>
      </c>
      <c r="E685" s="30" cm="1">
        <f t="array" ref="E685">IF(D685="","",D685-C685)</f>
        <v>-6.2000000000000388E-3</v>
      </c>
      <c r="F685" s="31" cm="1">
        <f t="array" ref="F685">IF(D685=0,"",(D685-C685)/C685)</f>
        <v>-1.6564253272775952E-2</v>
      </c>
      <c r="G685" s="32">
        <v>17406</v>
      </c>
      <c r="H685" s="10">
        <v>1</v>
      </c>
      <c r="I685" s="11" cm="1">
        <f t="array" ref="I685">IF(D685="","",(G685*C685)*0.00075)</f>
        <v>4.8862993500000007</v>
      </c>
      <c r="J685" s="11" cm="1">
        <f t="array" ref="J685">IF(D685="","",(G685*D685)*0.00075)</f>
        <v>4.8053614499999995</v>
      </c>
      <c r="K685" s="33" cm="1">
        <f t="array" ref="K685">IF(D685="","",J685+I685)</f>
        <v>9.6916608000000011</v>
      </c>
      <c r="L685" s="33" cm="1">
        <f t="array" ref="L685">IF(D685=0,0,(D685-C685)*G685)</f>
        <v>-107.91720000000068</v>
      </c>
      <c r="M685" s="12">
        <v>6618.1776385499998</v>
      </c>
      <c r="N685" s="34" cm="1">
        <f t="array" ref="N685">IFERROR((K685-J685)/J685,"–")</f>
        <v>1.0168432491170882</v>
      </c>
      <c r="O685" s="33" cm="1">
        <f t="array" ref="O685">IF(D685=0,0,L685-K685)</f>
        <v>-117.60886080000068</v>
      </c>
      <c r="P685" s="11"/>
      <c r="Q685" s="35"/>
    </row>
    <row r="686" spans="1:17" ht="22.5" customHeight="1">
      <c r="A686" s="16" t="s">
        <v>115</v>
      </c>
      <c r="B686" s="17">
        <v>44447</v>
      </c>
      <c r="C686" s="37">
        <v>0.37430000000000002</v>
      </c>
      <c r="D686" s="37">
        <v>0.36599999999999999</v>
      </c>
      <c r="E686" s="19" cm="1">
        <f t="array" ref="E686">IF(D686="","",D686-C686)</f>
        <v>-8.3000000000000296E-3</v>
      </c>
      <c r="F686" s="20" cm="1">
        <f t="array" ref="F686">IF(D686=0,"",(D686-C686)/C686)</f>
        <v>-2.2174726155490328E-2</v>
      </c>
      <c r="G686" s="21">
        <v>17792</v>
      </c>
      <c r="H686" s="22">
        <v>1</v>
      </c>
      <c r="I686" s="23" cm="1">
        <f t="array" ref="I686">IF(D686="","",(G686*C686)*0.00075)</f>
        <v>4.9946592000000001</v>
      </c>
      <c r="J686" s="23" cm="1">
        <f t="array" ref="J686">IF(D686="","",(G686*D686)*0.00075)</f>
        <v>4.8839040000000002</v>
      </c>
      <c r="K686" s="24" cm="1">
        <f t="array" ref="K686">IF(D686="","",J686+I686)</f>
        <v>9.8785632000000003</v>
      </c>
      <c r="L686" s="24" cm="1">
        <f t="array" ref="L686">IF(D686=0,0,(D686-C686)*G686)</f>
        <v>-147.67360000000053</v>
      </c>
      <c r="M686" s="25">
        <v>6802.3352960000002</v>
      </c>
      <c r="N686" s="26" cm="1">
        <f t="array" ref="N686">IFERROR((K686-J686)/J686,"–")</f>
        <v>1.0226775956284153</v>
      </c>
      <c r="O686" s="24" cm="1">
        <f t="array" ref="O686">IF(D686=0,0,L686-K686)</f>
        <v>-157.55216320000054</v>
      </c>
      <c r="P686" s="23"/>
      <c r="Q686" s="27"/>
    </row>
    <row r="687" spans="1:17" ht="22.5" customHeight="1">
      <c r="A687" s="16" t="s">
        <v>115</v>
      </c>
      <c r="B687" s="28">
        <v>44447</v>
      </c>
      <c r="C687" s="36">
        <v>0.37430000000000002</v>
      </c>
      <c r="D687" s="36">
        <v>0.36499999999999999</v>
      </c>
      <c r="E687" s="30" cm="1">
        <f t="array" ref="E687">IF(D687="","",D687-C687)</f>
        <v>-9.3000000000000305E-3</v>
      </c>
      <c r="F687" s="31" cm="1">
        <f t="array" ref="F687">IF(D687=0,"",(D687-C687)/C687)</f>
        <v>-2.4846379909163854E-2</v>
      </c>
      <c r="G687" s="32">
        <v>17792</v>
      </c>
      <c r="H687" s="10">
        <v>1</v>
      </c>
      <c r="I687" s="11" cm="1">
        <f t="array" ref="I687">IF(D687="","",(G687*C687)*0.00075)</f>
        <v>4.9946592000000001</v>
      </c>
      <c r="J687" s="11" cm="1">
        <f t="array" ref="J687">IF(D687="","",(G687*D687)*0.00075)</f>
        <v>4.8705600000000002</v>
      </c>
      <c r="K687" s="33" cm="1">
        <f t="array" ref="K687">IF(D687="","",J687+I687)</f>
        <v>9.8652192000000003</v>
      </c>
      <c r="L687" s="33" cm="1">
        <f t="array" ref="L687">IF(D687=0,0,(D687-C687)*G687)</f>
        <v>-165.46560000000053</v>
      </c>
      <c r="M687" s="12">
        <v>6820.1406399999996</v>
      </c>
      <c r="N687" s="34" cm="1">
        <f t="array" ref="N687">IFERROR((K687-J687)/J687,"–")</f>
        <v>1.0254794520547945</v>
      </c>
      <c r="O687" s="33" cm="1">
        <f t="array" ref="O687">IF(D687=0,0,L687-K687)</f>
        <v>-175.33081920000055</v>
      </c>
      <c r="P687" s="11"/>
      <c r="Q687" s="35"/>
    </row>
    <row r="688" spans="1:17" ht="22.5" customHeight="1">
      <c r="A688" s="16" t="s">
        <v>76</v>
      </c>
      <c r="B688" s="17">
        <v>44447</v>
      </c>
      <c r="C688" s="37">
        <v>6.9399999999999996E-6</v>
      </c>
      <c r="D688" s="37">
        <v>6.9999999999999999E-6</v>
      </c>
      <c r="E688" s="19" cm="1">
        <f t="array" ref="E688">IF(D688="","",D688-C688)</f>
        <v>6.0000000000000273E-8</v>
      </c>
      <c r="F688" s="20" cm="1">
        <f t="array" ref="F688">IF(D688=0,"",(D688-C688)/C688)</f>
        <v>8.6455331412104135E-3</v>
      </c>
      <c r="G688" s="48">
        <v>1293227665</v>
      </c>
      <c r="H688" s="22">
        <v>1</v>
      </c>
      <c r="I688" s="23" cm="1">
        <f t="array" ref="I688">IF(D688="","",(G688*C688)*0.00075)</f>
        <v>6.7312499963249994</v>
      </c>
      <c r="J688" s="23" cm="1">
        <f t="array" ref="J688">IF(D688="","",(G688*D688)*0.00075)</f>
        <v>6.7894452412500002</v>
      </c>
      <c r="K688" s="24" cm="1">
        <f t="array" ref="K688">IF(D688="","",J688+I688)</f>
        <v>13.520695237575</v>
      </c>
      <c r="L688" s="24" cm="1">
        <f t="array" ref="L688">IF(D688=0,0,(D688-C688)*G688)</f>
        <v>77.593659900000347</v>
      </c>
      <c r="M688" s="25">
        <v>8890.6168899587501</v>
      </c>
      <c r="N688" s="26" cm="1">
        <f t="array" ref="N688">IFERROR((K688-J688)/J688,"–")</f>
        <v>0.99142857142857133</v>
      </c>
      <c r="O688" s="24" cm="1">
        <f t="array" ref="O688">IF(D688=0,0,L688-K688)</f>
        <v>64.072964662425349</v>
      </c>
      <c r="P688" s="23"/>
      <c r="Q688" s="27"/>
    </row>
    <row r="689" spans="1:17" ht="22.5" customHeight="1">
      <c r="A689" s="16" t="s">
        <v>76</v>
      </c>
      <c r="B689" s="28">
        <v>44447</v>
      </c>
      <c r="C689" s="36">
        <v>6.9399999999999996E-6</v>
      </c>
      <c r="D689" s="36">
        <v>7.0999999999999998E-6</v>
      </c>
      <c r="E689" s="30" cm="1">
        <f t="array" ref="E689">IF(D689="","",D689-C689)</f>
        <v>1.6000000000000016E-7</v>
      </c>
      <c r="F689" s="31" cm="1">
        <f t="array" ref="F689">IF(D689=0,"",(D689-C689)/C689)</f>
        <v>2.3054755043227692E-2</v>
      </c>
      <c r="G689" s="32">
        <v>969920749</v>
      </c>
      <c r="H689" s="10">
        <v>1</v>
      </c>
      <c r="I689" s="11" cm="1">
        <f t="array" ref="I689">IF(D689="","",(G689*C689)*0.00075)</f>
        <v>5.0484374985449998</v>
      </c>
      <c r="J689" s="11" cm="1">
        <f t="array" ref="J689">IF(D689="","",(G689*D689)*0.00075)</f>
        <v>5.1648279884249995</v>
      </c>
      <c r="K689" s="33" cm="1">
        <f t="array" ref="K689">IF(D689="","",J689+I689)</f>
        <v>10.213265486969998</v>
      </c>
      <c r="L689" s="33" cm="1">
        <f t="array" ref="L689">IF(D689=0,0,(D689-C689)*G689)</f>
        <v>155.18731984000016</v>
      </c>
      <c r="M689" s="12">
        <v>6570.8978502315804</v>
      </c>
      <c r="N689" s="34" cm="1">
        <f t="array" ref="N689">IFERROR((K689-J689)/J689,"–")</f>
        <v>0.97746478873239429</v>
      </c>
      <c r="O689" s="33" cm="1">
        <f t="array" ref="O689">IF(D689=0,0,L689-K689)</f>
        <v>144.97405435303017</v>
      </c>
      <c r="P689" s="11"/>
      <c r="Q689" s="35"/>
    </row>
    <row r="690" spans="1:17" ht="22.5" customHeight="1">
      <c r="A690" s="16" t="s">
        <v>76</v>
      </c>
      <c r="B690" s="17">
        <v>44447</v>
      </c>
      <c r="C690" s="37">
        <v>6.9399999999999996E-6</v>
      </c>
      <c r="D690" s="37">
        <v>7.1500000000000002E-6</v>
      </c>
      <c r="E690" s="19" cm="1">
        <f t="array" ref="E690">IF(D690="","",D690-C690)</f>
        <v>2.1000000000000053E-7</v>
      </c>
      <c r="F690" s="20" cm="1">
        <f t="array" ref="F690">IF(D690=0,"",(D690-C690)/C690)</f>
        <v>3.0259365994236391E-2</v>
      </c>
      <c r="G690" s="21">
        <v>727440562</v>
      </c>
      <c r="H690" s="22">
        <v>1</v>
      </c>
      <c r="I690" s="23" cm="1">
        <f t="array" ref="I690">IF(D690="","",(G690*C690)*0.00075)</f>
        <v>3.7863281252099998</v>
      </c>
      <c r="J690" s="23" cm="1">
        <f t="array" ref="J690">IF(D690="","",(G690*D690)*0.00075)</f>
        <v>3.9009000137250003</v>
      </c>
      <c r="K690" s="24" cm="1">
        <f t="array" ref="K690">IF(D690="","",J690+I690)</f>
        <v>7.6872281389349997</v>
      </c>
      <c r="L690" s="24" cm="1">
        <f t="array" ref="L690">IF(D690=0,0,(D690-C690)*G690)</f>
        <v>152.76251802000039</v>
      </c>
      <c r="M690" s="25">
        <v>4891.7740822462802</v>
      </c>
      <c r="N690" s="26" cm="1">
        <f t="array" ref="N690">IFERROR((K690-J690)/J690,"–")</f>
        <v>0.97062937062937038</v>
      </c>
      <c r="O690" s="24" cm="1">
        <f t="array" ref="O690">IF(D690=0,0,L690-K690)</f>
        <v>145.07528988106537</v>
      </c>
      <c r="P690" s="23"/>
      <c r="Q690" s="27"/>
    </row>
    <row r="691" spans="1:17" ht="22.5" customHeight="1">
      <c r="A691" s="16" t="s">
        <v>76</v>
      </c>
      <c r="B691" s="28">
        <v>44447</v>
      </c>
      <c r="C691" s="36">
        <v>6.9399999999999996E-6</v>
      </c>
      <c r="D691" s="36">
        <v>7.3000000000000004E-6</v>
      </c>
      <c r="E691" s="30" cm="1">
        <f t="array" ref="E691">IF(D691="","",D691-C691)</f>
        <v>3.6000000000000079E-7</v>
      </c>
      <c r="F691" s="31" cm="1">
        <f t="array" ref="F691">IF(D691=0,"",(D691-C691)/C691)</f>
        <v>5.1873198847262367E-2</v>
      </c>
      <c r="G691" s="32">
        <v>545580421</v>
      </c>
      <c r="H691" s="10">
        <v>1</v>
      </c>
      <c r="I691" s="11" cm="1">
        <f t="array" ref="I691">IF(D691="","",(G691*C691)*0.00075)</f>
        <v>2.8397460913049999</v>
      </c>
      <c r="J691" s="11" cm="1">
        <f t="array" ref="J691">IF(D691="","",(G691*D691)*0.00075)</f>
        <v>2.9870528049750003</v>
      </c>
      <c r="K691" s="33" cm="1">
        <f t="array" ref="K691">IF(D691="","",J691+I691)</f>
        <v>5.8267988962799997</v>
      </c>
      <c r="L691" s="33" cm="1">
        <f t="array" ref="L691">IF(D691=0,0,(D691-C691)*G691)</f>
        <v>196.40895156000042</v>
      </c>
      <c r="M691" s="12">
        <v>3586.93211737503</v>
      </c>
      <c r="N691" s="34" cm="1">
        <f t="array" ref="N691">IFERROR((K691-J691)/J691,"–")</f>
        <v>0.95068493150684907</v>
      </c>
      <c r="O691" s="33" cm="1">
        <f t="array" ref="O691">IF(D691=0,0,L691-K691)</f>
        <v>190.58215266372042</v>
      </c>
      <c r="P691" s="11"/>
      <c r="Q691" s="35"/>
    </row>
    <row r="692" spans="1:17" ht="22.5" customHeight="1">
      <c r="A692" s="16" t="s">
        <v>76</v>
      </c>
      <c r="B692" s="17">
        <v>44447</v>
      </c>
      <c r="C692" s="37">
        <v>6.9399999999999996E-6</v>
      </c>
      <c r="D692" s="37">
        <v>7.1400000000000002E-6</v>
      </c>
      <c r="E692" s="19" cm="1">
        <f t="array" ref="E692">IF(D692="","",D692-C692)</f>
        <v>2.0000000000000063E-7</v>
      </c>
      <c r="F692" s="20" cm="1">
        <f t="array" ref="F692">IF(D692=0,"",(D692-C692)/C692)</f>
        <v>2.8818443804034675E-2</v>
      </c>
      <c r="G692" s="21">
        <v>1636741265</v>
      </c>
      <c r="H692" s="22">
        <v>1</v>
      </c>
      <c r="I692" s="23" cm="1">
        <f t="array" ref="I692">IF(D692="","",(G692*C692)*0.00075)</f>
        <v>8.5192382843249987</v>
      </c>
      <c r="J692" s="23" cm="1">
        <f t="array" ref="J692">IF(D692="","",(G692*D692)*0.00075)</f>
        <v>8.7647494740749998</v>
      </c>
      <c r="K692" s="24" cm="1">
        <f t="array" ref="K692">IF(D692="","",J692+I692)</f>
        <v>17.283987758399999</v>
      </c>
      <c r="L692" s="24" cm="1">
        <f t="array" ref="L692">IF(D692=0,0,(D692-C692)*G692)</f>
        <v>327.34825300000102</v>
      </c>
      <c r="M692" s="25">
        <v>11022.871376625901</v>
      </c>
      <c r="N692" s="26" cm="1">
        <f t="array" ref="N692">IFERROR((K692-J692)/J692,"–")</f>
        <v>0.97198879551820716</v>
      </c>
      <c r="O692" s="24" cm="1">
        <f t="array" ref="O692">IF(D692=0,0,L692-K692)</f>
        <v>310.06426524160105</v>
      </c>
      <c r="P692" s="23"/>
      <c r="Q692" s="27"/>
    </row>
    <row r="693" spans="1:17" ht="22.5" customHeight="1">
      <c r="A693" s="16" t="s">
        <v>138</v>
      </c>
      <c r="B693" s="28">
        <v>44448</v>
      </c>
      <c r="C693" s="36">
        <v>12.3672</v>
      </c>
      <c r="D693" s="36">
        <v>12.662800000000001</v>
      </c>
      <c r="E693" s="30" cm="1">
        <f t="array" ref="E693">IF(D693="","",D693-C693)</f>
        <v>0.29560000000000031</v>
      </c>
      <c r="F693" s="31" cm="1">
        <f t="array" ref="F693">IF(D693=0,"",(D693-C693)/C693)</f>
        <v>2.3901934148392544E-2</v>
      </c>
      <c r="G693" s="32">
        <v>404.29</v>
      </c>
      <c r="H693" s="10">
        <v>1</v>
      </c>
      <c r="I693" s="11" cm="1">
        <f t="array" ref="I693">IF(D693="","",(G693*C693)*0.00075)</f>
        <v>3.7499514660000006</v>
      </c>
      <c r="J693" s="11" cm="1">
        <f t="array" ref="J693">IF(D693="","",(G693*D693)*0.00075)</f>
        <v>3.8395825590000006</v>
      </c>
      <c r="K693" s="33" cm="1">
        <f t="array" ref="K693">IF(D693="","",J693+I693)</f>
        <v>7.5895340250000007</v>
      </c>
      <c r="L693" s="33" cm="1">
        <f t="array" ref="L693">IF(D693=0,0,(D693-C693)*G693)</f>
        <v>119.50812400000014</v>
      </c>
      <c r="M693" s="12">
        <v>4876.5875814410001</v>
      </c>
      <c r="N693" s="34" cm="1">
        <f t="array" ref="N693">IFERROR((K693-J693)/J693,"–")</f>
        <v>0.97665603184129879</v>
      </c>
      <c r="O693" s="33" cm="1">
        <f t="array" ref="O693">IF(D693=0,0,L693-K693)</f>
        <v>111.91858997500013</v>
      </c>
      <c r="P693" s="11"/>
      <c r="Q693" s="35"/>
    </row>
    <row r="694" spans="1:17" ht="22.5" customHeight="1">
      <c r="A694" s="16" t="s">
        <v>138</v>
      </c>
      <c r="B694" s="17">
        <v>44448</v>
      </c>
      <c r="C694" s="37">
        <v>12.3672</v>
      </c>
      <c r="D694" s="37">
        <v>12.99</v>
      </c>
      <c r="E694" s="19" cm="1">
        <f t="array" ref="E694">IF(D694="","",D694-C694)</f>
        <v>0.6227999999999998</v>
      </c>
      <c r="F694" s="20" cm="1">
        <f t="array" ref="F694">IF(D694=0,"",(D694-C694)/C694)</f>
        <v>5.0359014166504928E-2</v>
      </c>
      <c r="G694" s="21">
        <v>303.22000000000003</v>
      </c>
      <c r="H694" s="22">
        <v>1</v>
      </c>
      <c r="I694" s="23" cm="1">
        <f t="array" ref="I694">IF(D694="","",(G694*C694)*0.00075)</f>
        <v>2.8124867880000002</v>
      </c>
      <c r="J694" s="23" cm="1">
        <f t="array" ref="J694">IF(D694="","",(G694*D694)*0.00075)</f>
        <v>2.9541208500000002</v>
      </c>
      <c r="K694" s="24" cm="1">
        <f t="array" ref="K694">IF(D694="","",J694+I694)</f>
        <v>5.766607638</v>
      </c>
      <c r="L694" s="24" cm="1">
        <f t="array" ref="L694">IF(D694=0,0,(D694-C694)*G694)</f>
        <v>188.84541599999994</v>
      </c>
      <c r="M694" s="25">
        <v>3558.1828471499998</v>
      </c>
      <c r="N694" s="26" cm="1">
        <f t="array" ref="N694">IFERROR((K694-J694)/J694,"–")</f>
        <v>0.95205542725173198</v>
      </c>
      <c r="O694" s="24" cm="1">
        <f t="array" ref="O694">IF(D694=0,0,L694-K694)</f>
        <v>183.07880836199993</v>
      </c>
      <c r="P694" s="23"/>
      <c r="Q694" s="27"/>
    </row>
    <row r="695" spans="1:17" ht="22.5" customHeight="1">
      <c r="A695" s="16" t="s">
        <v>138</v>
      </c>
      <c r="B695" s="28">
        <v>44448</v>
      </c>
      <c r="C695" s="36">
        <v>12.3672</v>
      </c>
      <c r="D695" s="36">
        <v>13.2</v>
      </c>
      <c r="E695" s="30" cm="1">
        <f t="array" ref="E695">IF(D695="","",D695-C695)</f>
        <v>0.83279999999999887</v>
      </c>
      <c r="F695" s="31" cm="1">
        <f t="array" ref="F695">IF(D695=0,"",(D695-C695)/C695)</f>
        <v>6.7339413933630798E-2</v>
      </c>
      <c r="G695" s="32">
        <v>909.66</v>
      </c>
      <c r="H695" s="10">
        <v>1</v>
      </c>
      <c r="I695" s="11" cm="1">
        <f t="array" ref="I695">IF(D695="","",(G695*C695)*0.00075)</f>
        <v>8.4374603640000014</v>
      </c>
      <c r="J695" s="11" cm="1">
        <f t="array" ref="J695">IF(D695="","",(G695*D695)*0.00075)</f>
        <v>9.0056339999999988</v>
      </c>
      <c r="K695" s="33" cm="1">
        <f t="array" ref="K695">IF(D695="","",J695+I695)</f>
        <v>17.443094364</v>
      </c>
      <c r="L695" s="33" cm="1">
        <f t="array" ref="L695">IF(D695=0,0,(D695-C695)*G695)</f>
        <v>757.56484799999896</v>
      </c>
      <c r="M695" s="12">
        <v>10483.37667</v>
      </c>
      <c r="N695" s="34" cm="1">
        <f t="array" ref="N695">IFERROR((K695-J695)/J695,"–")</f>
        <v>0.93690909090909125</v>
      </c>
      <c r="O695" s="33" cm="1">
        <f t="array" ref="O695">IF(D695=0,0,L695-K695)</f>
        <v>740.12175363599897</v>
      </c>
      <c r="P695" s="11"/>
      <c r="Q695" s="35"/>
    </row>
    <row r="696" spans="1:17" ht="22.5" customHeight="1">
      <c r="A696" s="16" t="s">
        <v>21</v>
      </c>
      <c r="B696" s="17">
        <v>44448</v>
      </c>
      <c r="C696" s="37">
        <v>5.2386549999999997E-2</v>
      </c>
      <c r="D696" s="37">
        <v>5.2499999999999998E-2</v>
      </c>
      <c r="E696" s="19" cm="1">
        <f t="array" ref="E696">IF(D696="","",D696-C696)</f>
        <v>1.1345000000000105E-4</v>
      </c>
      <c r="F696" s="20" cm="1">
        <f t="array" ref="F696">IF(D696=0,"",(D696-C696)/C696)</f>
        <v>2.1656322090307734E-3</v>
      </c>
      <c r="G696" s="21">
        <v>209977.5</v>
      </c>
      <c r="H696" s="22">
        <v>1</v>
      </c>
      <c r="I696" s="23" cm="1">
        <f t="array" ref="I696">IF(D696="","",(G696*C696)*0.00075)</f>
        <v>8.2499976019687491</v>
      </c>
      <c r="J696" s="23" cm="1">
        <f t="array" ref="J696">IF(D696="","",(G696*D696)*0.00075)</f>
        <v>8.2678640625000011</v>
      </c>
      <c r="K696" s="24" cm="1">
        <f t="array" ref="K696">IF(D696="","",J696+I696)</f>
        <v>16.51786166446875</v>
      </c>
      <c r="L696" s="24" cm="1">
        <f t="array" ref="L696">IF(D696=0,0,(D696-C696)*G696)</f>
        <v>23.821947375000221</v>
      </c>
      <c r="M696" s="25">
        <v>10967.906991187499</v>
      </c>
      <c r="N696" s="26" cm="1">
        <f t="array" ref="N696">IFERROR((K696-J696)/J696,"–")</f>
        <v>0.9978390476190474</v>
      </c>
      <c r="O696" s="24" cm="1">
        <f t="array" ref="O696">IF(D696=0,0,L696-K696)</f>
        <v>7.3040857105314707</v>
      </c>
      <c r="P696" s="23"/>
      <c r="Q696" s="27"/>
    </row>
    <row r="697" spans="1:17" ht="22.5" customHeight="1">
      <c r="A697" s="16" t="s">
        <v>21</v>
      </c>
      <c r="B697" s="28">
        <v>44448</v>
      </c>
      <c r="C697" s="36">
        <v>5.2386549999999997E-2</v>
      </c>
      <c r="D697" s="36">
        <v>5.2454000000000001E-2</v>
      </c>
      <c r="E697" s="30" cm="1">
        <f t="array" ref="E697">IF(D697="","",D697-C697)</f>
        <v>6.7450000000003618E-5</v>
      </c>
      <c r="F697" s="31" cm="1">
        <f t="array" ref="F697">IF(D697=0,"",(D697-C697)/C697)</f>
        <v>1.287544226523862E-3</v>
      </c>
      <c r="G697" s="32">
        <v>157483.1</v>
      </c>
      <c r="H697" s="10">
        <v>1</v>
      </c>
      <c r="I697" s="11" cm="1">
        <f t="array" ref="I697">IF(D697="","",(G697*C697)*0.00075)</f>
        <v>6.1874972192287503</v>
      </c>
      <c r="J697" s="11" cm="1">
        <f t="array" ref="J697">IF(D697="","",(G697*D697)*0.00075)</f>
        <v>6.1954638955499997</v>
      </c>
      <c r="K697" s="33" cm="1">
        <f t="array" ref="K697">IF(D697="","",J697+I697)</f>
        <v>12.38296111477875</v>
      </c>
      <c r="L697" s="33" cm="1">
        <f t="array" ref="L697">IF(D697=0,0,(D697-C697)*G697)</f>
        <v>10.622235095000571</v>
      </c>
      <c r="M697" s="12">
        <v>8233.1785933144492</v>
      </c>
      <c r="N697" s="34" cm="1">
        <f t="array" ref="N697">IFERROR((K697-J697)/J697,"–")</f>
        <v>0.99871411141190392</v>
      </c>
      <c r="O697" s="33" cm="1">
        <f t="array" ref="O697">IF(D697=0,0,L697-K697)</f>
        <v>-1.7607260197781791</v>
      </c>
      <c r="P697" s="11"/>
      <c r="Q697" s="35"/>
    </row>
    <row r="698" spans="1:17" ht="22.5" customHeight="1">
      <c r="A698" s="16" t="s">
        <v>21</v>
      </c>
      <c r="B698" s="17">
        <v>44448</v>
      </c>
      <c r="C698" s="37">
        <v>5.2386549999999997E-2</v>
      </c>
      <c r="D698" s="37">
        <v>5.2200000000000003E-2</v>
      </c>
      <c r="E698" s="19" cm="1">
        <f t="array" ref="E698">IF(D698="","",D698-C698)</f>
        <v>-1.8654999999999367E-4</v>
      </c>
      <c r="F698" s="20" cm="1">
        <f t="array" ref="F698">IF(D698=0,"",(D698-C698)/C698)</f>
        <v>-3.561028546449302E-3</v>
      </c>
      <c r="G698" s="21">
        <v>236224.8</v>
      </c>
      <c r="H698" s="22">
        <v>1</v>
      </c>
      <c r="I698" s="23" cm="1">
        <f t="array" ref="I698">IF(D698="","",(G698*C698)*0.00075)</f>
        <v>9.2812517223299995</v>
      </c>
      <c r="J698" s="23" cm="1">
        <f t="array" ref="J698">IF(D698="","",(G698*D698)*0.00075)</f>
        <v>9.2482009200000004</v>
      </c>
      <c r="K698" s="24" cm="1">
        <f t="array" ref="K698">IF(D698="","",J698+I698)</f>
        <v>18.52945264233</v>
      </c>
      <c r="L698" s="24" cm="1">
        <f t="array" ref="L698">IF(D698=0,0,(D698-C698)*G698)</f>
        <v>-44.067736439998498</v>
      </c>
      <c r="M698" s="25">
        <v>12409.82183196</v>
      </c>
      <c r="N698" s="26" cm="1">
        <f t="array" ref="N698">IFERROR((K698-J698)/J698,"–")</f>
        <v>1.003573754789272</v>
      </c>
      <c r="O698" s="24" cm="1">
        <f t="array" ref="O698">IF(D698=0,0,L698-K698)</f>
        <v>-62.597189082328498</v>
      </c>
      <c r="P698" s="23"/>
      <c r="Q698" s="27"/>
    </row>
    <row r="699" spans="1:17" ht="22.5" customHeight="1">
      <c r="A699" s="16" t="s">
        <v>21</v>
      </c>
      <c r="B699" s="28">
        <v>44448</v>
      </c>
      <c r="C699" s="36">
        <v>5.2386549999999997E-2</v>
      </c>
      <c r="D699" s="36">
        <v>5.1799999999999999E-2</v>
      </c>
      <c r="E699" s="30" cm="1">
        <f t="array" ref="E699">IF(D699="","",D699-C699)</f>
        <v>-5.8654999999999818E-4</v>
      </c>
      <c r="F699" s="31" cm="1">
        <f t="array" ref="F699">IF(D699=0,"",(D699-C699)/C699)</f>
        <v>-1.1196576220422956E-2</v>
      </c>
      <c r="G699" s="32">
        <v>236224.8</v>
      </c>
      <c r="H699" s="10">
        <v>1</v>
      </c>
      <c r="I699" s="11" cm="1">
        <f t="array" ref="I699">IF(D699="","",(G699*C699)*0.00075)</f>
        <v>9.2812517223299995</v>
      </c>
      <c r="J699" s="11" cm="1">
        <f t="array" ref="J699">IF(D699="","",(G699*D699)*0.00075)</f>
        <v>9.1773334799999997</v>
      </c>
      <c r="K699" s="33" cm="1">
        <f t="array" ref="K699">IF(D699="","",J699+I699)</f>
        <v>18.458585202329999</v>
      </c>
      <c r="L699" s="33" cm="1">
        <f t="array" ref="L699">IF(D699=0,0,(D699-C699)*G699)</f>
        <v>-138.55765643999956</v>
      </c>
      <c r="M699" s="12">
        <v>12504.382619399999</v>
      </c>
      <c r="N699" s="34" cm="1">
        <f t="array" ref="N699">IFERROR((K699-J699)/J699,"–")</f>
        <v>1.011323359073359</v>
      </c>
      <c r="O699" s="33" cm="1">
        <f t="array" ref="O699">IF(D699=0,0,L699-K699)</f>
        <v>-157.01624164232956</v>
      </c>
      <c r="P699" s="11"/>
      <c r="Q699" s="35"/>
    </row>
    <row r="700" spans="1:17" ht="22.5" customHeight="1">
      <c r="A700" s="16" t="s">
        <v>34</v>
      </c>
      <c r="B700" s="17">
        <v>44448</v>
      </c>
      <c r="C700" s="37">
        <v>0.34689999999999999</v>
      </c>
      <c r="D700" s="37">
        <v>0.33939999999999998</v>
      </c>
      <c r="E700" s="19" cm="1">
        <f t="array" ref="E700">IF(D700="","",D700-C700)</f>
        <v>-7.5000000000000067E-3</v>
      </c>
      <c r="F700" s="20" cm="1">
        <f t="array" ref="F700">IF(D700=0,"",(D700-C700)/C700)</f>
        <v>-2.1620063418852715E-2</v>
      </c>
      <c r="G700" s="21">
        <v>1750</v>
      </c>
      <c r="H700" s="22">
        <v>1</v>
      </c>
      <c r="I700" s="23" cm="1">
        <f t="array" ref="I700">IF(D700="","",(G700*C700)*0.00075)</f>
        <v>0.45530624999999997</v>
      </c>
      <c r="J700" s="23" cm="1">
        <f t="array" ref="J700">IF(D700="","",(G700*D700)*0.00075)</f>
        <v>0.44546249999999998</v>
      </c>
      <c r="K700" s="24" cm="1">
        <f t="array" ref="K700">IF(D700="","",J700+I700)</f>
        <v>0.9007687499999999</v>
      </c>
      <c r="L700" s="24" cm="1">
        <f t="array" ref="L700">IF(D700=0,0,(D700-C700)*G700)</f>
        <v>-13.125000000000012</v>
      </c>
      <c r="M700" s="25">
        <v>619.75453749999997</v>
      </c>
      <c r="N700" s="26" cm="1">
        <f t="array" ref="N700">IFERROR((K700-J700)/J700,"–")</f>
        <v>1.0220978196817911</v>
      </c>
      <c r="O700" s="24" cm="1">
        <f t="array" ref="O700">IF(D700=0,0,L700-K700)</f>
        <v>-14.025768750000012</v>
      </c>
      <c r="P700" s="23"/>
      <c r="Q700" s="27"/>
    </row>
    <row r="701" spans="1:17" ht="22.5" customHeight="1">
      <c r="A701" s="16" t="s">
        <v>107</v>
      </c>
      <c r="B701" s="42">
        <v>44449</v>
      </c>
      <c r="C701" s="36">
        <v>0.34849999999999998</v>
      </c>
      <c r="D701" s="36">
        <v>0.34799999999999998</v>
      </c>
      <c r="E701" s="30" cm="1">
        <f t="array" ref="E701">IF(D701="","",D701-C701)</f>
        <v>-5.0000000000000044E-4</v>
      </c>
      <c r="F701" s="31" cm="1">
        <f t="array" ref="F701">IF(D701=0,"",(D701-C701)/C701)</f>
        <v>-1.4347202295552381E-3</v>
      </c>
      <c r="G701" s="32">
        <v>20979</v>
      </c>
      <c r="H701" s="10">
        <v>1</v>
      </c>
      <c r="I701" s="11" cm="1">
        <f t="array" ref="I701">IF(D701="","",(G701*C701)*0.00075)</f>
        <v>5.483386125</v>
      </c>
      <c r="J701" s="11" cm="1">
        <f t="array" ref="J701">IF(D701="","",(G701*D701)*0.00075)</f>
        <v>5.4755189999999994</v>
      </c>
      <c r="K701" s="33" cm="1">
        <f t="array" ref="K701">IF(D701="","",J701+I701)</f>
        <v>10.958905124999999</v>
      </c>
      <c r="L701" s="33" cm="1">
        <f t="array" ref="L701">IF(D701=0,0,(D701-C701)*G701)</f>
        <v>-10.489500000000008</v>
      </c>
      <c r="M701" s="12">
        <v>7316.1954809999997</v>
      </c>
      <c r="N701" s="34" cm="1">
        <f t="array" ref="N701">IFERROR((K701-J701)/J701,"–")</f>
        <v>1.0014367816091956</v>
      </c>
      <c r="O701" s="33" cm="1">
        <f t="array" ref="O701">IF(D701=0,0,L701-K701)</f>
        <v>-21.448405125000008</v>
      </c>
      <c r="P701" s="11"/>
      <c r="Q701" s="35"/>
    </row>
    <row r="702" spans="1:17" ht="22.5" customHeight="1">
      <c r="A702" s="16" t="s">
        <v>107</v>
      </c>
      <c r="B702" s="43">
        <v>44449</v>
      </c>
      <c r="C702" s="37">
        <v>0.34849999999999998</v>
      </c>
      <c r="D702" s="37">
        <v>0.34799999999999998</v>
      </c>
      <c r="E702" s="19" cm="1">
        <f t="array" ref="E702">IF(D702="","",D702-C702)</f>
        <v>-5.0000000000000044E-4</v>
      </c>
      <c r="F702" s="20" cm="1">
        <f t="array" ref="F702">IF(D702=0,"",(D702-C702)/C702)</f>
        <v>-1.4347202295552381E-3</v>
      </c>
      <c r="G702" s="21">
        <v>15735</v>
      </c>
      <c r="H702" s="22">
        <v>1</v>
      </c>
      <c r="I702" s="23" cm="1">
        <f t="array" ref="I702">IF(D702="","",(G702*C702)*0.00075)</f>
        <v>4.112735625</v>
      </c>
      <c r="J702" s="23" cm="1">
        <f t="array" ref="J702">IF(D702="","",(G702*D702)*0.00075)</f>
        <v>4.1068350000000002</v>
      </c>
      <c r="K702" s="24" cm="1">
        <f t="array" ref="K702">IF(D702="","",J702+I702)</f>
        <v>8.2195706249999994</v>
      </c>
      <c r="L702" s="24" cm="1">
        <f t="array" ref="L702">IF(D702=0,0,(D702-C702)*G702)</f>
        <v>-7.8675000000000068</v>
      </c>
      <c r="M702" s="25">
        <v>5487.4081649999998</v>
      </c>
      <c r="N702" s="26" cm="1">
        <f t="array" ref="N702">IFERROR((K702-J702)/J702,"–")</f>
        <v>1.0014367816091951</v>
      </c>
      <c r="O702" s="24" cm="1">
        <f t="array" ref="O702">IF(D702=0,0,L702-K702)</f>
        <v>-16.087070625000006</v>
      </c>
      <c r="P702" s="23"/>
      <c r="Q702" s="27"/>
    </row>
    <row r="703" spans="1:17" ht="22.5" customHeight="1">
      <c r="A703" s="16" t="s">
        <v>107</v>
      </c>
      <c r="B703" s="42">
        <v>44449</v>
      </c>
      <c r="C703" s="36">
        <v>0.34849999999999998</v>
      </c>
      <c r="D703" s="36">
        <v>0.34849999999999998</v>
      </c>
      <c r="E703" s="30" cm="1">
        <f t="array" ref="E703">IF(D703="","",D703-C703)</f>
        <v>0</v>
      </c>
      <c r="F703" s="31" cm="1">
        <f t="array" ref="F703">IF(D703=0,"",(D703-C703)/C703)</f>
        <v>0</v>
      </c>
      <c r="G703" s="32">
        <v>41509</v>
      </c>
      <c r="H703" s="10">
        <v>1</v>
      </c>
      <c r="I703" s="11" cm="1">
        <f t="array" ref="I703">IF(D703="","",(G703*C703)*0.00075)</f>
        <v>10.849414874999999</v>
      </c>
      <c r="J703" s="11" cm="1">
        <f t="array" ref="J703">IF(D703="","",(G703*D703)*0.00075)</f>
        <v>10.849414874999999</v>
      </c>
      <c r="K703" s="33" cm="1">
        <f t="array" ref="K703">IF(D703="","",J703+I703)</f>
        <v>21.698829749999998</v>
      </c>
      <c r="L703" s="33" cm="1">
        <f t="array" ref="L703">IF(D703=0,0,(D703-C703)*G703)</f>
        <v>0</v>
      </c>
      <c r="M703" s="12">
        <v>14455.037085125001</v>
      </c>
      <c r="N703" s="34" cm="1">
        <f t="array" ref="N703">IFERROR((K703-J703)/J703,"–")</f>
        <v>1</v>
      </c>
      <c r="O703" s="33" cm="1">
        <f t="array" ref="O703">IF(D703=0,0,L703-K703)</f>
        <v>-21.698829749999998</v>
      </c>
      <c r="P703" s="11"/>
      <c r="Q703" s="35"/>
    </row>
    <row r="704" spans="1:17" ht="22.5" customHeight="1">
      <c r="A704" s="16" t="s">
        <v>107</v>
      </c>
      <c r="B704" s="43">
        <v>44449</v>
      </c>
      <c r="C704" s="37">
        <v>0.34849999999999998</v>
      </c>
      <c r="D704" s="37">
        <v>0.34799999999999998</v>
      </c>
      <c r="E704" s="19" cm="1">
        <f t="array" ref="E704">IF(D704="","",D704-C704)</f>
        <v>-5.0000000000000044E-4</v>
      </c>
      <c r="F704" s="20" cm="1">
        <f t="array" ref="F704">IF(D704=0,"",(D704-C704)/C704)</f>
        <v>-1.4347202295552381E-3</v>
      </c>
      <c r="G704" s="21">
        <v>27973</v>
      </c>
      <c r="H704" s="22">
        <v>1</v>
      </c>
      <c r="I704" s="23" cm="1">
        <f t="array" ref="I704">IF(D704="","",(G704*C704)*0.00075)</f>
        <v>7.311442875</v>
      </c>
      <c r="J704" s="23" cm="1">
        <f t="array" ref="J704">IF(D704="","",(G704*D704)*0.00075)</f>
        <v>7.3009529999999998</v>
      </c>
      <c r="K704" s="24" cm="1">
        <f t="array" ref="K704">IF(D704="","",J704+I704)</f>
        <v>14.612395875000001</v>
      </c>
      <c r="L704" s="24" cm="1">
        <f t="array" ref="L704">IF(D704=0,0,(D704-C704)*G704)</f>
        <v>-13.986500000000012</v>
      </c>
      <c r="M704" s="25">
        <v>9755.2760469999994</v>
      </c>
      <c r="N704" s="26" cm="1">
        <f t="array" ref="N704">IFERROR((K704-J704)/J704,"–")</f>
        <v>1.0014367816091956</v>
      </c>
      <c r="O704" s="24" cm="1">
        <f t="array" ref="O704">IF(D704=0,0,L704-K704)</f>
        <v>-28.598895875000011</v>
      </c>
      <c r="P704" s="23"/>
      <c r="Q704" s="27"/>
    </row>
    <row r="705" spans="1:17" ht="22.5" customHeight="1">
      <c r="A705" s="16" t="s">
        <v>107</v>
      </c>
      <c r="B705" s="42">
        <v>44449</v>
      </c>
      <c r="C705" s="36">
        <v>0.34849999999999998</v>
      </c>
      <c r="D705" s="36">
        <v>0.34749999999999998</v>
      </c>
      <c r="E705" s="30" cm="1">
        <f t="array" ref="E705">IF(D705="","",D705-C705)</f>
        <v>-1.0000000000000009E-3</v>
      </c>
      <c r="F705" s="31" cm="1">
        <f t="array" ref="F705">IF(D705=0,"",(D705-C705)/C705)</f>
        <v>-2.8694404591104762E-3</v>
      </c>
      <c r="G705" s="32">
        <v>5696</v>
      </c>
      <c r="H705" s="10">
        <v>1</v>
      </c>
      <c r="I705" s="11" cm="1">
        <f t="array" ref="I705">IF(D705="","",(G705*C705)*0.00075)</f>
        <v>1.4887919999999999</v>
      </c>
      <c r="J705" s="11" cm="1">
        <f t="array" ref="J705">IF(D705="","",(G705*D705)*0.00075)</f>
        <v>1.4845200000000001</v>
      </c>
      <c r="K705" s="33" cm="1">
        <f t="array" ref="K705">IF(D705="","",J705+I705)</f>
        <v>2.973312</v>
      </c>
      <c r="L705" s="33" cm="1">
        <f t="array" ref="L705">IF(D705=0,0,(D705-C705)*G705)</f>
        <v>-5.6960000000000051</v>
      </c>
      <c r="M705" s="12">
        <v>1989.26748</v>
      </c>
      <c r="N705" s="34" cm="1">
        <f t="array" ref="N705">IFERROR((K705-J705)/J705,"–")</f>
        <v>1.0028776978417264</v>
      </c>
      <c r="O705" s="33" cm="1">
        <f t="array" ref="O705">IF(D705=0,0,L705-K705)</f>
        <v>-8.669312000000005</v>
      </c>
      <c r="P705" s="11"/>
      <c r="Q705" s="35"/>
    </row>
    <row r="706" spans="1:17" ht="22.5" customHeight="1">
      <c r="A706" s="16" t="s">
        <v>43</v>
      </c>
      <c r="B706" s="43">
        <v>44450</v>
      </c>
      <c r="C706" s="37">
        <v>0.89990000000000003</v>
      </c>
      <c r="D706" s="37">
        <v>0.88919999999999999</v>
      </c>
      <c r="E706" s="19" cm="1">
        <f t="array" ref="E706">IF(D706="","",D706-C706)</f>
        <v>-1.0700000000000043E-2</v>
      </c>
      <c r="F706" s="20" cm="1">
        <f t="array" ref="F706">IF(D706=0,"",(D706-C706)/C706)</f>
        <v>-1.1890210023335974E-2</v>
      </c>
      <c r="G706" s="21">
        <v>5000</v>
      </c>
      <c r="H706" s="22">
        <v>1</v>
      </c>
      <c r="I706" s="23" cm="1">
        <f t="array" ref="I706">IF(D706="","",(G706*C706)*0.00075)</f>
        <v>3.374625</v>
      </c>
      <c r="J706" s="23" cm="1">
        <f t="array" ref="J706">IF(D706="","",(G706*D706)*0.00075)</f>
        <v>3.3345000000000002</v>
      </c>
      <c r="K706" s="24" cm="1">
        <f t="array" ref="K706">IF(D706="","",J706+I706)</f>
        <v>6.7091250000000002</v>
      </c>
      <c r="L706" s="24" cm="1">
        <f t="array" ref="L706">IF(D706=0,0,(D706-C706)*G706)</f>
        <v>-53.500000000000213</v>
      </c>
      <c r="M706" s="25">
        <v>4549.6655000000001</v>
      </c>
      <c r="N706" s="26" cm="1">
        <f t="array" ref="N706">IFERROR((K706-J706)/J706,"–")</f>
        <v>1.0120332883490777</v>
      </c>
      <c r="O706" s="24" cm="1">
        <f t="array" ref="O706">IF(D706=0,0,L706-K706)</f>
        <v>-60.209125000000213</v>
      </c>
      <c r="P706" s="23"/>
      <c r="Q706" s="27"/>
    </row>
    <row r="707" spans="1:17" ht="22.5" customHeight="1">
      <c r="A707" s="16" t="s">
        <v>140</v>
      </c>
      <c r="B707" s="42">
        <v>44450</v>
      </c>
      <c r="C707" s="36">
        <v>15.904</v>
      </c>
      <c r="D707" s="36">
        <v>14.87</v>
      </c>
      <c r="E707" s="30" cm="1">
        <f t="array" ref="E707">IF(D707="","",D707-C707)</f>
        <v>-1.0340000000000007</v>
      </c>
      <c r="F707" s="31" cm="1">
        <f t="array" ref="F707">IF(D707=0,"",(D707-C707)/C707)</f>
        <v>-6.5015090543259602E-2</v>
      </c>
      <c r="G707" s="32">
        <v>550.1</v>
      </c>
      <c r="H707" s="10">
        <v>1</v>
      </c>
      <c r="I707" s="11" cm="1">
        <f t="array" ref="I707">IF(D707="","",(G707*C707)*0.00075)</f>
        <v>6.5615927999999997</v>
      </c>
      <c r="J707" s="11" cm="1">
        <f t="array" ref="J707">IF(D707="","",(G707*D707)*0.00075)</f>
        <v>6.1349902500000004</v>
      </c>
      <c r="K707" s="33" cm="1">
        <f t="array" ref="K707">IF(D707="","",J707+I707)</f>
        <v>12.696583050000001</v>
      </c>
      <c r="L707" s="33" cm="1">
        <f t="array" ref="L707">IF(D707=0,0,(D707-C707)*G707)</f>
        <v>-568.80340000000035</v>
      </c>
      <c r="M707" s="12">
        <v>9311.45880975</v>
      </c>
      <c r="N707" s="34" cm="1">
        <f t="array" ref="N707">IFERROR((K707-J707)/J707,"–")</f>
        <v>1.0695359784801615</v>
      </c>
      <c r="O707" s="33" cm="1">
        <f t="array" ref="O707">IF(D707=0,0,L707-K707)</f>
        <v>-581.49998305000031</v>
      </c>
      <c r="P707" s="11"/>
      <c r="Q707" s="35"/>
    </row>
    <row r="708" spans="1:17" ht="22.5" customHeight="1">
      <c r="A708" s="16" t="s">
        <v>140</v>
      </c>
      <c r="B708" s="43">
        <v>44450</v>
      </c>
      <c r="C708" s="37">
        <v>15.907999999999999</v>
      </c>
      <c r="D708" s="37">
        <v>14.87</v>
      </c>
      <c r="E708" s="19" cm="1">
        <f t="array" ref="E708">IF(D708="","",D708-C708)</f>
        <v>-1.0380000000000003</v>
      </c>
      <c r="F708" s="20" cm="1">
        <f t="array" ref="F708">IF(D708=0,"",(D708-C708)/C708)</f>
        <v>-6.5250188584360089E-2</v>
      </c>
      <c r="G708" s="21">
        <v>7</v>
      </c>
      <c r="H708" s="22">
        <v>1</v>
      </c>
      <c r="I708" s="23" cm="1">
        <f t="array" ref="I708">IF(D708="","",(G708*C708)*0.00075)</f>
        <v>8.3516999999999994E-2</v>
      </c>
      <c r="J708" s="23" cm="1">
        <f t="array" ref="J708">IF(D708="","",(G708*D708)*0.00075)</f>
        <v>7.8067499999999998E-2</v>
      </c>
      <c r="K708" s="24" cm="1">
        <f t="array" ref="K708">IF(D708="","",J708+I708)</f>
        <v>0.16158449999999999</v>
      </c>
      <c r="L708" s="24" cm="1">
        <f t="array" ref="L708">IF(D708=0,0,(D708-C708)*G708)</f>
        <v>-7.2660000000000018</v>
      </c>
      <c r="M708" s="25">
        <v>118.5439325</v>
      </c>
      <c r="N708" s="26" cm="1">
        <f t="array" ref="N708">IFERROR((K708-J708)/J708,"–")</f>
        <v>1.0698049764626765</v>
      </c>
      <c r="O708" s="24" cm="1">
        <f t="array" ref="O708">IF(D708=0,0,L708-K708)</f>
        <v>-7.4275845000000018</v>
      </c>
      <c r="P708" s="23"/>
      <c r="Q708" s="27"/>
    </row>
    <row r="709" spans="1:17" ht="22.5" customHeight="1">
      <c r="A709" s="16" t="s">
        <v>93</v>
      </c>
      <c r="B709" s="42">
        <v>44450</v>
      </c>
      <c r="C709" s="36">
        <v>4.2104999999999997</v>
      </c>
      <c r="D709" s="36">
        <v>4.2</v>
      </c>
      <c r="E709" s="30" cm="1">
        <f t="array" ref="E709">IF(D709="","",D709-C709)</f>
        <v>-1.049999999999951E-2</v>
      </c>
      <c r="F709" s="31" cm="1">
        <f t="array" ref="F709">IF(D709=0,"",(D709-C709)/C709)</f>
        <v>-2.4937655860347964E-3</v>
      </c>
      <c r="G709" s="32">
        <v>7125</v>
      </c>
      <c r="H709" s="10">
        <v>1</v>
      </c>
      <c r="I709" s="11" cm="1">
        <f t="array" ref="I709">IF(D709="","",(G709*C709)*0.00075)</f>
        <v>22.499859374999996</v>
      </c>
      <c r="J709" s="11" cm="1">
        <f t="array" ref="J709">IF(D709="","",(G709*D709)*0.00075)</f>
        <v>22.443750000000001</v>
      </c>
      <c r="K709" s="33" cm="1">
        <f t="array" ref="K709">IF(D709="","",J709+I709)</f>
        <v>44.943609374999994</v>
      </c>
      <c r="L709" s="33" cm="1">
        <f t="array" ref="L709">IF(D709=0,0,(D709-C709)*G709)</f>
        <v>-74.812499999996504</v>
      </c>
      <c r="M709" s="12">
        <v>30052.181250000001</v>
      </c>
      <c r="N709" s="34" cm="1">
        <f t="array" ref="N709">IFERROR((K709-J709)/J709,"–")</f>
        <v>1.0024999999999995</v>
      </c>
      <c r="O709" s="33" cm="1">
        <f t="array" ref="O709">IF(D709=0,0,L709-K709)</f>
        <v>-119.7561093749965</v>
      </c>
      <c r="P709" s="11"/>
      <c r="Q709" s="35"/>
    </row>
    <row r="710" spans="1:17" ht="22.5" customHeight="1">
      <c r="A710" s="16" t="s">
        <v>138</v>
      </c>
      <c r="B710" s="43">
        <v>44451</v>
      </c>
      <c r="C710" s="37">
        <v>12.3</v>
      </c>
      <c r="D710" s="37">
        <v>15</v>
      </c>
      <c r="E710" s="19" cm="1">
        <f t="array" ref="E710">IF(D710="","",D710-C710)</f>
        <v>2.6999999999999993</v>
      </c>
      <c r="F710" s="20" cm="1">
        <f t="array" ref="F710">IF(D710=0,"",(D710-C710)/C710)</f>
        <v>0.21951219512195114</v>
      </c>
      <c r="G710" s="21">
        <v>250</v>
      </c>
      <c r="H710" s="22">
        <v>1</v>
      </c>
      <c r="I710" s="23" cm="1">
        <f t="array" ref="I710">IF(D710="","",(G710*C710)*0.00075)</f>
        <v>2.3062499999999999</v>
      </c>
      <c r="J710" s="23" cm="1">
        <f t="array" ref="J710">IF(D710="","",(G710*D710)*0.00075)</f>
        <v>2.8125</v>
      </c>
      <c r="K710" s="24" cm="1">
        <f t="array" ref="K710">IF(D710="","",J710+I710)</f>
        <v>5.1187500000000004</v>
      </c>
      <c r="L710" s="24" cm="1">
        <f t="array" ref="L710">IF(D710=0,0,(D710-C710)*G710)</f>
        <v>674.99999999999977</v>
      </c>
      <c r="M710" s="25">
        <v>2397.1875</v>
      </c>
      <c r="N710" s="26" cm="1">
        <f t="array" ref="N710">IFERROR((K710-J710)/J710,"–")</f>
        <v>0.82000000000000017</v>
      </c>
      <c r="O710" s="24" cm="1">
        <f t="array" ref="O710">IF(D710=0,0,L710-K710)</f>
        <v>669.8812499999998</v>
      </c>
      <c r="P710" s="23"/>
      <c r="Q710" s="27"/>
    </row>
    <row r="711" spans="1:17" ht="22.5" customHeight="1">
      <c r="A711" s="16" t="s">
        <v>138</v>
      </c>
      <c r="B711" s="42">
        <v>44451</v>
      </c>
      <c r="C711" s="36">
        <v>12.3</v>
      </c>
      <c r="D711" s="36">
        <v>15.7</v>
      </c>
      <c r="E711" s="30" cm="1">
        <f t="array" ref="E711">IF(D711="","",D711-C711)</f>
        <v>3.3999999999999986</v>
      </c>
      <c r="F711" s="31" cm="1">
        <f t="array" ref="F711">IF(D711=0,"",(D711-C711)/C711)</f>
        <v>0.27642276422764217</v>
      </c>
      <c r="G711" s="32">
        <v>250</v>
      </c>
      <c r="H711" s="10">
        <v>1</v>
      </c>
      <c r="I711" s="11" cm="1">
        <f t="array" ref="I711">IF(D711="","",(G711*C711)*0.00075)</f>
        <v>2.3062499999999999</v>
      </c>
      <c r="J711" s="11" cm="1">
        <f t="array" ref="J711">IF(D711="","",(G711*D711)*0.00075)</f>
        <v>2.9437500000000001</v>
      </c>
      <c r="K711" s="33" cm="1">
        <f t="array" ref="K711">IF(D711="","",J711+I711)</f>
        <v>5.25</v>
      </c>
      <c r="L711" s="33" cm="1">
        <f t="array" ref="L711">IF(D711=0,0,(D711-C711)*G711)</f>
        <v>849.99999999999966</v>
      </c>
      <c r="M711" s="12">
        <v>2222.0562500000001</v>
      </c>
      <c r="N711" s="34" cm="1">
        <f t="array" ref="N711">IFERROR((K711-J711)/J711,"–")</f>
        <v>0.78343949044585981</v>
      </c>
      <c r="O711" s="33" cm="1">
        <f t="array" ref="O711">IF(D711=0,0,L711-K711)</f>
        <v>844.74999999999966</v>
      </c>
      <c r="P711" s="11"/>
      <c r="Q711" s="35"/>
    </row>
    <row r="712" spans="1:17" ht="22.5" customHeight="1">
      <c r="A712" s="16" t="s">
        <v>172</v>
      </c>
      <c r="B712" s="43">
        <v>44452</v>
      </c>
      <c r="C712" s="37">
        <v>206.04</v>
      </c>
      <c r="D712" s="37">
        <v>211.5</v>
      </c>
      <c r="E712" s="19" cm="1">
        <f t="array" ref="E712">IF(D712="","",D712-C712)</f>
        <v>5.460000000000008</v>
      </c>
      <c r="F712" s="20" cm="1">
        <f t="array" ref="F712">IF(D712=0,"",(D712-C712)/C712)</f>
        <v>2.6499708794408893E-2</v>
      </c>
      <c r="G712" s="21">
        <v>46.1</v>
      </c>
      <c r="H712" s="22">
        <v>1</v>
      </c>
      <c r="I712" s="23" cm="1">
        <f t="array" ref="I712">IF(D712="","",(G712*C712)*0.00075)</f>
        <v>7.1238329999999994</v>
      </c>
      <c r="J712" s="23" cm="1">
        <f t="array" ref="J712">IF(D712="","",(G712*D712)*0.00075)</f>
        <v>7.3126125000000002</v>
      </c>
      <c r="K712" s="24" cm="1">
        <f t="array" ref="K712">IF(D712="","",J712+I712)</f>
        <v>14.4364455</v>
      </c>
      <c r="L712" s="24" cm="1">
        <f t="array" ref="L712">IF(D712=0,0,(D712-C712)*G712)</f>
        <v>251.70600000000039</v>
      </c>
      <c r="M712" s="25">
        <v>9239.4253874999995</v>
      </c>
      <c r="N712" s="26" cm="1">
        <f t="array" ref="N712">IFERROR((K712-J712)/J712,"–")</f>
        <v>0.97418439716312044</v>
      </c>
      <c r="O712" s="24" cm="1">
        <f t="array" ref="O712">IF(D712=0,0,L712-K712)</f>
        <v>237.2695545000004</v>
      </c>
      <c r="P712" s="23"/>
      <c r="Q712" s="27"/>
    </row>
    <row r="713" spans="1:17" ht="22.5" customHeight="1">
      <c r="A713" s="16" t="s">
        <v>172</v>
      </c>
      <c r="B713" s="42">
        <v>44452</v>
      </c>
      <c r="C713" s="36">
        <v>206.04</v>
      </c>
      <c r="D713" s="36">
        <v>213.2</v>
      </c>
      <c r="E713" s="30" cm="1">
        <f t="array" ref="E713">IF(D713="","",D713-C713)</f>
        <v>7.1599999999999966</v>
      </c>
      <c r="F713" s="31" cm="1">
        <f t="array" ref="F713">IF(D713=0,"",(D713-C713)/C713)</f>
        <v>3.4750533876917088E-2</v>
      </c>
      <c r="G713" s="32">
        <v>34.579000000000001</v>
      </c>
      <c r="H713" s="10">
        <v>1</v>
      </c>
      <c r="I713" s="11" cm="1">
        <f t="array" ref="I713">IF(D713="","",(G713*C713)*0.00075)</f>
        <v>5.3434928699999995</v>
      </c>
      <c r="J713" s="11" cm="1">
        <f t="array" ref="J713">IF(D713="","",(G713*D713)*0.00075)</f>
        <v>5.5291820999999999</v>
      </c>
      <c r="K713" s="33" cm="1">
        <f t="array" ref="K713">IF(D713="","",J713+I713)</f>
        <v>10.872674969999998</v>
      </c>
      <c r="L713" s="33" cm="1">
        <f t="array" ref="L713">IF(D713=0,0,(D713-C713)*G713)</f>
        <v>247.5856399999999</v>
      </c>
      <c r="M713" s="12">
        <v>6871.5423379000003</v>
      </c>
      <c r="N713" s="34" cm="1">
        <f t="array" ref="N713">IFERROR((K713-J713)/J713,"–")</f>
        <v>0.96641651031894915</v>
      </c>
      <c r="O713" s="33" cm="1">
        <f t="array" ref="O713">IF(D713=0,0,L713-K713)</f>
        <v>236.71296502999991</v>
      </c>
      <c r="P713" s="11"/>
      <c r="Q713" s="35"/>
    </row>
    <row r="714" spans="1:17" ht="22.5" customHeight="1">
      <c r="A714" s="16" t="s">
        <v>172</v>
      </c>
      <c r="B714" s="43">
        <v>44452</v>
      </c>
      <c r="C714" s="37">
        <v>206.04</v>
      </c>
      <c r="D714" s="37">
        <v>211.53800000000001</v>
      </c>
      <c r="E714" s="19" cm="1">
        <f t="array" ref="E714">IF(D714="","",D714-C714)</f>
        <v>5.4980000000000189</v>
      </c>
      <c r="F714" s="20" cm="1">
        <f t="array" ref="F714">IF(D714=0,"",(D714-C714)/C714)</f>
        <v>2.66841390021356E-2</v>
      </c>
      <c r="G714" s="21">
        <v>51.869</v>
      </c>
      <c r="H714" s="22">
        <v>1</v>
      </c>
      <c r="I714" s="23" cm="1">
        <f t="array" ref="I714">IF(D714="","",(G714*C714)*0.00075)</f>
        <v>8.0153165699999995</v>
      </c>
      <c r="J714" s="23" cm="1">
        <f t="array" ref="J714">IF(D714="","",(G714*D714)*0.00075)</f>
        <v>8.2291983915000007</v>
      </c>
      <c r="K714" s="24" cm="1">
        <f t="array" ref="K714">IF(D714="","",J714+I714)</f>
        <v>16.244514961500002</v>
      </c>
      <c r="L714" s="24" cm="1">
        <f t="array" ref="L714">IF(D714=0,0,(D714-C714)*G714)</f>
        <v>285.17576200000099</v>
      </c>
      <c r="M714" s="25">
        <v>10393.6837996085</v>
      </c>
      <c r="N714" s="26" cm="1">
        <f t="array" ref="N714">IFERROR((K714-J714)/J714,"–")</f>
        <v>0.97400939783868623</v>
      </c>
      <c r="O714" s="24" cm="1">
        <f t="array" ref="O714">IF(D714=0,0,L714-K714)</f>
        <v>268.931247038501</v>
      </c>
      <c r="P714" s="23"/>
      <c r="Q714" s="27"/>
    </row>
    <row r="715" spans="1:17" ht="22.5" customHeight="1">
      <c r="A715" s="16" t="s">
        <v>172</v>
      </c>
      <c r="B715" s="42">
        <v>44452</v>
      </c>
      <c r="C715" s="36">
        <v>206.04</v>
      </c>
      <c r="D715" s="36">
        <v>218</v>
      </c>
      <c r="E715" s="30" cm="1">
        <f t="array" ref="E715">IF(D715="","",D715-C715)</f>
        <v>11.960000000000008</v>
      </c>
      <c r="F715" s="31" cm="1">
        <f t="array" ref="F715">IF(D715=0,"",(D715-C715)/C715)</f>
        <v>5.8046981168705145E-2</v>
      </c>
      <c r="G715" s="32">
        <v>51.869</v>
      </c>
      <c r="H715" s="10">
        <v>1</v>
      </c>
      <c r="I715" s="11" cm="1">
        <f t="array" ref="I715">IF(D715="","",(G715*C715)*0.00075)</f>
        <v>8.0153165699999995</v>
      </c>
      <c r="J715" s="11" cm="1">
        <f t="array" ref="J715">IF(D715="","",(G715*D715)*0.00075)</f>
        <v>8.4805814999999996</v>
      </c>
      <c r="K715" s="33" cm="1">
        <f t="array" ref="K715">IF(D715="","",J715+I715)</f>
        <v>16.495898069999999</v>
      </c>
      <c r="L715" s="33" cm="1">
        <f t="array" ref="L715">IF(D715=0,0,(D715-C715)*G715)</f>
        <v>620.35324000000037</v>
      </c>
      <c r="M715" s="12">
        <v>10058.2549385</v>
      </c>
      <c r="N715" s="34" cm="1">
        <f t="array" ref="N715">IFERROR((K715-J715)/J715,"–")</f>
        <v>0.94513761467889912</v>
      </c>
      <c r="O715" s="33" cm="1">
        <f t="array" ref="O715">IF(D715=0,0,L715-K715)</f>
        <v>603.85734193000042</v>
      </c>
      <c r="P715" s="11"/>
      <c r="Q715" s="35"/>
    </row>
    <row r="716" spans="1:17" ht="22.5" customHeight="1">
      <c r="A716" s="16" t="s">
        <v>34</v>
      </c>
      <c r="B716" s="43">
        <v>44453</v>
      </c>
      <c r="C716" s="37">
        <v>0.33729999999999999</v>
      </c>
      <c r="D716" s="37">
        <v>0.34</v>
      </c>
      <c r="E716" s="19" cm="1">
        <f t="array" ref="E716">IF(D716="","",D716-C716)</f>
        <v>2.7000000000000357E-3</v>
      </c>
      <c r="F716" s="20" cm="1">
        <f t="array" ref="F716">IF(D716=0,"",(D716-C716)/C716)</f>
        <v>8.0047435517344671E-3</v>
      </c>
      <c r="G716" s="21">
        <v>9293</v>
      </c>
      <c r="H716" s="22">
        <v>1</v>
      </c>
      <c r="I716" s="23" cm="1">
        <f t="array" ref="I716">IF(D716="","",(G716*C716)*0.00075)</f>
        <v>2.350896675</v>
      </c>
      <c r="J716" s="23" cm="1">
        <f t="array" ref="J716">IF(D716="","",(G716*D716)*0.00075)</f>
        <v>2.3697150000000002</v>
      </c>
      <c r="K716" s="24" cm="1">
        <f t="array" ref="K716">IF(D716="","",J716+I716)</f>
        <v>4.7206116750000007</v>
      </c>
      <c r="L716" s="24" cm="1">
        <f t="array" ref="L716">IF(D716=0,0,(D716-C716)*G716)</f>
        <v>25.091100000000331</v>
      </c>
      <c r="M716" s="25">
        <v>3107.0680849999999</v>
      </c>
      <c r="N716" s="26" cm="1">
        <f t="array" ref="N716">IFERROR((K716-J716)/J716,"–")</f>
        <v>0.99205882352941188</v>
      </c>
      <c r="O716" s="24" cm="1">
        <f t="array" ref="O716">IF(D716=0,0,L716-K716)</f>
        <v>20.370488325000331</v>
      </c>
      <c r="P716" s="23"/>
      <c r="Q716" s="27"/>
    </row>
    <row r="717" spans="1:17" ht="22.5" customHeight="1">
      <c r="A717" s="16" t="s">
        <v>34</v>
      </c>
      <c r="B717" s="42">
        <v>44453</v>
      </c>
      <c r="C717" s="36">
        <v>0.33729999999999999</v>
      </c>
      <c r="D717" s="36">
        <v>0.33660000000000001</v>
      </c>
      <c r="E717" s="30" cm="1">
        <f t="array" ref="E717">IF(D717="","",D717-C717)</f>
        <v>-6.9999999999997842E-4</v>
      </c>
      <c r="F717" s="31" cm="1">
        <f t="array" ref="F717">IF(D717=0,"",(D717-C717)/C717)</f>
        <v>-2.0753038837829185E-3</v>
      </c>
      <c r="G717" s="32">
        <v>23348</v>
      </c>
      <c r="H717" s="10">
        <v>1</v>
      </c>
      <c r="I717" s="11" cm="1">
        <f t="array" ref="I717">IF(D717="","",(G717*C717)*0.00075)</f>
        <v>5.9064603</v>
      </c>
      <c r="J717" s="11" cm="1">
        <f t="array" ref="J717">IF(D717="","",(G717*D717)*0.00075)</f>
        <v>5.8942026000000007</v>
      </c>
      <c r="K717" s="33" cm="1">
        <f t="array" ref="K717">IF(D717="","",J717+I717)</f>
        <v>11.800662900000001</v>
      </c>
      <c r="L717" s="33" cm="1">
        <f t="array" ref="L717">IF(D717=0,0,(D717-C717)*G717)</f>
        <v>-16.343599999999498</v>
      </c>
      <c r="M717" s="12">
        <v>7885.7297974000003</v>
      </c>
      <c r="N717" s="34" cm="1">
        <f t="array" ref="N717">IFERROR((K717-J717)/J717,"–")</f>
        <v>1.0020796197266784</v>
      </c>
      <c r="O717" s="33" cm="1">
        <f t="array" ref="O717">IF(D717=0,0,L717-K717)</f>
        <v>-28.144262899999497</v>
      </c>
      <c r="P717" s="11"/>
      <c r="Q717" s="35"/>
    </row>
    <row r="718" spans="1:17" ht="22.5" customHeight="1">
      <c r="A718" s="16" t="s">
        <v>34</v>
      </c>
      <c r="B718" s="43">
        <v>44453</v>
      </c>
      <c r="C718" s="37">
        <v>0.33779999999999999</v>
      </c>
      <c r="D718" s="37">
        <v>0.33729999999999999</v>
      </c>
      <c r="E718" s="19" cm="1">
        <f t="array" ref="E718">IF(D718="","",D718-C718)</f>
        <v>-5.0000000000000044E-4</v>
      </c>
      <c r="F718" s="20" cm="1">
        <f t="array" ref="F718">IF(D718=0,"",(D718-C718)/C718)</f>
        <v>-1.4801657785672008E-3</v>
      </c>
      <c r="G718" s="21">
        <v>2023</v>
      </c>
      <c r="H718" s="22">
        <v>1</v>
      </c>
      <c r="I718" s="23" cm="1">
        <f t="array" ref="I718">IF(D718="","",(G718*C718)*0.00075)</f>
        <v>0.51252704999999998</v>
      </c>
      <c r="J718" s="23" cm="1">
        <f t="array" ref="J718">IF(D718="","",(G718*D718)*0.00075)</f>
        <v>0.51176842499999997</v>
      </c>
      <c r="K718" s="24" cm="1">
        <f t="array" ref="K718">IF(D718="","",J718+I718)</f>
        <v>1.024295475</v>
      </c>
      <c r="L718" s="24" cm="1">
        <f t="array" ref="L718">IF(D718=0,0,(D718-C718)*G718)</f>
        <v>-1.011500000000001</v>
      </c>
      <c r="M718" s="25">
        <v>683.86913157499998</v>
      </c>
      <c r="N718" s="26" cm="1">
        <f t="array" ref="N718">IFERROR((K718-J718)/J718,"–")</f>
        <v>1.001482359916988</v>
      </c>
      <c r="O718" s="24" cm="1">
        <f t="array" ref="O718">IF(D718=0,0,L718-K718)</f>
        <v>-2.0357954750000009</v>
      </c>
      <c r="P718" s="23"/>
      <c r="Q718" s="27"/>
    </row>
    <row r="719" spans="1:17" ht="22.5" customHeight="1">
      <c r="A719" s="16" t="s">
        <v>19</v>
      </c>
      <c r="B719" s="42">
        <v>44453</v>
      </c>
      <c r="C719" s="36">
        <v>1.1871</v>
      </c>
      <c r="D719" s="36">
        <v>1.1738</v>
      </c>
      <c r="E719" s="30" cm="1">
        <f t="array" ref="E719">IF(D719="","",D719-C719)</f>
        <v>-1.330000000000009E-2</v>
      </c>
      <c r="F719" s="31" cm="1">
        <f t="array" ref="F719">IF(D719=0,"",(D719-C719)/C719)</f>
        <v>-1.1203773902788382E-2</v>
      </c>
      <c r="G719" s="32">
        <v>29482.400000000001</v>
      </c>
      <c r="H719" s="10">
        <v>1</v>
      </c>
      <c r="I719" s="11" cm="1">
        <f t="array" ref="I719">IF(D719="","",(G719*C719)*0.00075)</f>
        <v>26.248917779999999</v>
      </c>
      <c r="J719" s="11" cm="1">
        <f t="array" ref="J719">IF(D719="","",(G719*D719)*0.00075)</f>
        <v>25.954830840000003</v>
      </c>
      <c r="K719" s="33" cm="1">
        <f t="array" ref="K719">IF(D719="","",J719+I719)</f>
        <v>52.203748619999999</v>
      </c>
      <c r="L719" s="33" cm="1">
        <f t="array" ref="L719">IF(D719=0,0,(D719-C719)*G719)</f>
        <v>-392.11592000000263</v>
      </c>
      <c r="M719" s="12">
        <v>35364.718129159999</v>
      </c>
      <c r="N719" s="34" cm="1">
        <f t="array" ref="N719">IFERROR((K719-J719)/J719,"–")</f>
        <v>1.0113307207360707</v>
      </c>
      <c r="O719" s="33" cm="1">
        <f t="array" ref="O719">IF(D719=0,0,L719-K719)</f>
        <v>-444.31966862000263</v>
      </c>
      <c r="P719" s="11"/>
      <c r="Q719" s="35"/>
    </row>
    <row r="720" spans="1:17" ht="22.5" customHeight="1">
      <c r="A720" s="16" t="s">
        <v>19</v>
      </c>
      <c r="B720" s="43">
        <v>44453</v>
      </c>
      <c r="C720" s="37">
        <v>1.1871</v>
      </c>
      <c r="D720" s="37">
        <v>1.173</v>
      </c>
      <c r="E720" s="19" cm="1">
        <f t="array" ref="E720">IF(D720="","",D720-C720)</f>
        <v>-1.4100000000000001E-2</v>
      </c>
      <c r="F720" s="20" cm="1">
        <f t="array" ref="F720">IF(D720=0,"",(D720-C720)/C720)</f>
        <v>-1.1877685114986101E-2</v>
      </c>
      <c r="G720" s="21">
        <v>1071</v>
      </c>
      <c r="H720" s="22">
        <v>1</v>
      </c>
      <c r="I720" s="23" cm="1">
        <f t="array" ref="I720">IF(D720="","",(G720*C720)*0.00075)</f>
        <v>0.95353807499999998</v>
      </c>
      <c r="J720" s="23" cm="1">
        <f t="array" ref="J720">IF(D720="","",(G720*D720)*0.00075)</f>
        <v>0.94221225000000008</v>
      </c>
      <c r="K720" s="24" cm="1">
        <f t="array" ref="K720">IF(D720="","",J720+I720)</f>
        <v>1.8957503250000001</v>
      </c>
      <c r="L720" s="24" cm="1">
        <f t="array" ref="L720">IF(D720=0,0,(D720-C720)*G720)</f>
        <v>-15.101100000000002</v>
      </c>
      <c r="M720" s="25">
        <v>1285.5429877500001</v>
      </c>
      <c r="N720" s="26" cm="1">
        <f t="array" ref="N720">IFERROR((K720-J720)/J720,"–")</f>
        <v>1.0120204603580563</v>
      </c>
      <c r="O720" s="24" cm="1">
        <f t="array" ref="O720">IF(D720=0,0,L720-K720)</f>
        <v>-16.996850325000004</v>
      </c>
      <c r="P720" s="23"/>
      <c r="Q720" s="27"/>
    </row>
    <row r="721" spans="1:17" ht="22.5" customHeight="1">
      <c r="A721" s="16" t="s">
        <v>22</v>
      </c>
      <c r="B721" s="42">
        <v>44453</v>
      </c>
      <c r="C721" s="36">
        <v>15.565</v>
      </c>
      <c r="D721" s="36">
        <v>15.3</v>
      </c>
      <c r="E721" s="30" cm="1">
        <f t="array" ref="E721">IF(D721="","",D721-C721)</f>
        <v>-0.26499999999999879</v>
      </c>
      <c r="F721" s="31" cm="1">
        <f t="array" ref="F721">IF(D721=0,"",(D721-C721)/C721)</f>
        <v>-1.7025377449405642E-2</v>
      </c>
      <c r="G721" s="32">
        <v>66.680000000000007</v>
      </c>
      <c r="H721" s="10">
        <v>1</v>
      </c>
      <c r="I721" s="11" cm="1">
        <f t="array" ref="I721">IF(D721="","",(G721*C721)*0.00075)</f>
        <v>0.77840564999999995</v>
      </c>
      <c r="J721" s="11" cm="1">
        <f t="array" ref="J721">IF(D721="","",(G721*D721)*0.00075)</f>
        <v>0.76515300000000019</v>
      </c>
      <c r="K721" s="33" cm="1">
        <f t="array" ref="K721">IF(D721="","",J721+I721)</f>
        <v>1.54355865</v>
      </c>
      <c r="L721" s="33" cm="1">
        <f t="array" ref="L721">IF(D721=0,0,(D721-C721)*G721)</f>
        <v>-17.67019999999992</v>
      </c>
      <c r="M721" s="12">
        <v>1054.7792469999999</v>
      </c>
      <c r="N721" s="34" cm="1">
        <f t="array" ref="N721">IFERROR((K721-J721)/J721,"–")</f>
        <v>1.017320261437908</v>
      </c>
      <c r="O721" s="33" cm="1">
        <f t="array" ref="O721">IF(D721=0,0,L721-K721)</f>
        <v>-19.213758649999921</v>
      </c>
      <c r="P721" s="11"/>
      <c r="Q721" s="35"/>
    </row>
    <row r="722" spans="1:17" ht="22.5" customHeight="1">
      <c r="A722" s="16" t="s">
        <v>22</v>
      </c>
      <c r="B722" s="43">
        <v>44453</v>
      </c>
      <c r="C722" s="37">
        <v>15.565</v>
      </c>
      <c r="D722" s="37">
        <v>15.25</v>
      </c>
      <c r="E722" s="19" cm="1">
        <f t="array" ref="E722">IF(D722="","",D722-C722)</f>
        <v>-0.3149999999999995</v>
      </c>
      <c r="F722" s="20" cm="1">
        <f t="array" ref="F722">IF(D722=0,"",(D722-C722)/C722)</f>
        <v>-2.0237712817218086E-2</v>
      </c>
      <c r="G722" s="21">
        <v>1124.27</v>
      </c>
      <c r="H722" s="22">
        <v>1</v>
      </c>
      <c r="I722" s="23" cm="1">
        <f t="array" ref="I722">IF(D722="","",(G722*C722)*0.00075)</f>
        <v>13.1244469125</v>
      </c>
      <c r="J722" s="23" cm="1">
        <f t="array" ref="J722">IF(D722="","",(G722*D722)*0.00075)</f>
        <v>12.858838125</v>
      </c>
      <c r="K722" s="24" cm="1">
        <f t="array" ref="K722">IF(D722="","",J722+I722)</f>
        <v>25.9832850375</v>
      </c>
      <c r="L722" s="24" cm="1">
        <f t="array" ref="L722">IF(D722=0,0,(D722-C722)*G722)</f>
        <v>-354.14504999999946</v>
      </c>
      <c r="M722" s="25">
        <v>17840.548761875001</v>
      </c>
      <c r="N722" s="26" cm="1">
        <f t="array" ref="N722">IFERROR((K722-J722)/J722,"–")</f>
        <v>1.0206557377049179</v>
      </c>
      <c r="O722" s="24" cm="1">
        <f t="array" ref="O722">IF(D722=0,0,L722-K722)</f>
        <v>-380.12833503749948</v>
      </c>
      <c r="P722" s="23"/>
      <c r="Q722" s="27"/>
    </row>
    <row r="723" spans="1:17" ht="22.5" customHeight="1">
      <c r="A723" s="16" t="s">
        <v>22</v>
      </c>
      <c r="B723" s="42">
        <v>44453</v>
      </c>
      <c r="C723" s="36">
        <v>15.565</v>
      </c>
      <c r="D723" s="36">
        <v>15.253</v>
      </c>
      <c r="E723" s="30" cm="1">
        <f t="array" ref="E723">IF(D723="","",D723-C723)</f>
        <v>-0.31199999999999939</v>
      </c>
      <c r="F723" s="31" cm="1">
        <f t="array" ref="F723">IF(D723=0,"",(D723-C723)/C723)</f>
        <v>-2.0044972695149335E-2</v>
      </c>
      <c r="G723" s="32">
        <v>1057.58</v>
      </c>
      <c r="H723" s="10">
        <v>1</v>
      </c>
      <c r="I723" s="11" cm="1">
        <f t="array" ref="I723">IF(D723="","",(G723*C723)*0.00075)</f>
        <v>12.345924524999997</v>
      </c>
      <c r="J723" s="11" cm="1">
        <f t="array" ref="J723">IF(D723="","",(G723*D723)*0.00075)</f>
        <v>12.098450805000001</v>
      </c>
      <c r="K723" s="33" cm="1">
        <f t="array" ref="K723">IF(D723="","",J723+I723)</f>
        <v>24.44437533</v>
      </c>
      <c r="L723" s="33" cm="1">
        <f t="array" ref="L723">IF(D723=0,0,(D723-C723)*G723)</f>
        <v>-329.96495999999934</v>
      </c>
      <c r="M723" s="12">
        <v>16779.099209194999</v>
      </c>
      <c r="N723" s="34" cm="1">
        <f t="array" ref="N723">IFERROR((K723-J723)/J723,"–")</f>
        <v>1.0204549924604995</v>
      </c>
      <c r="O723" s="33" cm="1">
        <f t="array" ref="O723">IF(D723=0,0,L723-K723)</f>
        <v>-354.40933532999935</v>
      </c>
      <c r="P723" s="11"/>
      <c r="Q723" s="35"/>
    </row>
    <row r="724" spans="1:17" ht="22.5" customHeight="1">
      <c r="A724" s="16" t="s">
        <v>138</v>
      </c>
      <c r="B724" s="43">
        <v>44453</v>
      </c>
      <c r="C724" s="37">
        <v>12.4</v>
      </c>
      <c r="D724" s="37">
        <v>12.25</v>
      </c>
      <c r="E724" s="19" cm="1">
        <f t="array" ref="E724">IF(D724="","",D724-C724)</f>
        <v>-0.15000000000000036</v>
      </c>
      <c r="F724" s="20" cm="1">
        <f t="array" ref="F724">IF(D724=0,"",(D724-C724)/C724)</f>
        <v>-1.2096774193548416E-2</v>
      </c>
      <c r="G724" s="21">
        <v>483.87</v>
      </c>
      <c r="H724" s="22">
        <v>1</v>
      </c>
      <c r="I724" s="23" cm="1">
        <f t="array" ref="I724">IF(D724="","",(G724*C724)*0.00075)</f>
        <v>4.4999910000000005</v>
      </c>
      <c r="J724" s="23" cm="1">
        <f t="array" ref="J724">IF(D724="","",(G724*D724)*0.00075)</f>
        <v>4.4455556249999999</v>
      </c>
      <c r="K724" s="24" cm="1">
        <f t="array" ref="K724">IF(D724="","",J724+I724)</f>
        <v>8.9455466250000004</v>
      </c>
      <c r="L724" s="24" cm="1">
        <f t="array" ref="L724">IF(D724=0,0,(D724-C724)*G724)</f>
        <v>-72.580500000000171</v>
      </c>
      <c r="M724" s="25">
        <v>6068.1229443749999</v>
      </c>
      <c r="N724" s="26" cm="1">
        <f t="array" ref="N724">IFERROR((K724-J724)/J724,"–")</f>
        <v>1.0122448979591838</v>
      </c>
      <c r="O724" s="24" cm="1">
        <f t="array" ref="O724">IF(D724=0,0,L724-K724)</f>
        <v>-81.526046625000177</v>
      </c>
      <c r="P724" s="23"/>
      <c r="Q724" s="27"/>
    </row>
    <row r="725" spans="1:17" ht="22.5" customHeight="1">
      <c r="A725" s="16" t="s">
        <v>49</v>
      </c>
      <c r="B725" s="42">
        <v>44453</v>
      </c>
      <c r="C725" s="36">
        <v>30.465</v>
      </c>
      <c r="D725" s="36">
        <v>30.48</v>
      </c>
      <c r="E725" s="30" cm="1">
        <f t="array" ref="E725">IF(D725="","",D725-C725)</f>
        <v>1.5000000000000568E-2</v>
      </c>
      <c r="F725" s="31" cm="1">
        <f t="array" ref="F725">IF(D725=0,"",(D725-C725)/C725)</f>
        <v>4.9236829148204724E-4</v>
      </c>
      <c r="G725" s="32">
        <v>200</v>
      </c>
      <c r="H725" s="10">
        <v>1</v>
      </c>
      <c r="I725" s="11" cm="1">
        <f t="array" ref="I725">IF(D725="","",(G725*C725)*0.00075)</f>
        <v>4.56975</v>
      </c>
      <c r="J725" s="11" cm="1">
        <f t="array" ref="J725">IF(D725="","",(G725*D725)*0.00075)</f>
        <v>4.5720000000000001</v>
      </c>
      <c r="K725" s="33" cm="1">
        <f t="array" ref="K725">IF(D725="","",J725+I725)</f>
        <v>9.14175</v>
      </c>
      <c r="L725" s="33" cm="1">
        <f t="array" ref="L725">IF(D725=0,0,(D725-C725)*G725)</f>
        <v>3.0000000000001137</v>
      </c>
      <c r="M725" s="12">
        <v>6085.4279999999999</v>
      </c>
      <c r="N725" s="34" cm="1">
        <f t="array" ref="N725">IFERROR((K725-J725)/J725,"–")</f>
        <v>0.99950787401574803</v>
      </c>
      <c r="O725" s="33" cm="1">
        <f t="array" ref="O725">IF(D725=0,0,L725-K725)</f>
        <v>-6.1417499999998864</v>
      </c>
      <c r="P725" s="11"/>
      <c r="Q725" s="35"/>
    </row>
    <row r="726" spans="1:17" ht="22.5" customHeight="1">
      <c r="A726" s="16" t="s">
        <v>173</v>
      </c>
      <c r="B726" s="43">
        <v>44453</v>
      </c>
      <c r="C726" s="37">
        <v>9.7666000000000004</v>
      </c>
      <c r="D726" s="37">
        <v>9.6</v>
      </c>
      <c r="E726" s="19" cm="1">
        <f t="array" ref="E726">IF(D726="","",D726-C726)</f>
        <v>-0.16660000000000075</v>
      </c>
      <c r="F726" s="20" cm="1">
        <f t="array" ref="F726">IF(D726=0,"",(D726-C726)/C726)</f>
        <v>-1.7058136915610422E-2</v>
      </c>
      <c r="G726" s="21">
        <v>1843</v>
      </c>
      <c r="H726" s="22">
        <v>1</v>
      </c>
      <c r="I726" s="23" cm="1">
        <f t="array" ref="I726">IF(D726="","",(G726*C726)*0.00075)</f>
        <v>13.499882850000002</v>
      </c>
      <c r="J726" s="23" cm="1">
        <f t="array" ref="J726">IF(D726="","",(G726*D726)*0.00075)</f>
        <v>13.269600000000001</v>
      </c>
      <c r="K726" s="24" cm="1">
        <f t="array" ref="K726">IF(D726="","",J726+I726)</f>
        <v>26.769482850000003</v>
      </c>
      <c r="L726" s="24" cm="1">
        <f t="array" ref="L726">IF(D726=0,0,(D726-C726)*G726)</f>
        <v>-307.0438000000014</v>
      </c>
      <c r="M726" s="25">
        <v>18293.617999999999</v>
      </c>
      <c r="N726" s="26" cm="1">
        <f t="array" ref="N726">IFERROR((K726-J726)/J726,"–")</f>
        <v>1.0173541666666668</v>
      </c>
      <c r="O726" s="24" cm="1">
        <f t="array" ref="O726">IF(D726=0,0,L726-K726)</f>
        <v>-333.81328285000143</v>
      </c>
      <c r="P726" s="23"/>
      <c r="Q726" s="27"/>
    </row>
    <row r="727" spans="1:17" ht="22.5" customHeight="1">
      <c r="A727" s="16" t="s">
        <v>173</v>
      </c>
      <c r="B727" s="42">
        <v>44453</v>
      </c>
      <c r="C727" s="36">
        <v>9.7666000000000004</v>
      </c>
      <c r="D727" s="36">
        <v>9.3041</v>
      </c>
      <c r="E727" s="30" cm="1">
        <f t="array" ref="E727">IF(D727="","",D727-C727)</f>
        <v>-0.46250000000000036</v>
      </c>
      <c r="F727" s="31" cm="1">
        <f t="array" ref="F727">IF(D727=0,"",(D727-C727)/C727)</f>
        <v>-4.7355272049638596E-2</v>
      </c>
      <c r="G727" s="32">
        <v>1843</v>
      </c>
      <c r="H727" s="10">
        <v>1</v>
      </c>
      <c r="I727" s="11" cm="1">
        <f t="array" ref="I727">IF(D727="","",(G727*C727)*0.00075)</f>
        <v>13.499882850000002</v>
      </c>
      <c r="J727" s="11" cm="1">
        <f t="array" ref="J727">IF(D727="","",(G727*D727)*0.00075)</f>
        <v>12.860592225000001</v>
      </c>
      <c r="K727" s="33" cm="1">
        <f t="array" ref="K727">IF(D727="","",J727+I727)</f>
        <v>26.360475075000004</v>
      </c>
      <c r="L727" s="33" cm="1">
        <f t="array" ref="L727">IF(D727=0,0,(D727-C727)*G727)</f>
        <v>-852.38750000000061</v>
      </c>
      <c r="M727" s="12">
        <v>18839.370707775</v>
      </c>
      <c r="N727" s="34" cm="1">
        <f t="array" ref="N727">IFERROR((K727-J727)/J727,"–")</f>
        <v>1.0497092679571371</v>
      </c>
      <c r="O727" s="33" cm="1">
        <f t="array" ref="O727">IF(D727=0,0,L727-K727)</f>
        <v>-878.74797507500057</v>
      </c>
      <c r="P727" s="11"/>
      <c r="Q727" s="35"/>
    </row>
    <row r="728" spans="1:17" ht="22.5" customHeight="1">
      <c r="A728" s="16" t="s">
        <v>51</v>
      </c>
      <c r="B728" s="43">
        <v>44454</v>
      </c>
      <c r="C728" s="37">
        <v>2.8449</v>
      </c>
      <c r="D728" s="37">
        <v>2.8650000000000002</v>
      </c>
      <c r="E728" s="19" cm="1">
        <f t="array" ref="E728">IF(D728="","",D728-C728)</f>
        <v>2.0100000000000229E-2</v>
      </c>
      <c r="F728" s="20" cm="1">
        <f t="array" ref="F728">IF(D728=0,"",(D728-C728)/C728)</f>
        <v>7.0652747020985727E-3</v>
      </c>
      <c r="G728" s="21">
        <v>7029.8</v>
      </c>
      <c r="H728" s="22">
        <v>1</v>
      </c>
      <c r="I728" s="23" cm="1">
        <f t="array" ref="I728">IF(D728="","",(G728*C728)*0.00075)</f>
        <v>14.999308515000001</v>
      </c>
      <c r="J728" s="23" cm="1">
        <f t="array" ref="J728">IF(D728="","",(G728*D728)*0.00075)</f>
        <v>15.105282750000001</v>
      </c>
      <c r="K728" s="24" cm="1">
        <f t="array" ref="K728">IF(D728="","",J728+I728)</f>
        <v>30.104591265000003</v>
      </c>
      <c r="L728" s="24" cm="1">
        <f t="array" ref="L728">IF(D728=0,0,(D728-C728)*G728)</f>
        <v>141.29898000000162</v>
      </c>
      <c r="M728" s="25">
        <v>19842.673757249999</v>
      </c>
      <c r="N728" s="26" cm="1">
        <f t="array" ref="N728">IFERROR((K728-J728)/J728,"–")</f>
        <v>0.99298429319371739</v>
      </c>
      <c r="O728" s="24" cm="1">
        <f t="array" ref="O728">IF(D728=0,0,L728-K728)</f>
        <v>111.19438873500161</v>
      </c>
      <c r="P728" s="23"/>
      <c r="Q728" s="27"/>
    </row>
    <row r="729" spans="1:17" ht="22.5" customHeight="1">
      <c r="A729" s="16" t="s">
        <v>51</v>
      </c>
      <c r="B729" s="42">
        <v>44454</v>
      </c>
      <c r="C729" s="36">
        <v>2.8449</v>
      </c>
      <c r="D729" s="36">
        <v>2.855</v>
      </c>
      <c r="E729" s="30" cm="1">
        <f t="array" ref="E729">IF(D729="","",D729-C729)</f>
        <v>1.0099999999999998E-2</v>
      </c>
      <c r="F729" s="31" cm="1">
        <f t="array" ref="F729">IF(D729=0,"",(D729-C729)/C729)</f>
        <v>3.5502126612534705E-3</v>
      </c>
      <c r="G729" s="32">
        <v>7029.8</v>
      </c>
      <c r="H729" s="10">
        <v>1</v>
      </c>
      <c r="I729" s="11" cm="1">
        <f t="array" ref="I729">IF(D729="","",(G729*C729)*0.00075)</f>
        <v>14.999308515000001</v>
      </c>
      <c r="J729" s="11" cm="1">
        <f t="array" ref="J729">IF(D729="","",(G729*D729)*0.00075)</f>
        <v>15.052559250000002</v>
      </c>
      <c r="K729" s="33" cm="1">
        <f t="array" ref="K729">IF(D729="","",J729+I729)</f>
        <v>30.051867765000004</v>
      </c>
      <c r="L729" s="33" cm="1">
        <f t="array" ref="L729">IF(D729=0,0,(D729-C729)*G729)</f>
        <v>71.000979999999984</v>
      </c>
      <c r="M729" s="12">
        <v>19913.024480749998</v>
      </c>
      <c r="N729" s="34" cm="1">
        <f t="array" ref="N729">IFERROR((K729-J729)/J729,"–")</f>
        <v>0.99646234676007017</v>
      </c>
      <c r="O729" s="33" cm="1">
        <f t="array" ref="O729">IF(D729=0,0,L729-K729)</f>
        <v>40.94911223499998</v>
      </c>
      <c r="P729" s="11"/>
      <c r="Q729" s="35"/>
    </row>
    <row r="730" spans="1:17" ht="22.5" customHeight="1">
      <c r="A730" s="16" t="s">
        <v>174</v>
      </c>
      <c r="B730" s="43">
        <v>44454</v>
      </c>
      <c r="C730" s="37">
        <v>0.74360000000000004</v>
      </c>
      <c r="D730" s="37">
        <v>0.75</v>
      </c>
      <c r="E730" s="19" cm="1">
        <f t="array" ref="E730">IF(D730="","",D730-C730)</f>
        <v>6.3999999999999613E-3</v>
      </c>
      <c r="F730" s="20" cm="1">
        <f t="array" ref="F730">IF(D730=0,"",(D730-C730)/C730)</f>
        <v>8.6067778375470156E-3</v>
      </c>
      <c r="G730" s="21">
        <v>13784.2</v>
      </c>
      <c r="H730" s="22">
        <v>1</v>
      </c>
      <c r="I730" s="23" cm="1">
        <f t="array" ref="I730">IF(D730="","",(G730*C730)*0.00075)</f>
        <v>7.6874483400000013</v>
      </c>
      <c r="J730" s="23" cm="1">
        <f t="array" ref="J730">IF(D730="","",(G730*D730)*0.00075)</f>
        <v>7.7536125000000009</v>
      </c>
      <c r="K730" s="24" cm="1">
        <f t="array" ref="K730">IF(D730="","",J730+I730)</f>
        <v>15.441060840000002</v>
      </c>
      <c r="L730" s="24" cm="1">
        <f t="array" ref="L730">IF(D730=0,0,(D730-C730)*G730)</f>
        <v>88.218879999999473</v>
      </c>
      <c r="M730" s="25">
        <v>10153.9586275</v>
      </c>
      <c r="N730" s="26" cm="1">
        <f t="array" ref="N730">IFERROR((K730-J730)/J730,"–")</f>
        <v>0.99146666666666672</v>
      </c>
      <c r="O730" s="24" cm="1">
        <f t="array" ref="O730">IF(D730=0,0,L730-K730)</f>
        <v>72.777819159999467</v>
      </c>
      <c r="P730" s="23"/>
      <c r="Q730" s="27"/>
    </row>
    <row r="731" spans="1:17" ht="22.5" customHeight="1">
      <c r="A731" s="16" t="s">
        <v>174</v>
      </c>
      <c r="B731" s="42">
        <v>44454</v>
      </c>
      <c r="C731" s="36">
        <v>0.74360000000000004</v>
      </c>
      <c r="D731" s="36">
        <v>0.748</v>
      </c>
      <c r="E731" s="30" cm="1">
        <f t="array" ref="E731">IF(D731="","",D731-C731)</f>
        <v>4.3999999999999595E-3</v>
      </c>
      <c r="F731" s="31" cm="1">
        <f t="array" ref="F731">IF(D731=0,"",(D731-C731)/C731)</f>
        <v>5.9171597633135547E-3</v>
      </c>
      <c r="G731" s="32">
        <v>10338.200000000001</v>
      </c>
      <c r="H731" s="10">
        <v>1</v>
      </c>
      <c r="I731" s="11" cm="1">
        <f t="array" ref="I731">IF(D731="","",(G731*C731)*0.00075)</f>
        <v>5.7656141400000012</v>
      </c>
      <c r="J731" s="11" cm="1">
        <f t="array" ref="J731">IF(D731="","",(G731*D731)*0.00075)</f>
        <v>5.7997301999999999</v>
      </c>
      <c r="K731" s="33" cm="1">
        <f t="array" ref="K731">IF(D731="","",J731+I731)</f>
        <v>11.565344340000001</v>
      </c>
      <c r="L731" s="33" cm="1">
        <f t="array" ref="L731">IF(D731=0,0,(D731-C731)*G731)</f>
        <v>45.488079999999584</v>
      </c>
      <c r="M731" s="12">
        <v>7636.1977097999998</v>
      </c>
      <c r="N731" s="34" cm="1">
        <f t="array" ref="N731">IFERROR((K731-J731)/J731,"–")</f>
        <v>0.99411764705882377</v>
      </c>
      <c r="O731" s="33" cm="1">
        <f t="array" ref="O731">IF(D731=0,0,L731-K731)</f>
        <v>33.922735659999582</v>
      </c>
      <c r="P731" s="11"/>
      <c r="Q731" s="35"/>
    </row>
    <row r="732" spans="1:17" ht="22.5" customHeight="1">
      <c r="A732" s="16" t="s">
        <v>174</v>
      </c>
      <c r="B732" s="43">
        <v>44454</v>
      </c>
      <c r="C732" s="37">
        <v>0.74360000000000004</v>
      </c>
      <c r="D732" s="37">
        <v>0.74929999999999997</v>
      </c>
      <c r="E732" s="19" cm="1">
        <f t="array" ref="E732">IF(D732="","",D732-C732)</f>
        <v>5.6999999999999273E-3</v>
      </c>
      <c r="F732" s="20" cm="1">
        <f t="array" ref="F732">IF(D732=0,"",(D732-C732)/C732)</f>
        <v>7.6654115115652594E-3</v>
      </c>
      <c r="G732" s="21">
        <v>7753.6</v>
      </c>
      <c r="H732" s="22">
        <v>1</v>
      </c>
      <c r="I732" s="23" cm="1">
        <f t="array" ref="I732">IF(D732="","",(G732*C732)*0.00075)</f>
        <v>4.3241827200000005</v>
      </c>
      <c r="J732" s="23" cm="1">
        <f t="array" ref="J732">IF(D732="","",(G732*D732)*0.00075)</f>
        <v>4.3573293599999996</v>
      </c>
      <c r="K732" s="24" cm="1">
        <f t="array" ref="K732">IF(D732="","",J732+I732)</f>
        <v>8.681512080000001</v>
      </c>
      <c r="L732" s="24" cm="1">
        <f t="array" ref="L732">IF(D732=0,0,(D732-C732)*G732)</f>
        <v>44.195519999999441</v>
      </c>
      <c r="M732" s="25">
        <v>5717.0241106399999</v>
      </c>
      <c r="N732" s="26" cm="1">
        <f t="array" ref="N732">IFERROR((K732-J732)/J732,"–")</f>
        <v>0.99239290004003777</v>
      </c>
      <c r="O732" s="24" cm="1">
        <f t="array" ref="O732">IF(D732=0,0,L732-K732)</f>
        <v>35.514007919999443</v>
      </c>
      <c r="P732" s="23"/>
      <c r="Q732" s="27"/>
    </row>
    <row r="733" spans="1:17" ht="22.5" customHeight="1">
      <c r="A733" s="16" t="s">
        <v>174</v>
      </c>
      <c r="B733" s="42">
        <v>44454</v>
      </c>
      <c r="C733" s="36">
        <v>0.74360000000000004</v>
      </c>
      <c r="D733" s="36">
        <v>0.752</v>
      </c>
      <c r="E733" s="30" cm="1">
        <f t="array" ref="E733">IF(D733="","",D733-C733)</f>
        <v>8.3999999999999631E-3</v>
      </c>
      <c r="F733" s="31" cm="1">
        <f t="array" ref="F733">IF(D733=0,"",(D733-C733)/C733)</f>
        <v>1.1296395911780477E-2</v>
      </c>
      <c r="G733" s="32">
        <v>11630.6</v>
      </c>
      <c r="H733" s="10">
        <v>1</v>
      </c>
      <c r="I733" s="11" cm="1">
        <f t="array" ref="I733">IF(D733="","",(G733*C733)*0.00075)</f>
        <v>6.486385620000001</v>
      </c>
      <c r="J733" s="11" cm="1">
        <f t="array" ref="J733">IF(D733="","",(G733*D733)*0.00075)</f>
        <v>6.5596584</v>
      </c>
      <c r="K733" s="33" cm="1">
        <f t="array" ref="K733">IF(D733="","",J733+I733)</f>
        <v>13.04604402</v>
      </c>
      <c r="L733" s="33" cm="1">
        <f t="array" ref="L733">IF(D733=0,0,(D733-C733)*G733)</f>
        <v>97.697039999999575</v>
      </c>
      <c r="M733" s="12">
        <v>8544.2574616000002</v>
      </c>
      <c r="N733" s="34" cm="1">
        <f t="array" ref="N733">IFERROR((K733-J733)/J733,"–")</f>
        <v>0.98882978723404258</v>
      </c>
      <c r="O733" s="33" cm="1">
        <f t="array" ref="O733">IF(D733=0,0,L733-K733)</f>
        <v>84.650995979999578</v>
      </c>
      <c r="P733" s="11"/>
      <c r="Q733" s="35"/>
    </row>
    <row r="734" spans="1:17" ht="22.5" customHeight="1">
      <c r="A734" s="16" t="s">
        <v>174</v>
      </c>
      <c r="B734" s="43">
        <v>44454</v>
      </c>
      <c r="C734" s="37">
        <v>0.74360000000000004</v>
      </c>
      <c r="D734" s="37">
        <v>0.747</v>
      </c>
      <c r="E734" s="19" cm="1">
        <f t="array" ref="E734">IF(D734="","",D734-C734)</f>
        <v>3.3999999999999586E-3</v>
      </c>
      <c r="F734" s="20" cm="1">
        <f t="array" ref="F734">IF(D734=0,"",(D734-C734)/C734)</f>
        <v>4.5723507261968242E-3</v>
      </c>
      <c r="G734" s="21">
        <v>11630.5</v>
      </c>
      <c r="H734" s="22">
        <v>1</v>
      </c>
      <c r="I734" s="23" cm="1">
        <f t="array" ref="I734">IF(D734="","",(G734*C734)*0.00075)</f>
        <v>6.4863298500000006</v>
      </c>
      <c r="J734" s="23" cm="1">
        <f t="array" ref="J734">IF(D734="","",(G734*D734)*0.00075)</f>
        <v>6.5159876250000002</v>
      </c>
      <c r="K734" s="24" cm="1">
        <f t="array" ref="K734">IF(D734="","",J734+I734)</f>
        <v>13.002317475000002</v>
      </c>
      <c r="L734" s="24" cm="1">
        <f t="array" ref="L734">IF(D734=0,0,(D734-C734)*G734)</f>
        <v>39.543699999999518</v>
      </c>
      <c r="M734" s="25">
        <v>8602.380112375</v>
      </c>
      <c r="N734" s="26" cm="1">
        <f t="array" ref="N734">IFERROR((K734-J734)/J734,"–")</f>
        <v>0.99544846050870173</v>
      </c>
      <c r="O734" s="24" cm="1">
        <f t="array" ref="O734">IF(D734=0,0,L734-K734)</f>
        <v>26.541382524999516</v>
      </c>
      <c r="P734" s="23"/>
      <c r="Q734" s="27"/>
    </row>
    <row r="735" spans="1:17" ht="22.5" customHeight="1">
      <c r="A735" s="16" t="s">
        <v>149</v>
      </c>
      <c r="B735" s="42">
        <v>44459</v>
      </c>
      <c r="C735" s="36">
        <v>8.2100000000000006E-2</v>
      </c>
      <c r="D735" s="36">
        <v>8.14E-2</v>
      </c>
      <c r="E735" s="30" cm="1">
        <f t="array" ref="E735">IF(D735="","",D735-C735)</f>
        <v>-7.0000000000000617E-4</v>
      </c>
      <c r="F735" s="31" cm="1">
        <f t="array" ref="F735">IF(D735=0,"",(D735-C735)/C735)</f>
        <v>-8.5261875761267498E-3</v>
      </c>
      <c r="G735" s="32">
        <v>17052.3</v>
      </c>
      <c r="H735" s="10">
        <v>1</v>
      </c>
      <c r="I735" s="11" cm="1">
        <f t="array" ref="I735">IF(D735="","",(G735*C735)*0.00075)</f>
        <v>1.0499953725000002</v>
      </c>
      <c r="J735" s="11" cm="1">
        <f t="array" ref="J735">IF(D735="","",(G735*D735)*0.00075)</f>
        <v>1.041042915</v>
      </c>
      <c r="K735" s="33" cm="1">
        <f t="array" ref="K735">IF(D735="","",J735+I735)</f>
        <v>2.0910382875</v>
      </c>
      <c r="L735" s="33" cm="1">
        <f t="array" ref="L735">IF(D735=0,0,(D735-C735)*G735)</f>
        <v>-11.936610000000105</v>
      </c>
      <c r="M735" s="12">
        <v>1410.8893970849999</v>
      </c>
      <c r="N735" s="34" cm="1">
        <f t="array" ref="N735">IFERROR((K735-J735)/J735,"–")</f>
        <v>1.0085995085995085</v>
      </c>
      <c r="O735" s="33" cm="1">
        <f t="array" ref="O735">IF(D735=0,0,L735-K735)</f>
        <v>-14.027648287500105</v>
      </c>
      <c r="P735" s="11"/>
      <c r="Q735" s="35"/>
    </row>
    <row r="736" spans="1:17" ht="22.5" customHeight="1">
      <c r="A736" s="16" t="s">
        <v>175</v>
      </c>
      <c r="B736" s="43">
        <v>44459</v>
      </c>
      <c r="C736" s="37">
        <v>305.9246</v>
      </c>
      <c r="D736" s="37">
        <v>314</v>
      </c>
      <c r="E736" s="19" cm="1">
        <f t="array" ref="E736">IF(D736="","",D736-C736)</f>
        <v>8.0754000000000019</v>
      </c>
      <c r="F736" s="20" cm="1">
        <f t="array" ref="F736">IF(D736=0,"",(D736-C736)/C736)</f>
        <v>2.6396700363422888E-2</v>
      </c>
      <c r="G736" s="21">
        <v>16.343</v>
      </c>
      <c r="H736" s="22">
        <v>1</v>
      </c>
      <c r="I736" s="23" cm="1">
        <f t="array" ref="I736">IF(D736="","",(G736*C736)*0.00075)</f>
        <v>3.7497943033500003</v>
      </c>
      <c r="J736" s="23" cm="1">
        <f t="array" ref="J736">IF(D736="","",(G736*D736)*0.00075)</f>
        <v>3.8487765</v>
      </c>
      <c r="K736" s="24" cm="1">
        <f t="array" ref="K736">IF(D736="","",J736+I736)</f>
        <v>7.5985708033500003</v>
      </c>
      <c r="L736" s="24" cm="1">
        <f t="array" ref="L736">IF(D736=0,0,(D736-C736)*G736)</f>
        <v>131.97626220000004</v>
      </c>
      <c r="M736" s="25">
        <v>4863.9006990999997</v>
      </c>
      <c r="N736" s="26" cm="1">
        <f t="array" ref="N736">IFERROR((K736-J736)/J736,"–")</f>
        <v>0.97428216560509562</v>
      </c>
      <c r="O736" s="24" cm="1">
        <f t="array" ref="O736">IF(D736=0,0,L736-K736)</f>
        <v>124.37769139665004</v>
      </c>
      <c r="P736" s="23"/>
      <c r="Q736" s="27"/>
    </row>
    <row r="737" spans="1:17" ht="22.5" customHeight="1">
      <c r="A737" s="16" t="s">
        <v>176</v>
      </c>
      <c r="B737" s="42">
        <v>44459</v>
      </c>
      <c r="C737" s="36">
        <v>0.67359999999999998</v>
      </c>
      <c r="D737" s="36">
        <v>0.67</v>
      </c>
      <c r="E737" s="30" cm="1">
        <f t="array" ref="E737">IF(D737="","",D737-C737)</f>
        <v>-3.5999999999999366E-3</v>
      </c>
      <c r="F737" s="31" cm="1">
        <f t="array" ref="F737">IF(D737=0,"",(D737-C737)/C737)</f>
        <v>-5.344418052256438E-3</v>
      </c>
      <c r="G737" s="32">
        <v>1484.3</v>
      </c>
      <c r="H737" s="10">
        <v>1</v>
      </c>
      <c r="I737" s="11" cm="1">
        <f t="array" ref="I737">IF(D737="","",(G737*C737)*0.00075)</f>
        <v>0.7498683599999999</v>
      </c>
      <c r="J737" s="11" cm="1">
        <f t="array" ref="J737">IF(D737="","",(G737*D737)*0.00075)</f>
        <v>0.74586074999999996</v>
      </c>
      <c r="K737" s="33" cm="1">
        <f t="array" ref="K737">IF(D737="","",J737+I737)</f>
        <v>1.4957291099999999</v>
      </c>
      <c r="L737" s="33" cm="1">
        <f t="array" ref="L737">IF(D737=0,0,(D737-C737)*G737)</f>
        <v>-5.3434799999999054</v>
      </c>
      <c r="M737" s="12">
        <v>1004.42209925</v>
      </c>
      <c r="N737" s="34" cm="1">
        <f t="array" ref="N737">IFERROR((K737-J737)/J737,"–")</f>
        <v>1.0053731343283581</v>
      </c>
      <c r="O737" s="33" cm="1">
        <f t="array" ref="O737">IF(D737=0,0,L737-K737)</f>
        <v>-6.8392091099999055</v>
      </c>
      <c r="P737" s="11"/>
      <c r="Q737" s="35"/>
    </row>
    <row r="738" spans="1:17" ht="22.5" customHeight="1">
      <c r="A738" s="16" t="s">
        <v>174</v>
      </c>
      <c r="B738" s="43">
        <v>44459</v>
      </c>
      <c r="C738" s="37">
        <v>1.0085</v>
      </c>
      <c r="D738" s="37">
        <v>1.02</v>
      </c>
      <c r="E738" s="19" cm="1">
        <f t="array" ref="E738">IF(D738="","",D738-C738)</f>
        <v>1.1500000000000066E-2</v>
      </c>
      <c r="F738" s="20" cm="1">
        <f t="array" ref="F738">IF(D738=0,"",(D738-C738)/C738)</f>
        <v>1.1403073872087324E-2</v>
      </c>
      <c r="G738" s="21">
        <v>4957.6000000000004</v>
      </c>
      <c r="H738" s="22">
        <v>1</v>
      </c>
      <c r="I738" s="23" cm="1">
        <f t="array" ref="I738">IF(D738="","",(G738*C738)*0.00075)</f>
        <v>3.7498046999999999</v>
      </c>
      <c r="J738" s="23" cm="1">
        <f t="array" ref="J738">IF(D738="","",(G738*D738)*0.00075)</f>
        <v>3.7925640000000005</v>
      </c>
      <c r="K738" s="24" cm="1">
        <f t="array" ref="K738">IF(D738="","",J738+I738)</f>
        <v>7.5423687000000008</v>
      </c>
      <c r="L738" s="24" cm="1">
        <f t="array" ref="L738">IF(D738=0,0,(D738-C738)*G738)</f>
        <v>57.012400000000333</v>
      </c>
      <c r="M738" s="25">
        <v>4938.934636</v>
      </c>
      <c r="N738" s="26" cm="1">
        <f t="array" ref="N738">IFERROR((K738-J738)/J738,"–")</f>
        <v>0.98872549019607836</v>
      </c>
      <c r="O738" s="24" cm="1">
        <f t="array" ref="O738">IF(D738=0,0,L738-K738)</f>
        <v>49.470031300000329</v>
      </c>
      <c r="P738" s="23"/>
      <c r="Q738" s="27"/>
    </row>
    <row r="739" spans="1:17" ht="22.5" customHeight="1">
      <c r="A739" s="16" t="s">
        <v>174</v>
      </c>
      <c r="B739" s="42">
        <v>44459</v>
      </c>
      <c r="C739" s="36">
        <v>1.0085</v>
      </c>
      <c r="D739" s="36">
        <v>1.0477000000000001</v>
      </c>
      <c r="E739" s="30" cm="1">
        <f t="array" ref="E739">IF(D739="","",D739-C739)</f>
        <v>3.9200000000000124E-2</v>
      </c>
      <c r="F739" s="31" cm="1">
        <f t="array" ref="F739">IF(D739=0,"",(D739-C739)/C739)</f>
        <v>3.8869608329201909E-2</v>
      </c>
      <c r="G739" s="32">
        <v>4957.6000000000004</v>
      </c>
      <c r="H739" s="10">
        <v>1</v>
      </c>
      <c r="I739" s="11" cm="1">
        <f t="array" ref="I739">IF(D739="","",(G739*C739)*0.00075)</f>
        <v>3.7498046999999999</v>
      </c>
      <c r="J739" s="11" cm="1">
        <f t="array" ref="J739">IF(D739="","",(G739*D739)*0.00075)</f>
        <v>3.8955581400000008</v>
      </c>
      <c r="K739" s="33" cm="1">
        <f t="array" ref="K739">IF(D739="","",J739+I739)</f>
        <v>7.6453628400000007</v>
      </c>
      <c r="L739" s="33" cm="1">
        <f t="array" ref="L739">IF(D739=0,0,(D739-C739)*G739)</f>
        <v>194.33792000000062</v>
      </c>
      <c r="M739" s="12">
        <v>4801.5061218600003</v>
      </c>
      <c r="N739" s="34" cm="1">
        <f t="array" ref="N739">IFERROR((K739-J739)/J739,"–")</f>
        <v>0.96258470936336715</v>
      </c>
      <c r="O739" s="33" cm="1">
        <f t="array" ref="O739">IF(D739=0,0,L739-K739)</f>
        <v>186.69255716000063</v>
      </c>
      <c r="P739" s="11"/>
      <c r="Q739" s="35"/>
    </row>
    <row r="740" spans="1:17" ht="22.5" customHeight="1">
      <c r="A740" s="16" t="s">
        <v>30</v>
      </c>
      <c r="B740" s="43">
        <v>44459</v>
      </c>
      <c r="C740" s="37">
        <v>43700</v>
      </c>
      <c r="D740" s="37">
        <v>43700</v>
      </c>
      <c r="E740" s="19" cm="1">
        <f t="array" ref="E740">IF(D740="","",D740-C740)</f>
        <v>0</v>
      </c>
      <c r="F740" s="20" cm="1">
        <f t="array" ref="F740">IF(D740=0,"",(D740-C740)/C740)</f>
        <v>0</v>
      </c>
      <c r="G740" s="21">
        <v>0.22883000000000001</v>
      </c>
      <c r="H740" s="22">
        <v>1</v>
      </c>
      <c r="I740" s="23" cm="1">
        <f t="array" ref="I740">IF(D740="","",(G740*C740)*0.00075)</f>
        <v>7.4999032500000009</v>
      </c>
      <c r="J740" s="23" cm="1">
        <f t="array" ref="J740">IF(D740="","",(G740*D740)*0.00075)</f>
        <v>7.4999032500000009</v>
      </c>
      <c r="K740" s="24" cm="1">
        <f t="array" ref="K740">IF(D740="","",J740+I740)</f>
        <v>14.999806500000002</v>
      </c>
      <c r="L740" s="24" cm="1">
        <f t="array" ref="L740">IF(D740=0,0,(D740-C740)*G740)</f>
        <v>0</v>
      </c>
      <c r="M740" s="25">
        <v>9992.3710967499992</v>
      </c>
      <c r="N740" s="26" cm="1">
        <f t="array" ref="N740">IFERROR((K740-J740)/J740,"–")</f>
        <v>1</v>
      </c>
      <c r="O740" s="24" cm="1">
        <f t="array" ref="O740">IF(D740=0,0,L740-K740)</f>
        <v>-14.999806500000002</v>
      </c>
      <c r="P740" s="23"/>
      <c r="Q740" s="27"/>
    </row>
    <row r="741" spans="1:17" ht="22.5" customHeight="1">
      <c r="A741" s="16" t="s">
        <v>177</v>
      </c>
      <c r="B741" s="42">
        <v>44460</v>
      </c>
      <c r="C741" s="36">
        <v>220.95750000000001</v>
      </c>
      <c r="D741" s="36">
        <v>222.37</v>
      </c>
      <c r="E741" s="30" cm="1">
        <f t="array" ref="E741">IF(D741="","",D741-C741)</f>
        <v>1.4124999999999943</v>
      </c>
      <c r="F741" s="31" cm="1">
        <f t="array" ref="F741">IF(D741=0,"",(D741-C741)/C741)</f>
        <v>6.3926320672527265E-3</v>
      </c>
      <c r="G741" s="32">
        <v>2.71</v>
      </c>
      <c r="H741" s="10">
        <v>1</v>
      </c>
      <c r="I741" s="11" cm="1">
        <f t="array" ref="I741">IF(D741="","",(G741*C741)*0.00075)</f>
        <v>0.44909611875000005</v>
      </c>
      <c r="J741" s="11" cm="1">
        <f t="array" ref="J741">IF(D741="","",(G741*D741)*0.00075)</f>
        <v>0.45196702500000002</v>
      </c>
      <c r="K741" s="33" cm="1">
        <f t="array" ref="K741">IF(D741="","",J741+I741)</f>
        <v>0.90106314375000007</v>
      </c>
      <c r="L741" s="33" cm="1">
        <f t="array" ref="L741">IF(D741=0,0,(D741-C741)*G741)</f>
        <v>3.8278749999999846</v>
      </c>
      <c r="M741" s="12">
        <v>594.51498297499995</v>
      </c>
      <c r="N741" s="34" cm="1">
        <f t="array" ref="N741">IFERROR((K741-J741)/J741,"–")</f>
        <v>0.99364797409722538</v>
      </c>
      <c r="O741" s="33" cm="1">
        <f t="array" ref="O741">IF(D741=0,0,L741-K741)</f>
        <v>2.9268118562499845</v>
      </c>
      <c r="P741" s="11"/>
      <c r="Q741" s="35"/>
    </row>
    <row r="742" spans="1:17" ht="22.5" customHeight="1">
      <c r="A742" s="16" t="s">
        <v>177</v>
      </c>
      <c r="B742" s="43">
        <v>44460</v>
      </c>
      <c r="C742" s="37">
        <v>220.95750000000001</v>
      </c>
      <c r="D742" s="37">
        <v>222.2749</v>
      </c>
      <c r="E742" s="19" cm="1">
        <f t="array" ref="E742">IF(D742="","",D742-C742)</f>
        <v>1.3173999999999921</v>
      </c>
      <c r="F742" s="20" cm="1">
        <f t="array" ref="F742">IF(D742=0,"",(D742-C742)/C742)</f>
        <v>5.9622325560344958E-3</v>
      </c>
      <c r="G742" s="21">
        <v>87.8</v>
      </c>
      <c r="H742" s="22">
        <v>1</v>
      </c>
      <c r="I742" s="23" cm="1">
        <f t="array" ref="I742">IF(D742="","",(G742*C742)*0.00075)</f>
        <v>14.550051375000001</v>
      </c>
      <c r="J742" s="23" cm="1">
        <f t="array" ref="J742">IF(D742="","",(G742*D742)*0.00075)</f>
        <v>14.636802164999999</v>
      </c>
      <c r="K742" s="24" cm="1">
        <f t="array" ref="K742">IF(D742="","",J742+I742)</f>
        <v>29.186853540000001</v>
      </c>
      <c r="L742" s="24" cm="1">
        <f t="array" ref="L742">IF(D742=0,0,(D742-C742)*G742)</f>
        <v>115.66771999999931</v>
      </c>
      <c r="M742" s="25">
        <v>19269.763977834999</v>
      </c>
      <c r="N742" s="26" cm="1">
        <f t="array" ref="N742">IFERROR((K742-J742)/J742,"–")</f>
        <v>0.99407310497046697</v>
      </c>
      <c r="O742" s="24" cm="1">
        <f t="array" ref="O742">IF(D742=0,0,L742-K742)</f>
        <v>86.480866459999305</v>
      </c>
      <c r="P742" s="23"/>
      <c r="Q742" s="27"/>
    </row>
    <row r="743" spans="1:17" ht="22.5" customHeight="1">
      <c r="A743" s="16" t="s">
        <v>91</v>
      </c>
      <c r="B743" s="42">
        <v>44460</v>
      </c>
      <c r="C743" s="36">
        <v>0.27800000000000002</v>
      </c>
      <c r="D743" s="36">
        <v>0.27950000000000003</v>
      </c>
      <c r="E743" s="30" cm="1">
        <f t="array" ref="E743">IF(D743="","",D743-C743)</f>
        <v>1.5000000000000013E-3</v>
      </c>
      <c r="F743" s="31" cm="1">
        <f t="array" ref="F743">IF(D743=0,"",(D743-C743)/C743)</f>
        <v>5.3956834532374147E-3</v>
      </c>
      <c r="G743" s="32">
        <v>35967</v>
      </c>
      <c r="H743" s="10">
        <v>1</v>
      </c>
      <c r="I743" s="11" cm="1">
        <f t="array" ref="I743">IF(D743="","",(G743*C743)*0.00075)</f>
        <v>7.4991195000000008</v>
      </c>
      <c r="J743" s="11" cm="1">
        <f t="array" ref="J743">IF(D743="","",(G743*D743)*0.00075)</f>
        <v>7.5395823750000011</v>
      </c>
      <c r="K743" s="33" cm="1">
        <f t="array" ref="K743">IF(D743="","",J743+I743)</f>
        <v>15.038701875000001</v>
      </c>
      <c r="L743" s="33" cm="1">
        <f t="array" ref="L743">IF(D743=0,0,(D743-C743)*G743)</f>
        <v>53.950500000000048</v>
      </c>
      <c r="M743" s="12">
        <v>9937.3359176249996</v>
      </c>
      <c r="N743" s="34" cm="1">
        <f t="array" ref="N743">IFERROR((K743-J743)/J743,"–")</f>
        <v>0.994633273703041</v>
      </c>
      <c r="O743" s="33" cm="1">
        <f t="array" ref="O743">IF(D743=0,0,L743-K743)</f>
        <v>38.911798125000047</v>
      </c>
      <c r="P743" s="11"/>
      <c r="Q743" s="35"/>
    </row>
    <row r="744" spans="1:17" ht="22.5" customHeight="1">
      <c r="A744" s="16" t="s">
        <v>91</v>
      </c>
      <c r="B744" s="43">
        <v>44460</v>
      </c>
      <c r="C744" s="37">
        <v>0.27800000000000002</v>
      </c>
      <c r="D744" s="37">
        <v>0.27900000000000003</v>
      </c>
      <c r="E744" s="19" cm="1">
        <f t="array" ref="E744">IF(D744="","",D744-C744)</f>
        <v>1.0000000000000009E-3</v>
      </c>
      <c r="F744" s="20" cm="1">
        <f t="array" ref="F744">IF(D744=0,"",(D744-C744)/C744)</f>
        <v>3.5971223021582762E-3</v>
      </c>
      <c r="G744" s="21">
        <v>9294</v>
      </c>
      <c r="H744" s="22">
        <v>1</v>
      </c>
      <c r="I744" s="23" cm="1">
        <f t="array" ref="I744">IF(D744="","",(G744*C744)*0.00075)</f>
        <v>1.9377990000000003</v>
      </c>
      <c r="J744" s="23" cm="1">
        <f t="array" ref="J744">IF(D744="","",(G744*D744)*0.00075)</f>
        <v>1.9447695000000003</v>
      </c>
      <c r="K744" s="24" cm="1">
        <f t="array" ref="K744">IF(D744="","",J744+I744)</f>
        <v>3.8825685000000005</v>
      </c>
      <c r="L744" s="24" cm="1">
        <f t="array" ref="L744">IF(D744=0,0,(D744-C744)*G744)</f>
        <v>9.2940000000000076</v>
      </c>
      <c r="M744" s="25">
        <v>2572.4932305000002</v>
      </c>
      <c r="N744" s="26" cm="1">
        <f t="array" ref="N744">IFERROR((K744-J744)/J744,"–")</f>
        <v>0.99641577060931896</v>
      </c>
      <c r="O744" s="24" cm="1">
        <f t="array" ref="O744">IF(D744=0,0,L744-K744)</f>
        <v>5.4114315000000071</v>
      </c>
      <c r="P744" s="23"/>
      <c r="Q744" s="27"/>
    </row>
    <row r="745" spans="1:17" ht="22.5" customHeight="1">
      <c r="A745" s="16" t="s">
        <v>91</v>
      </c>
      <c r="B745" s="42">
        <v>44460</v>
      </c>
      <c r="C745" s="36">
        <v>0.27800000000000002</v>
      </c>
      <c r="D745" s="36">
        <v>0.27729999999999999</v>
      </c>
      <c r="E745" s="30" cm="1">
        <f t="array" ref="E745">IF(D745="","",D745-C745)</f>
        <v>-7.0000000000003393E-4</v>
      </c>
      <c r="F745" s="31" cm="1">
        <f t="array" ref="F745">IF(D745=0,"",(D745-C745)/C745)</f>
        <v>-2.517985611510913E-3</v>
      </c>
      <c r="G745" s="32">
        <v>26673</v>
      </c>
      <c r="H745" s="10">
        <v>1</v>
      </c>
      <c r="I745" s="11" cm="1">
        <f t="array" ref="I745">IF(D745="","",(G745*C745)*0.00075)</f>
        <v>5.5613205000000008</v>
      </c>
      <c r="J745" s="11" cm="1">
        <f t="array" ref="J745">IF(D745="","",(G745*D745)*0.00075)</f>
        <v>5.5473171749999999</v>
      </c>
      <c r="K745" s="33" cm="1">
        <f t="array" ref="K745">IF(D745="","",J745+I745)</f>
        <v>11.108637675000001</v>
      </c>
      <c r="L745" s="33" cm="1">
        <f t="array" ref="L745">IF(D745=0,0,(D745-C745)*G745)</f>
        <v>-18.671100000000905</v>
      </c>
      <c r="M745" s="12">
        <v>7428.2177828249996</v>
      </c>
      <c r="N745" s="34" cm="1">
        <f t="array" ref="N745">IFERROR((K745-J745)/J745,"–")</f>
        <v>1.0025243418680132</v>
      </c>
      <c r="O745" s="33" cm="1">
        <f t="array" ref="O745">IF(D745=0,0,L745-K745)</f>
        <v>-29.779737675000906</v>
      </c>
      <c r="P745" s="11"/>
      <c r="Q745" s="35"/>
    </row>
    <row r="746" spans="1:17" ht="22.5" customHeight="1">
      <c r="A746" s="16" t="s">
        <v>178</v>
      </c>
      <c r="B746" s="43">
        <v>44460</v>
      </c>
      <c r="C746" s="37">
        <v>4.5999999999999996</v>
      </c>
      <c r="D746" s="37">
        <v>4.8099999999999996</v>
      </c>
      <c r="E746" s="19" cm="1">
        <f t="array" ref="E746">IF(D746="","",D746-C746)</f>
        <v>0.20999999999999996</v>
      </c>
      <c r="F746" s="20" cm="1">
        <f t="array" ref="F746">IF(D746=0,"",(D746-C746)/C746)</f>
        <v>4.5652173913043471E-2</v>
      </c>
      <c r="G746" s="21">
        <v>1000</v>
      </c>
      <c r="H746" s="22">
        <v>1</v>
      </c>
      <c r="I746" s="23" cm="1">
        <f t="array" ref="I746">IF(D746="","",(G746*C746)*0.00075)</f>
        <v>3.45</v>
      </c>
      <c r="J746" s="23" cm="1">
        <f t="array" ref="J746">IF(D746="","",(G746*D746)*0.00075)</f>
        <v>3.6074999999999999</v>
      </c>
      <c r="K746" s="24" cm="1">
        <f t="array" ref="K746">IF(D746="","",J746+I746)</f>
        <v>7.0575000000000001</v>
      </c>
      <c r="L746" s="24" cm="1">
        <f t="array" ref="L746">IF(D746=0,0,(D746-C746)*G746)</f>
        <v>209.99999999999997</v>
      </c>
      <c r="M746" s="25">
        <v>4386.3924999999999</v>
      </c>
      <c r="N746" s="26" cm="1">
        <f t="array" ref="N746">IFERROR((K746-J746)/J746,"–")</f>
        <v>0.95634095634095639</v>
      </c>
      <c r="O746" s="24" cm="1">
        <f t="array" ref="O746">IF(D746=0,0,L746-K746)</f>
        <v>202.94249999999997</v>
      </c>
      <c r="P746" s="23"/>
      <c r="Q746" s="27"/>
    </row>
    <row r="747" spans="1:17" ht="22.5" customHeight="1">
      <c r="A747" s="16" t="s">
        <v>178</v>
      </c>
      <c r="B747" s="42">
        <v>44460</v>
      </c>
      <c r="C747" s="36">
        <v>4.68</v>
      </c>
      <c r="D747" s="36">
        <v>4.5999999999999996</v>
      </c>
      <c r="E747" s="30" cm="1">
        <f t="array" ref="E747">IF(D747="","",D747-C747)</f>
        <v>-8.0000000000000071E-2</v>
      </c>
      <c r="F747" s="31" cm="1">
        <f t="array" ref="F747">IF(D747=0,"",(D747-C747)/C747)</f>
        <v>-1.709401709401711E-2</v>
      </c>
      <c r="G747" s="32">
        <v>1000</v>
      </c>
      <c r="H747" s="10">
        <v>1</v>
      </c>
      <c r="I747" s="11" cm="1">
        <f t="array" ref="I747">IF(D747="","",(G747*C747)*0.00075)</f>
        <v>3.5100000000000002</v>
      </c>
      <c r="J747" s="11" cm="1">
        <f t="array" ref="J747">IF(D747="","",(G747*D747)*0.00075)</f>
        <v>3.45</v>
      </c>
      <c r="K747" s="33" cm="1">
        <f t="array" ref="K747">IF(D747="","",J747+I747)</f>
        <v>6.9600000000000009</v>
      </c>
      <c r="L747" s="33" cm="1">
        <f t="array" ref="L747">IF(D747=0,0,(D747-C747)*G747)</f>
        <v>-80.000000000000071</v>
      </c>
      <c r="M747" s="12">
        <v>4756.55</v>
      </c>
      <c r="N747" s="34" cm="1">
        <f t="array" ref="N747">IFERROR((K747-J747)/J747,"–")</f>
        <v>1.0173913043478262</v>
      </c>
      <c r="O747" s="33" cm="1">
        <f t="array" ref="O747">IF(D747=0,0,L747-K747)</f>
        <v>-86.960000000000065</v>
      </c>
      <c r="P747" s="11"/>
      <c r="Q747" s="35"/>
    </row>
    <row r="748" spans="1:17" ht="22.5" customHeight="1">
      <c r="A748" s="16" t="s">
        <v>178</v>
      </c>
      <c r="B748" s="43">
        <v>44460</v>
      </c>
      <c r="C748" s="37">
        <v>4.5042999999999997</v>
      </c>
      <c r="D748" s="37">
        <v>4.665</v>
      </c>
      <c r="E748" s="19" cm="1">
        <f t="array" ref="E748">IF(D748="","",D748-C748)</f>
        <v>0.16070000000000029</v>
      </c>
      <c r="F748" s="20" cm="1">
        <f t="array" ref="F748">IF(D748=0,"",(D748-C748)/C748)</f>
        <v>3.5677019736696111E-2</v>
      </c>
      <c r="G748" s="21">
        <v>500</v>
      </c>
      <c r="H748" s="22">
        <v>1</v>
      </c>
      <c r="I748" s="23" cm="1">
        <f t="array" ref="I748">IF(D748="","",(G748*C748)*0.00075)</f>
        <v>1.6891125</v>
      </c>
      <c r="J748" s="23" cm="1">
        <f t="array" ref="J748">IF(D748="","",(G748*D748)*0.00075)</f>
        <v>1.7493750000000001</v>
      </c>
      <c r="K748" s="24" cm="1">
        <f t="array" ref="K748">IF(D748="","",J748+I748)</f>
        <v>3.4384874999999999</v>
      </c>
      <c r="L748" s="24" cm="1">
        <f t="array" ref="L748">IF(D748=0,0,(D748-C748)*G748)</f>
        <v>80.350000000000136</v>
      </c>
      <c r="M748" s="25">
        <v>2170.0506249999999</v>
      </c>
      <c r="N748" s="26" cm="1">
        <f t="array" ref="N748">IFERROR((K748-J748)/J748,"–")</f>
        <v>0.96555198285101806</v>
      </c>
      <c r="O748" s="24" cm="1">
        <f t="array" ref="O748">IF(D748=0,0,L748-K748)</f>
        <v>76.911512500000143</v>
      </c>
      <c r="P748" s="23"/>
      <c r="Q748" s="27"/>
    </row>
    <row r="749" spans="1:17" ht="22.5" customHeight="1">
      <c r="A749" s="16" t="s">
        <v>63</v>
      </c>
      <c r="B749" s="42">
        <v>44460</v>
      </c>
      <c r="C749" s="36">
        <v>0.20799999999999999</v>
      </c>
      <c r="D749" s="36">
        <v>0.20930000000000001</v>
      </c>
      <c r="E749" s="30" cm="1">
        <f t="array" ref="E749">IF(D749="","",D749-C749)</f>
        <v>1.3000000000000234E-3</v>
      </c>
      <c r="F749" s="31" cm="1">
        <f t="array" ref="F749">IF(D749=0,"",(D749-C749)/C749)</f>
        <v>6.2500000000001122E-3</v>
      </c>
      <c r="G749" s="32">
        <v>12017</v>
      </c>
      <c r="H749" s="10">
        <v>1</v>
      </c>
      <c r="I749" s="11" cm="1">
        <f t="array" ref="I749">IF(D749="","",(G749*C749)*0.00075)</f>
        <v>1.874652</v>
      </c>
      <c r="J749" s="11" cm="1">
        <f t="array" ref="J749">IF(D749="","",(G749*D749)*0.00075)</f>
        <v>1.8863685750000001</v>
      </c>
      <c r="K749" s="33" cm="1">
        <f t="array" ref="K749">IF(D749="","",J749+I749)</f>
        <v>3.7610205749999999</v>
      </c>
      <c r="L749" s="33" cm="1">
        <f t="array" ref="L749">IF(D749=0,0,(D749-C749)*G749)</f>
        <v>15.62210000000028</v>
      </c>
      <c r="M749" s="12">
        <v>2482.0275314249998</v>
      </c>
      <c r="N749" s="34" cm="1">
        <f t="array" ref="N749">IFERROR((K749-J749)/J749,"–")</f>
        <v>0.99378881987577616</v>
      </c>
      <c r="O749" s="33" cm="1">
        <f t="array" ref="O749">IF(D749=0,0,L749-K749)</f>
        <v>11.86107942500028</v>
      </c>
      <c r="P749" s="11"/>
      <c r="Q749" s="35"/>
    </row>
    <row r="750" spans="1:17" ht="22.5" customHeight="1">
      <c r="A750" s="16" t="s">
        <v>63</v>
      </c>
      <c r="B750" s="43">
        <v>44460</v>
      </c>
      <c r="C750" s="37">
        <v>0.20799999999999999</v>
      </c>
      <c r="D750" s="37">
        <v>0.21049999999999999</v>
      </c>
      <c r="E750" s="19" cm="1">
        <f t="array" ref="E750">IF(D750="","",D750-C750)</f>
        <v>2.5000000000000022E-3</v>
      </c>
      <c r="F750" s="20" cm="1">
        <f t="array" ref="F750">IF(D750=0,"",(D750-C750)/C750)</f>
        <v>1.201923076923078E-2</v>
      </c>
      <c r="G750" s="21">
        <v>12017</v>
      </c>
      <c r="H750" s="22">
        <v>1</v>
      </c>
      <c r="I750" s="23" cm="1">
        <f t="array" ref="I750">IF(D750="","",(G750*C750)*0.00075)</f>
        <v>1.874652</v>
      </c>
      <c r="J750" s="23" cm="1">
        <f t="array" ref="J750">IF(D750="","",(G750*D750)*0.00075)</f>
        <v>1.8971838750000001</v>
      </c>
      <c r="K750" s="24" cm="1">
        <f t="array" ref="K750">IF(D750="","",J750+I750)</f>
        <v>3.7718358749999998</v>
      </c>
      <c r="L750" s="24" cm="1">
        <f t="array" ref="L750">IF(D750=0,0,(D750-C750)*G750)</f>
        <v>30.042500000000025</v>
      </c>
      <c r="M750" s="25">
        <v>2467.5963161250002</v>
      </c>
      <c r="N750" s="26" cm="1">
        <f t="array" ref="N750">IFERROR((K750-J750)/J750,"–")</f>
        <v>0.98812351543942978</v>
      </c>
      <c r="O750" s="24" cm="1">
        <f t="array" ref="O750">IF(D750=0,0,L750-K750)</f>
        <v>26.270664125000025</v>
      </c>
      <c r="P750" s="23"/>
      <c r="Q750" s="27"/>
    </row>
    <row r="751" spans="1:17" ht="22.5" customHeight="1">
      <c r="A751" s="16" t="s">
        <v>178</v>
      </c>
      <c r="B751" s="42">
        <v>44460</v>
      </c>
      <c r="C751" s="36">
        <v>4.4800000000000004</v>
      </c>
      <c r="D751" s="36">
        <v>4.42</v>
      </c>
      <c r="E751" s="30" cm="1">
        <f t="array" ref="E751">IF(D751="","",D751-C751)</f>
        <v>-6.0000000000000497E-2</v>
      </c>
      <c r="F751" s="31" cm="1">
        <f t="array" ref="F751">IF(D751=0,"",(D751-C751)/C751)</f>
        <v>-1.3392857142857253E-2</v>
      </c>
      <c r="G751" s="32">
        <v>500</v>
      </c>
      <c r="H751" s="10">
        <v>1</v>
      </c>
      <c r="I751" s="11" cm="1">
        <f t="array" ref="I751">IF(D751="","",(G751*C751)*0.00075)</f>
        <v>1.68</v>
      </c>
      <c r="J751" s="11" cm="1">
        <f t="array" ref="J751">IF(D751="","",(G751*D751)*0.00075)</f>
        <v>1.6575</v>
      </c>
      <c r="K751" s="33" cm="1">
        <f t="array" ref="K751">IF(D751="","",J751+I751)</f>
        <v>3.3374999999999999</v>
      </c>
      <c r="L751" s="33" cm="1">
        <f t="array" ref="L751">IF(D751=0,0,(D751-C751)*G751)</f>
        <v>-30.000000000000249</v>
      </c>
      <c r="M751" s="12">
        <v>2268.3425000000002</v>
      </c>
      <c r="N751" s="34" cm="1">
        <f t="array" ref="N751">IFERROR((K751-J751)/J751,"–")</f>
        <v>1.0135746606334841</v>
      </c>
      <c r="O751" s="33" cm="1">
        <f t="array" ref="O751">IF(D751=0,0,L751-K751)</f>
        <v>-33.337500000000247</v>
      </c>
      <c r="P751" s="11"/>
      <c r="Q751" s="35"/>
    </row>
    <row r="752" spans="1:17" ht="22.5" customHeight="1">
      <c r="A752" s="16" t="s">
        <v>178</v>
      </c>
      <c r="B752" s="43">
        <v>44460</v>
      </c>
      <c r="C752" s="37">
        <v>4.22</v>
      </c>
      <c r="D752" s="37">
        <v>4.28</v>
      </c>
      <c r="E752" s="19" cm="1">
        <f t="array" ref="E752">IF(D752="","",D752-C752)</f>
        <v>6.0000000000000497E-2</v>
      </c>
      <c r="F752" s="20" cm="1">
        <f t="array" ref="F752">IF(D752=0,"",(D752-C752)/C752)</f>
        <v>1.4218009478673105E-2</v>
      </c>
      <c r="G752" s="21">
        <v>473.9</v>
      </c>
      <c r="H752" s="22">
        <v>1</v>
      </c>
      <c r="I752" s="23" cm="1">
        <f t="array" ref="I752">IF(D752="","",(G752*C752)*0.00075)</f>
        <v>1.4998934999999998</v>
      </c>
      <c r="J752" s="23" cm="1">
        <f t="array" ref="J752">IF(D752="","",(G752*D752)*0.00075)</f>
        <v>1.5212189999999999</v>
      </c>
      <c r="K752" s="24" cm="1">
        <f t="array" ref="K752">IF(D752="","",J752+I752)</f>
        <v>3.0211124999999996</v>
      </c>
      <c r="L752" s="24" cm="1">
        <f t="array" ref="L752">IF(D752=0,0,(D752-C752)*G752)</f>
        <v>28.434000000000236</v>
      </c>
      <c r="M752" s="25">
        <v>1969.902781</v>
      </c>
      <c r="N752" s="26" cm="1">
        <f t="array" ref="N752">IFERROR((K752-J752)/J752,"–")</f>
        <v>0.9859813084112149</v>
      </c>
      <c r="O752" s="24" cm="1">
        <f t="array" ref="O752">IF(D752=0,0,L752-K752)</f>
        <v>25.412887500000235</v>
      </c>
      <c r="P752" s="23"/>
      <c r="Q752" s="27"/>
    </row>
    <row r="753" spans="1:17" ht="22.5" customHeight="1">
      <c r="A753" s="16" t="s">
        <v>178</v>
      </c>
      <c r="B753" s="42">
        <v>44460</v>
      </c>
      <c r="C753" s="36">
        <v>4.2351000000000001</v>
      </c>
      <c r="D753" s="36">
        <v>4.28</v>
      </c>
      <c r="E753" s="30" cm="1">
        <f t="array" ref="E753">IF(D753="","",D753-C753)</f>
        <v>4.4900000000000162E-2</v>
      </c>
      <c r="F753" s="31" cm="1">
        <f t="array" ref="F753">IF(D753=0,"",(D753-C753)/C753)</f>
        <v>1.0601874808150967E-2</v>
      </c>
      <c r="G753" s="32">
        <v>426.1</v>
      </c>
      <c r="H753" s="10">
        <v>1</v>
      </c>
      <c r="I753" s="11" cm="1">
        <f t="array" ref="I753">IF(D753="","",(G753*C753)*0.00075)</f>
        <v>1.3534320825000001</v>
      </c>
      <c r="J753" s="11" cm="1">
        <f t="array" ref="J753">IF(D753="","",(G753*D753)*0.00075)</f>
        <v>1.3677810000000004</v>
      </c>
      <c r="K753" s="33" cm="1">
        <f t="array" ref="K753">IF(D753="","",J753+I753)</f>
        <v>2.7212130825000003</v>
      </c>
      <c r="L753" s="33" cm="1">
        <f t="array" ref="L753">IF(D753=0,0,(D753-C753)*G753)</f>
        <v>19.13189000000007</v>
      </c>
      <c r="M753" s="12">
        <v>1784.0764389999999</v>
      </c>
      <c r="N753" s="34" cm="1">
        <f t="array" ref="N753">IFERROR((K753-J753)/J753,"–")</f>
        <v>0.9895093457943922</v>
      </c>
      <c r="O753" s="33" cm="1">
        <f t="array" ref="O753">IF(D753=0,0,L753-K753)</f>
        <v>16.410676917500069</v>
      </c>
      <c r="P753" s="11"/>
      <c r="Q753" s="35"/>
    </row>
    <row r="754" spans="1:17" ht="22.5" customHeight="1">
      <c r="A754" s="16" t="s">
        <v>178</v>
      </c>
      <c r="B754" s="43">
        <v>44460</v>
      </c>
      <c r="C754" s="37">
        <v>4.2351000000000001</v>
      </c>
      <c r="D754" s="37">
        <v>4.3</v>
      </c>
      <c r="E754" s="19" cm="1">
        <f t="array" ref="E754">IF(D754="","",D754-C754)</f>
        <v>6.4899999999999736E-2</v>
      </c>
      <c r="F754" s="20" cm="1">
        <f t="array" ref="F754">IF(D754=0,"",(D754-C754)/C754)</f>
        <v>1.5324313475478675E-2</v>
      </c>
      <c r="G754" s="21">
        <v>46.1</v>
      </c>
      <c r="H754" s="22">
        <v>1</v>
      </c>
      <c r="I754" s="23" cm="1">
        <f t="array" ref="I754">IF(D754="","",(G754*C754)*0.00075)</f>
        <v>0.14642858250000002</v>
      </c>
      <c r="J754" s="23" cm="1">
        <f t="array" ref="J754">IF(D754="","",(G754*D754)*0.00075)</f>
        <v>0.14867249999999999</v>
      </c>
      <c r="K754" s="24" cm="1">
        <f t="array" ref="K754">IF(D754="","",J754+I754)</f>
        <v>0.2951010825</v>
      </c>
      <c r="L754" s="24" cm="1">
        <f t="array" ref="L754">IF(D754=0,0,(D754-C754)*G754)</f>
        <v>2.9918899999999877</v>
      </c>
      <c r="M754" s="25">
        <v>192.09754749999999</v>
      </c>
      <c r="N754" s="26" cm="1">
        <f t="array" ref="N754">IFERROR((K754-J754)/J754,"–")</f>
        <v>0.98490697674418626</v>
      </c>
      <c r="O754" s="24" cm="1">
        <f t="array" ref="O754">IF(D754=0,0,L754-K754)</f>
        <v>2.6967889174999877</v>
      </c>
      <c r="P754" s="23"/>
      <c r="Q754" s="27"/>
    </row>
    <row r="755" spans="1:17" ht="22.5" customHeight="1">
      <c r="A755" s="16" t="s">
        <v>39</v>
      </c>
      <c r="B755" s="42">
        <v>44460</v>
      </c>
      <c r="C755" s="36">
        <v>2.4660000000000001E-2</v>
      </c>
      <c r="D755" s="36">
        <v>2.504E-2</v>
      </c>
      <c r="E755" s="30" cm="1">
        <f t="array" ref="E755">IF(D755="","",D755-C755)</f>
        <v>3.7999999999999839E-4</v>
      </c>
      <c r="F755" s="31" cm="1">
        <f t="array" ref="F755">IF(D755=0,"",(D755-C755)/C755)</f>
        <v>1.5409570154095635E-2</v>
      </c>
      <c r="G755" s="32">
        <v>81097</v>
      </c>
      <c r="H755" s="10">
        <v>1</v>
      </c>
      <c r="I755" s="11" cm="1">
        <f t="array" ref="I755">IF(D755="","",(G755*C755)*0.00075)</f>
        <v>1.4998890150000002</v>
      </c>
      <c r="J755" s="11" cm="1">
        <f t="array" ref="J755">IF(D755="","",(G755*D755)*0.00075)</f>
        <v>1.52300166</v>
      </c>
      <c r="K755" s="33" cm="1">
        <f t="array" ref="K755">IF(D755="","",J755+I755)</f>
        <v>3.0228906750000002</v>
      </c>
      <c r="L755" s="33" cm="1">
        <f t="array" ref="L755">IF(D755=0,0,(D755-C755)*G755)</f>
        <v>30.81685999999987</v>
      </c>
      <c r="M755" s="12">
        <v>1967.51215834</v>
      </c>
      <c r="N755" s="34" cm="1">
        <f t="array" ref="N755">IFERROR((K755-J755)/J755,"–")</f>
        <v>0.98482428115015985</v>
      </c>
      <c r="O755" s="33" cm="1">
        <f t="array" ref="O755">IF(D755=0,0,L755-K755)</f>
        <v>27.793969324999871</v>
      </c>
      <c r="P755" s="11"/>
      <c r="Q755" s="35"/>
    </row>
    <row r="756" spans="1:17" ht="22.5" customHeight="1">
      <c r="A756" s="16" t="s">
        <v>179</v>
      </c>
      <c r="B756" s="43">
        <v>44461</v>
      </c>
      <c r="C756" s="37">
        <v>4.7234999999999996</v>
      </c>
      <c r="D756" s="37">
        <v>4.6623000000000001</v>
      </c>
      <c r="E756" s="19" cm="1">
        <f t="array" ref="E756">IF(D756="","",D756-C756)</f>
        <v>-6.1199999999999477E-2</v>
      </c>
      <c r="F756" s="20" cm="1">
        <f t="array" ref="F756">IF(D756=0,"",(D756-C756)/C756)</f>
        <v>-1.2956494125118977E-2</v>
      </c>
      <c r="G756" s="21">
        <v>529.1</v>
      </c>
      <c r="H756" s="22">
        <v>1</v>
      </c>
      <c r="I756" s="23" cm="1">
        <f t="array" ref="I756">IF(D756="","",(G756*C756)*0.00075)</f>
        <v>1.8744028874999998</v>
      </c>
      <c r="J756" s="23" cm="1">
        <f t="array" ref="J756">IF(D756="","",(G756*D756)*0.00075)</f>
        <v>1.8501171975000001</v>
      </c>
      <c r="K756" s="24" cm="1">
        <f t="array" ref="K756">IF(D756="","",J756+I756)</f>
        <v>3.724520085</v>
      </c>
      <c r="L756" s="24" cm="1">
        <f t="array" ref="L756">IF(D756=0,0,(D756-C756)*G756)</f>
        <v>-32.380919999999726</v>
      </c>
      <c r="M756" s="25">
        <v>2529.7346528025</v>
      </c>
      <c r="N756" s="26" cm="1">
        <f t="array" ref="N756">IFERROR((K756-J756)/J756,"–")</f>
        <v>1.0131265684318898</v>
      </c>
      <c r="O756" s="24" cm="1">
        <f t="array" ref="O756">IF(D756=0,0,L756-K756)</f>
        <v>-36.105440084999728</v>
      </c>
      <c r="P756" s="23"/>
      <c r="Q756" s="27"/>
    </row>
    <row r="757" spans="1:17" ht="22.5" customHeight="1">
      <c r="A757" s="16" t="s">
        <v>157</v>
      </c>
      <c r="B757" s="42">
        <v>44461</v>
      </c>
      <c r="C757" s="36">
        <v>0.35920000000000002</v>
      </c>
      <c r="D757" s="36">
        <v>0.36799999999999999</v>
      </c>
      <c r="E757" s="30" cm="1">
        <f t="array" ref="E757">IF(D757="","",D757-C757)</f>
        <v>8.7999999999999745E-3</v>
      </c>
      <c r="F757" s="31" cm="1">
        <f t="array" ref="F757">IF(D757=0,"",(D757-C757)/C757)</f>
        <v>2.4498886414253827E-2</v>
      </c>
      <c r="G757" s="32">
        <v>13916</v>
      </c>
      <c r="H757" s="10">
        <v>1</v>
      </c>
      <c r="I757" s="11" cm="1">
        <f t="array" ref="I757">IF(D757="","",(G757*C757)*0.00075)</f>
        <v>3.7489704000000001</v>
      </c>
      <c r="J757" s="11" cm="1">
        <f t="array" ref="J757">IF(D757="","",(G757*D757)*0.00075)</f>
        <v>3.8408159999999998</v>
      </c>
      <c r="K757" s="33" cm="1">
        <f t="array" ref="K757">IF(D757="","",J757+I757)</f>
        <v>7.5897863999999995</v>
      </c>
      <c r="L757" s="33" cm="1">
        <f t="array" ref="L757">IF(D757=0,0,(D757-C757)*G757)</f>
        <v>122.46079999999965</v>
      </c>
      <c r="M757" s="12">
        <v>4872.3255840000002</v>
      </c>
      <c r="N757" s="34" cm="1">
        <f t="array" ref="N757">IFERROR((K757-J757)/J757,"–")</f>
        <v>0.97608695652173916</v>
      </c>
      <c r="O757" s="33" cm="1">
        <f t="array" ref="O757">IF(D757=0,0,L757-K757)</f>
        <v>114.87101359999966</v>
      </c>
      <c r="P757" s="11"/>
      <c r="Q757" s="35"/>
    </row>
    <row r="758" spans="1:17" ht="22.5" customHeight="1">
      <c r="A758" s="16" t="s">
        <v>151</v>
      </c>
      <c r="B758" s="43">
        <v>44461</v>
      </c>
      <c r="C758" s="37">
        <v>1.2543</v>
      </c>
      <c r="D758" s="37">
        <v>1.28</v>
      </c>
      <c r="E758" s="19" cm="1">
        <f t="array" ref="E758">IF(D758="","",D758-C758)</f>
        <v>2.5700000000000056E-2</v>
      </c>
      <c r="F758" s="20" cm="1">
        <f t="array" ref="F758">IF(D758=0,"",(D758-C758)/C758)</f>
        <v>2.048951606473735E-2</v>
      </c>
      <c r="G758" s="21">
        <v>3986.2</v>
      </c>
      <c r="H758" s="22">
        <v>1</v>
      </c>
      <c r="I758" s="23" cm="1">
        <f t="array" ref="I758">IF(D758="","",(G758*C758)*0.00075)</f>
        <v>3.7499179950000001</v>
      </c>
      <c r="J758" s="23" cm="1">
        <f t="array" ref="J758">IF(D758="","",(G758*D758)*0.00075)</f>
        <v>3.8267520000000004</v>
      </c>
      <c r="K758" s="24" cm="1">
        <f t="array" ref="K758">IF(D758="","",J758+I758)</f>
        <v>7.5766699950000005</v>
      </c>
      <c r="L758" s="24" cm="1">
        <f t="array" ref="L758">IF(D758=0,0,(D758-C758)*G758)</f>
        <v>102.44534000000021</v>
      </c>
      <c r="M758" s="25">
        <v>4893.6185679999999</v>
      </c>
      <c r="N758" s="26" cm="1">
        <f t="array" ref="N758">IFERROR((K758-J758)/J758,"–")</f>
        <v>0.97992187499999994</v>
      </c>
      <c r="O758" s="24" cm="1">
        <f t="array" ref="O758">IF(D758=0,0,L758-K758)</f>
        <v>94.868670005000212</v>
      </c>
      <c r="P758" s="23"/>
      <c r="Q758" s="27"/>
    </row>
    <row r="759" spans="1:17" ht="22.5" customHeight="1">
      <c r="A759" s="16" t="s">
        <v>180</v>
      </c>
      <c r="B759" s="42">
        <v>44461</v>
      </c>
      <c r="C759" s="36">
        <v>1.2392000000000001</v>
      </c>
      <c r="D759" s="36">
        <v>1.2415</v>
      </c>
      <c r="E759" s="30" cm="1">
        <f t="array" ref="E759">IF(D759="","",D759-C759)</f>
        <v>2.2999999999999687E-3</v>
      </c>
      <c r="F759" s="31" cm="1">
        <f t="array" ref="F759">IF(D759=0,"",(D759-C759)/C759)</f>
        <v>1.8560361523563336E-3</v>
      </c>
      <c r="G759" s="32">
        <v>3026</v>
      </c>
      <c r="H759" s="10">
        <v>1</v>
      </c>
      <c r="I759" s="11" cm="1">
        <f t="array" ref="I759">IF(D759="","",(G759*C759)*0.00075)</f>
        <v>2.8123644000000003</v>
      </c>
      <c r="J759" s="11" cm="1">
        <f t="array" ref="J759">IF(D759="","",(G759*D759)*0.00075)</f>
        <v>2.8175842499999999</v>
      </c>
      <c r="K759" s="33" cm="1">
        <f t="array" ref="K759">IF(D759="","",J759+I759)</f>
        <v>5.6299486500000002</v>
      </c>
      <c r="L759" s="33" cm="1">
        <f t="array" ref="L759">IF(D759=0,0,(D759-C759)*G759)</f>
        <v>6.9597999999999054</v>
      </c>
      <c r="M759" s="12">
        <v>3740.0418157499998</v>
      </c>
      <c r="N759" s="34" cm="1">
        <f t="array" ref="N759">IFERROR((K759-J759)/J759,"–")</f>
        <v>0.99814740233588417</v>
      </c>
      <c r="O759" s="33" cm="1">
        <f t="array" ref="O759">IF(D759=0,0,L759-K759)</f>
        <v>1.3298513499999052</v>
      </c>
      <c r="P759" s="11"/>
      <c r="Q759" s="35"/>
    </row>
    <row r="760" spans="1:17" ht="22.5" customHeight="1">
      <c r="A760" s="16" t="s">
        <v>180</v>
      </c>
      <c r="B760" s="43">
        <v>44461</v>
      </c>
      <c r="C760" s="37">
        <v>1.2392000000000001</v>
      </c>
      <c r="D760" s="37">
        <v>1.2415</v>
      </c>
      <c r="E760" s="19" cm="1">
        <f t="array" ref="E760">IF(D760="","",D760-C760)</f>
        <v>2.2999999999999687E-3</v>
      </c>
      <c r="F760" s="20" cm="1">
        <f t="array" ref="F760">IF(D760=0,"",(D760-C760)/C760)</f>
        <v>1.8560361523563336E-3</v>
      </c>
      <c r="G760" s="21">
        <v>4539</v>
      </c>
      <c r="H760" s="22">
        <v>1</v>
      </c>
      <c r="I760" s="23" cm="1">
        <f t="array" ref="I760">IF(D760="","",(G760*C760)*0.00075)</f>
        <v>4.2185466000000007</v>
      </c>
      <c r="J760" s="23" cm="1">
        <f t="array" ref="J760">IF(D760="","",(G760*D760)*0.00075)</f>
        <v>4.2263763750000001</v>
      </c>
      <c r="K760" s="24" cm="1">
        <f t="array" ref="K760">IF(D760="","",J760+I760)</f>
        <v>8.4449229750000008</v>
      </c>
      <c r="L760" s="24" cm="1">
        <f t="array" ref="L760">IF(D760=0,0,(D760-C760)*G760)</f>
        <v>10.439699999999858</v>
      </c>
      <c r="M760" s="25">
        <v>5610.0627236250002</v>
      </c>
      <c r="N760" s="26" cm="1">
        <f t="array" ref="N760">IFERROR((K760-J760)/J760,"–")</f>
        <v>0.99814740233588417</v>
      </c>
      <c r="O760" s="24" cm="1">
        <f t="array" ref="O760">IF(D760=0,0,L760-K760)</f>
        <v>1.9947770249998573</v>
      </c>
      <c r="P760" s="23"/>
      <c r="Q760" s="27"/>
    </row>
    <row r="761" spans="1:17" ht="22.5" customHeight="1">
      <c r="A761" s="16" t="s">
        <v>180</v>
      </c>
      <c r="B761" s="42">
        <v>44461</v>
      </c>
      <c r="C761" s="36">
        <v>1.2392000000000001</v>
      </c>
      <c r="D761" s="36">
        <v>1.2191000000000001</v>
      </c>
      <c r="E761" s="30" cm="1">
        <f t="array" ref="E761">IF(D761="","",D761-C761)</f>
        <v>-2.0100000000000007E-2</v>
      </c>
      <c r="F761" s="31" cm="1">
        <f t="array" ref="F761">IF(D761=0,"",(D761-C761)/C761)</f>
        <v>-1.6220142027114273E-2</v>
      </c>
      <c r="G761" s="32">
        <v>4539</v>
      </c>
      <c r="H761" s="10">
        <v>1</v>
      </c>
      <c r="I761" s="11" cm="1">
        <f t="array" ref="I761">IF(D761="","",(G761*C761)*0.00075)</f>
        <v>4.2185466000000007</v>
      </c>
      <c r="J761" s="11" cm="1">
        <f t="array" ref="J761">IF(D761="","",(G761*D761)*0.00075)</f>
        <v>4.1501211750000007</v>
      </c>
      <c r="K761" s="33" cm="1">
        <f t="array" ref="K761">IF(D761="","",J761+I761)</f>
        <v>8.3686677750000023</v>
      </c>
      <c r="L761" s="33" cm="1">
        <f t="array" ref="L761">IF(D761=0,0,(D761-C761)*G761)</f>
        <v>-91.233900000000034</v>
      </c>
      <c r="M761" s="12">
        <v>5711.8125788249999</v>
      </c>
      <c r="N761" s="34" cm="1">
        <f t="array" ref="N761">IFERROR((K761-J761)/J761,"–")</f>
        <v>1.0164875727996066</v>
      </c>
      <c r="O761" s="33" cm="1">
        <f t="array" ref="O761">IF(D761=0,0,L761-K761)</f>
        <v>-99.60256777500004</v>
      </c>
      <c r="P761" s="11"/>
      <c r="Q761" s="35"/>
    </row>
    <row r="762" spans="1:17" ht="22.5" customHeight="1">
      <c r="A762" s="16" t="s">
        <v>101</v>
      </c>
      <c r="B762" s="43">
        <v>44462</v>
      </c>
      <c r="C762" s="37">
        <v>0.15620000000000001</v>
      </c>
      <c r="D762" s="37">
        <v>0.1578</v>
      </c>
      <c r="E762" s="19" cm="1">
        <f t="array" ref="E762">IF(D762="","",D762-C762)</f>
        <v>1.5999999999999903E-3</v>
      </c>
      <c r="F762" s="20" cm="1">
        <f t="array" ref="F762">IF(D762=0,"",(D762-C762)/C762)</f>
        <v>1.0243277848911589E-2</v>
      </c>
      <c r="G762" s="21">
        <v>32010</v>
      </c>
      <c r="H762" s="22">
        <v>1</v>
      </c>
      <c r="I762" s="23" cm="1">
        <f t="array" ref="I762">IF(D762="","",(G762*C762)*0.00075)</f>
        <v>3.7499715000000005</v>
      </c>
      <c r="J762" s="23" cm="1">
        <f t="array" ref="J762">IF(D762="","",(G762*D762)*0.00075)</f>
        <v>3.7883835000000001</v>
      </c>
      <c r="K762" s="24" cm="1">
        <f t="array" ref="K762">IF(D762="","",J762+I762)</f>
        <v>7.538355000000001</v>
      </c>
      <c r="L762" s="24" cm="1">
        <f t="array" ref="L762">IF(D762=0,0,(D762-C762)*G762)</f>
        <v>51.215999999999688</v>
      </c>
      <c r="M762" s="25">
        <v>4944.9576164999999</v>
      </c>
      <c r="N762" s="26" cm="1">
        <f t="array" ref="N762">IFERROR((K762-J762)/J762,"–")</f>
        <v>0.98986058301647672</v>
      </c>
      <c r="O762" s="24" cm="1">
        <f t="array" ref="O762">IF(D762=0,0,L762-K762)</f>
        <v>43.677644999999686</v>
      </c>
      <c r="P762" s="23"/>
      <c r="Q762" s="27"/>
    </row>
    <row r="763" spans="1:17" ht="22.5" customHeight="1">
      <c r="A763" s="16" t="s">
        <v>59</v>
      </c>
      <c r="B763" s="42">
        <v>44462</v>
      </c>
      <c r="C763" s="36">
        <v>19.3965</v>
      </c>
      <c r="D763" s="36">
        <v>20.2332</v>
      </c>
      <c r="E763" s="30" cm="1">
        <f t="array" ref="E763">IF(D763="","",D763-C763)</f>
        <v>0.83670000000000044</v>
      </c>
      <c r="F763" s="31" cm="1">
        <f t="array" ref="F763">IF(D763=0,"",(D763-C763)/C763)</f>
        <v>4.3136648364395659E-2</v>
      </c>
      <c r="G763" s="32">
        <v>502.65</v>
      </c>
      <c r="H763" s="10">
        <v>1</v>
      </c>
      <c r="I763" s="11" cm="1">
        <f t="array" ref="I763">IF(D763="","",(G763*C763)*0.00075)</f>
        <v>7.3122380437499999</v>
      </c>
      <c r="J763" s="11" cm="1">
        <f t="array" ref="J763">IF(D763="","",(G763*D763)*0.00075)</f>
        <v>7.6276634849999994</v>
      </c>
      <c r="K763" s="33" cm="1">
        <f t="array" ref="K763">IF(D763="","",J763+I763)</f>
        <v>14.939901528749999</v>
      </c>
      <c r="L763" s="33" cm="1">
        <f t="array" ref="L763">IF(D763=0,0,(D763-C763)*G763)</f>
        <v>420.56725500000022</v>
      </c>
      <c r="M763" s="12">
        <v>9321.4558065149995</v>
      </c>
      <c r="N763" s="34" cm="1">
        <f t="array" ref="N763">IFERROR((K763-J763)/J763,"–")</f>
        <v>0.95864717395172294</v>
      </c>
      <c r="O763" s="33" cm="1">
        <f t="array" ref="O763">IF(D763=0,0,L763-K763)</f>
        <v>405.62735347125022</v>
      </c>
      <c r="P763" s="11"/>
      <c r="Q763" s="35"/>
    </row>
    <row r="764" spans="1:17" ht="22.5" customHeight="1">
      <c r="A764" s="16" t="s">
        <v>59</v>
      </c>
      <c r="B764" s="43">
        <v>44462</v>
      </c>
      <c r="C764" s="37">
        <v>19.3965</v>
      </c>
      <c r="D764" s="37">
        <v>21.658799999999999</v>
      </c>
      <c r="E764" s="19" cm="1">
        <f t="array" ref="E764">IF(D764="","",D764-C764)</f>
        <v>2.2622999999999998</v>
      </c>
      <c r="F764" s="20" cm="1">
        <f t="array" ref="F764">IF(D764=0,"",(D764-C764)/C764)</f>
        <v>0.11663444435851827</v>
      </c>
      <c r="G764" s="21">
        <v>376.99</v>
      </c>
      <c r="H764" s="22">
        <v>1</v>
      </c>
      <c r="I764" s="23" cm="1">
        <f t="array" ref="I764">IF(D764="","",(G764*C764)*0.00075)</f>
        <v>5.4842149012500006</v>
      </c>
      <c r="J764" s="23" cm="1">
        <f t="array" ref="J764">IF(D764="","",(G764*D764)*0.00075)</f>
        <v>6.1238632590000002</v>
      </c>
      <c r="K764" s="24" cm="1">
        <f t="array" ref="K764">IF(D764="","",J764+I764)</f>
        <v>11.608078160250001</v>
      </c>
      <c r="L764" s="24" cm="1">
        <f t="array" ref="L764">IF(D764=0,0,(D764-C764)*G764)</f>
        <v>852.86447699999997</v>
      </c>
      <c r="M764" s="25">
        <v>6453.2981947409999</v>
      </c>
      <c r="N764" s="26" cm="1">
        <f t="array" ref="N764">IFERROR((K764-J764)/J764,"–")</f>
        <v>0.89554822981882665</v>
      </c>
      <c r="O764" s="24" cm="1">
        <f t="array" ref="O764">IF(D764=0,0,L764-K764)</f>
        <v>841.25639883974998</v>
      </c>
      <c r="P764" s="23"/>
      <c r="Q764" s="27"/>
    </row>
    <row r="765" spans="1:17" ht="22.5" customHeight="1">
      <c r="A765" s="16" t="s">
        <v>59</v>
      </c>
      <c r="B765" s="42">
        <v>44462</v>
      </c>
      <c r="C765" s="36">
        <v>19.3965</v>
      </c>
      <c r="D765" s="36">
        <v>22.5</v>
      </c>
      <c r="E765" s="30" cm="1">
        <f t="array" ref="E765">IF(D765="","",D765-C765)</f>
        <v>3.1035000000000004</v>
      </c>
      <c r="F765" s="31" cm="1">
        <f t="array" ref="F765">IF(D765=0,"",(D765-C765)/C765)</f>
        <v>0.16000309334158228</v>
      </c>
      <c r="G765" s="32">
        <v>93.974999999999994</v>
      </c>
      <c r="H765" s="10">
        <v>1</v>
      </c>
      <c r="I765" s="11" cm="1">
        <f t="array" ref="I765">IF(D765="","",(G765*C765)*0.00075)</f>
        <v>1.3670895656249999</v>
      </c>
      <c r="J765" s="11" cm="1">
        <f t="array" ref="J765">IF(D765="","",(G765*D765)*0.00075)</f>
        <v>1.5858281250000001</v>
      </c>
      <c r="K765" s="33" cm="1">
        <f t="array" ref="K765">IF(D765="","",J765+I765)</f>
        <v>2.9529176906250001</v>
      </c>
      <c r="L765" s="33" cm="1">
        <f t="array" ref="L765">IF(D765=0,0,(D765-C765)*G765)</f>
        <v>291.65141249999999</v>
      </c>
      <c r="M765" s="12">
        <v>1529.548846875</v>
      </c>
      <c r="N765" s="34" cm="1">
        <f t="array" ref="N765">IFERROR((K765-J765)/J765,"–")</f>
        <v>0.86206666666666654</v>
      </c>
      <c r="O765" s="33" cm="1">
        <f t="array" ref="O765">IF(D765=0,0,L765-K765)</f>
        <v>288.69849480937501</v>
      </c>
      <c r="P765" s="11"/>
      <c r="Q765" s="35"/>
    </row>
    <row r="766" spans="1:17" ht="22.5" customHeight="1">
      <c r="A766" s="16" t="s">
        <v>59</v>
      </c>
      <c r="B766" s="43">
        <v>44462</v>
      </c>
      <c r="C766" s="37">
        <v>19.3965</v>
      </c>
      <c r="D766" s="37">
        <v>22.212700000000002</v>
      </c>
      <c r="E766" s="19" cm="1">
        <f t="array" ref="E766">IF(D766="","",D766-C766)</f>
        <v>2.816200000000002</v>
      </c>
      <c r="F766" s="20" cm="1">
        <f t="array" ref="F766">IF(D766=0,"",(D766-C766)/C766)</f>
        <v>0.14519114273193628</v>
      </c>
      <c r="G766" s="21">
        <v>518.5</v>
      </c>
      <c r="H766" s="22">
        <v>1</v>
      </c>
      <c r="I766" s="23" cm="1">
        <f t="array" ref="I766">IF(D766="","",(G766*C766)*0.00075)</f>
        <v>7.5428139375000001</v>
      </c>
      <c r="J766" s="23" cm="1">
        <f t="array" ref="J766">IF(D766="","",(G766*D766)*0.00075)</f>
        <v>8.6379637125000013</v>
      </c>
      <c r="K766" s="24" cm="1">
        <f t="array" ref="K766">IF(D766="","",J766+I766)</f>
        <v>16.180777650000003</v>
      </c>
      <c r="L766" s="24" cm="1">
        <f t="array" ref="L766">IF(D766=0,0,(D766-C766)*G766)</f>
        <v>1460.199700000001</v>
      </c>
      <c r="M766" s="25">
        <v>8588.2475862874999</v>
      </c>
      <c r="N766" s="26" cm="1">
        <f t="array" ref="N766">IFERROR((K766-J766)/J766,"–")</f>
        <v>0.87321667334452824</v>
      </c>
      <c r="O766" s="24" cm="1">
        <f t="array" ref="O766">IF(D766=0,0,L766-K766)</f>
        <v>1444.018922350001</v>
      </c>
      <c r="P766" s="23"/>
      <c r="Q766" s="27"/>
    </row>
    <row r="767" spans="1:17" ht="22.5" customHeight="1">
      <c r="A767" s="16" t="s">
        <v>59</v>
      </c>
      <c r="B767" s="42">
        <v>44462</v>
      </c>
      <c r="C767" s="36">
        <v>19.3965</v>
      </c>
      <c r="D767" s="36">
        <v>23.83</v>
      </c>
      <c r="E767" s="30" cm="1">
        <f t="array" ref="E767">IF(D767="","",D767-C767)</f>
        <v>4.4334999999999987</v>
      </c>
      <c r="F767" s="31" cm="1">
        <f t="array" ref="F767">IF(D767=0,"",(D767-C767)/C767)</f>
        <v>0.22857216508132905</v>
      </c>
      <c r="G767" s="32">
        <v>118.3</v>
      </c>
      <c r="H767" s="10">
        <v>1</v>
      </c>
      <c r="I767" s="11" cm="1">
        <f t="array" ref="I767">IF(D767="","",(G767*C767)*0.00075)</f>
        <v>1.7209544625000002</v>
      </c>
      <c r="J767" s="11" cm="1">
        <f t="array" ref="J767">IF(D767="","",(G767*D767)*0.00075)</f>
        <v>2.11431675</v>
      </c>
      <c r="K767" s="33" cm="1">
        <f t="array" ref="K767">IF(D767="","",J767+I767)</f>
        <v>3.8352712125000004</v>
      </c>
      <c r="L767" s="33" cm="1">
        <f t="array" ref="L767">IF(D767=0,0,(D767-C767)*G767)</f>
        <v>524.48304999999982</v>
      </c>
      <c r="M767" s="12">
        <v>1768.0085832499999</v>
      </c>
      <c r="N767" s="34" cm="1">
        <f t="array" ref="N767">IFERROR((K767-J767)/J767,"–")</f>
        <v>0.81395300041963936</v>
      </c>
      <c r="O767" s="33" cm="1">
        <f t="array" ref="O767">IF(D767=0,0,L767-K767)</f>
        <v>520.64777878749987</v>
      </c>
      <c r="P767" s="11"/>
      <c r="Q767" s="35"/>
    </row>
    <row r="768" spans="1:17" ht="22.5" customHeight="1">
      <c r="A768" s="16" t="s">
        <v>59</v>
      </c>
      <c r="B768" s="43">
        <v>44462</v>
      </c>
      <c r="C768" s="37">
        <v>19.3965</v>
      </c>
      <c r="D768" s="37">
        <v>23.769100000000002</v>
      </c>
      <c r="E768" s="19" cm="1">
        <f t="array" ref="E768">IF(D768="","",D768-C768)</f>
        <v>4.372600000000002</v>
      </c>
      <c r="F768" s="20" cm="1">
        <f t="array" ref="F768">IF(D768=0,"",(D768-C768)/C768)</f>
        <v>0.22543242337535133</v>
      </c>
      <c r="G768" s="21">
        <v>118.6</v>
      </c>
      <c r="H768" s="22">
        <v>1</v>
      </c>
      <c r="I768" s="23" cm="1">
        <f t="array" ref="I768">IF(D768="","",(G768*C768)*0.00075)</f>
        <v>1.725318675</v>
      </c>
      <c r="J768" s="23" cm="1">
        <f t="array" ref="J768">IF(D768="","",(G768*D768)*0.00075)</f>
        <v>2.1142614450000004</v>
      </c>
      <c r="K768" s="24" cm="1">
        <f t="array" ref="K768">IF(D768="","",J768+I768)</f>
        <v>3.8395801200000004</v>
      </c>
      <c r="L768" s="24" cm="1">
        <f t="array" ref="L768">IF(D768=0,0,(D768-C768)*G768)</f>
        <v>518.59036000000026</v>
      </c>
      <c r="M768" s="25">
        <v>1779.720278555</v>
      </c>
      <c r="N768" s="26" cm="1">
        <f t="array" ref="N768">IFERROR((K768-J768)/J768,"–")</f>
        <v>0.81603847011456043</v>
      </c>
      <c r="O768" s="24" cm="1">
        <f t="array" ref="O768">IF(D768=0,0,L768-K768)</f>
        <v>514.75077988000021</v>
      </c>
      <c r="P768" s="23"/>
      <c r="Q768" s="27"/>
    </row>
    <row r="769" spans="1:17" ht="22.5" customHeight="1">
      <c r="A769" s="16" t="s">
        <v>59</v>
      </c>
      <c r="B769" s="42">
        <v>44462</v>
      </c>
      <c r="C769" s="36">
        <v>19.3965</v>
      </c>
      <c r="D769" s="36">
        <v>24.078600000000002</v>
      </c>
      <c r="E769" s="30" cm="1">
        <f t="array" ref="E769">IF(D769="","",D769-C769)</f>
        <v>4.6821000000000019</v>
      </c>
      <c r="F769" s="31" cm="1">
        <f t="array" ref="F769">IF(D769=0,"",(D769-C769)/C769)</f>
        <v>0.24138891037042776</v>
      </c>
      <c r="G769" s="32">
        <v>195.13900000000001</v>
      </c>
      <c r="H769" s="10">
        <v>1</v>
      </c>
      <c r="I769" s="11" cm="1">
        <f t="array" ref="I769">IF(D769="","",(G769*C769)*0.00075)</f>
        <v>2.8387602101250002</v>
      </c>
      <c r="J769" s="11" cm="1">
        <f t="array" ref="J769">IF(D769="","",(G769*D769)*0.00075)</f>
        <v>3.5240054440500002</v>
      </c>
      <c r="K769" s="33" cm="1">
        <f t="array" ref="K769">IF(D769="","",J769+I769)</f>
        <v>6.362765654175</v>
      </c>
      <c r="L769" s="33" cm="1">
        <f t="array" ref="L769">IF(D769=0,0,(D769-C769)*G769)</f>
        <v>913.66031190000047</v>
      </c>
      <c r="M769" s="12">
        <v>2867.82929615595</v>
      </c>
      <c r="N769" s="34" cm="1">
        <f t="array" ref="N769">IFERROR((K769-J769)/J769,"–")</f>
        <v>0.80554932595748918</v>
      </c>
      <c r="O769" s="33" cm="1">
        <f t="array" ref="O769">IF(D769=0,0,L769-K769)</f>
        <v>907.29754624582552</v>
      </c>
      <c r="P769" s="45"/>
      <c r="Q769" s="50"/>
    </row>
    <row r="770" spans="1:17" ht="22.5" customHeight="1">
      <c r="A770" s="16" t="s">
        <v>59</v>
      </c>
      <c r="B770" s="43">
        <v>44462</v>
      </c>
      <c r="C770" s="37">
        <v>19.3965</v>
      </c>
      <c r="D770" s="37">
        <v>23.92</v>
      </c>
      <c r="E770" s="19" cm="1">
        <f t="array" ref="E770">IF(D770="","",D770-C770)</f>
        <v>4.5235000000000021</v>
      </c>
      <c r="F770" s="20" cm="1">
        <f t="array" ref="F770">IF(D770=0,"",(D770-C770)/C770)</f>
        <v>0.23321217745469555</v>
      </c>
      <c r="G770" s="21">
        <v>78.572400000000002</v>
      </c>
      <c r="H770" s="22">
        <v>1</v>
      </c>
      <c r="I770" s="23" cm="1">
        <f t="array" ref="I770">IF(D770="","",(G770*C770)*0.00075)</f>
        <v>1.1430221674500001</v>
      </c>
      <c r="J770" s="23" cm="1">
        <f t="array" ref="J770">IF(D770="","",(G770*D770)*0.00075)</f>
        <v>1.4095888560000003</v>
      </c>
      <c r="K770" s="24" cm="1">
        <f t="array" ref="K770">IF(D770="","",J770+I770)</f>
        <v>2.5526110234500003</v>
      </c>
      <c r="L770" s="24" cm="1">
        <f t="array" ref="L770">IF(D770=0,0,(D770-C770)*G770)</f>
        <v>355.42225140000016</v>
      </c>
      <c r="M770" s="25">
        <v>1167.1977163439999</v>
      </c>
      <c r="N770" s="26" cm="1">
        <f t="array" ref="N770">IFERROR((K770-J770)/J770,"–")</f>
        <v>0.81089046822742461</v>
      </c>
      <c r="O770" s="24" cm="1">
        <f t="array" ref="O770">IF(D770=0,0,L770-K770)</f>
        <v>352.86964037655014</v>
      </c>
      <c r="P770" s="23"/>
      <c r="Q770" s="27"/>
    </row>
    <row r="771" spans="1:17" ht="22.5" customHeight="1">
      <c r="A771" s="16" t="s">
        <v>59</v>
      </c>
      <c r="B771" s="42">
        <v>44462</v>
      </c>
      <c r="C771" s="36">
        <v>19.3965</v>
      </c>
      <c r="D771" s="36">
        <v>21.758800000000001</v>
      </c>
      <c r="E771" s="30" cm="1">
        <f t="array" ref="E771">IF(D771="","",D771-C771)</f>
        <v>2.3623000000000012</v>
      </c>
      <c r="F771" s="31" cm="1">
        <f t="array" ref="F771">IF(D771=0,"",(D771-C771)/C771)</f>
        <v>0.12179001366225872</v>
      </c>
      <c r="G771" s="32">
        <v>7.8559999999999999</v>
      </c>
      <c r="H771" s="10">
        <v>1</v>
      </c>
      <c r="I771" s="11" cm="1">
        <f t="array" ref="I771">IF(D771="","",(G771*C771)*0.00075)</f>
        <v>0.114284178</v>
      </c>
      <c r="J771" s="11" cm="1">
        <f t="array" ref="J771">IF(D771="","",(G771*D771)*0.00075)</f>
        <v>0.1282028496</v>
      </c>
      <c r="K771" s="33" cm="1">
        <f t="array" ref="K771">IF(D771="","",J771+I771)</f>
        <v>0.24248702760000002</v>
      </c>
      <c r="L771" s="33" cm="1">
        <f t="array" ref="L771">IF(D771=0,0,(D771-C771)*G771)</f>
        <v>18.558228800000009</v>
      </c>
      <c r="M771" s="12">
        <v>133.69247235040001</v>
      </c>
      <c r="N771" s="34" cm="1">
        <f t="array" ref="N771">IFERROR((K771-J771)/J771,"–")</f>
        <v>0.89143243193558475</v>
      </c>
      <c r="O771" s="33" cm="1">
        <f t="array" ref="O771">IF(D771=0,0,L771-K771)</f>
        <v>18.31574177240001</v>
      </c>
      <c r="P771" s="11"/>
      <c r="Q771" s="35"/>
    </row>
    <row r="772" spans="1:17" ht="22.5" customHeight="1">
      <c r="A772" s="16" t="s">
        <v>181</v>
      </c>
      <c r="B772" s="43">
        <v>44462</v>
      </c>
      <c r="C772" s="37">
        <v>0.13089999999999999</v>
      </c>
      <c r="D772" s="37">
        <v>0.1295</v>
      </c>
      <c r="E772" s="19" cm="1">
        <f t="array" ref="E772">IF(D772="","",D772-C772)</f>
        <v>-1.3999999999999846E-3</v>
      </c>
      <c r="F772" s="20" cm="1">
        <f t="array" ref="F772">IF(D772=0,"",(D772-C772)/C772)</f>
        <v>-1.0695187165775284E-2</v>
      </c>
      <c r="G772" s="21">
        <v>286402.90000000002</v>
      </c>
      <c r="H772" s="22">
        <v>1</v>
      </c>
      <c r="I772" s="23" cm="1">
        <f t="array" ref="I772">IF(D772="","",(G772*C772)*0.00075)</f>
        <v>28.1176047075</v>
      </c>
      <c r="J772" s="23" cm="1">
        <f t="array" ref="J772">IF(D772="","",(G772*D772)*0.00075)</f>
        <v>27.816881662500005</v>
      </c>
      <c r="K772" s="24" cm="1">
        <f t="array" ref="K772">IF(D772="","",J772+I772)</f>
        <v>55.934486370000002</v>
      </c>
      <c r="L772" s="24" cm="1">
        <f t="array" ref="L772">IF(D772=0,0,(D772-C772)*G772)</f>
        <v>-400.96405999999564</v>
      </c>
      <c r="M772" s="25">
        <v>37863.2867883375</v>
      </c>
      <c r="N772" s="26" cm="1">
        <f t="array" ref="N772">IFERROR((K772-J772)/J772,"–")</f>
        <v>1.0108108108108105</v>
      </c>
      <c r="O772" s="24" cm="1">
        <f t="array" ref="O772">IF(D772=0,0,L772-K772)</f>
        <v>-456.89854636999564</v>
      </c>
      <c r="P772" s="23"/>
      <c r="Q772" s="27"/>
    </row>
    <row r="773" spans="1:17" ht="22.5" customHeight="1">
      <c r="A773" s="16" t="s">
        <v>178</v>
      </c>
      <c r="B773" s="42">
        <v>44462</v>
      </c>
      <c r="C773" s="36">
        <v>4.5999999999999996</v>
      </c>
      <c r="D773" s="36">
        <v>4.7300000000000004</v>
      </c>
      <c r="E773" s="30" cm="1">
        <f t="array" ref="E773">IF(D773="","",D773-C773)</f>
        <v>0.13000000000000078</v>
      </c>
      <c r="F773" s="31" cm="1">
        <f t="array" ref="F773">IF(D773=0,"",(D773-C773)/C773)</f>
        <v>2.8260869565217565E-2</v>
      </c>
      <c r="G773" s="32">
        <v>1000</v>
      </c>
      <c r="H773" s="10">
        <v>1</v>
      </c>
      <c r="I773" s="11" cm="1">
        <f t="array" ref="I773">IF(D773="","",(G773*C773)*0.00075)</f>
        <v>3.45</v>
      </c>
      <c r="J773" s="11" cm="1">
        <f t="array" ref="J773">IF(D773="","",(G773*D773)*0.00075)</f>
        <v>3.5474999999999999</v>
      </c>
      <c r="K773" s="33" cm="1">
        <f t="array" ref="K773">IF(D773="","",J773+I773)</f>
        <v>6.9975000000000005</v>
      </c>
      <c r="L773" s="33" cm="1">
        <f t="array" ref="L773">IF(D773=0,0,(D773-C773)*G773)</f>
        <v>130.0000000000008</v>
      </c>
      <c r="M773" s="12">
        <v>4466.4525000000003</v>
      </c>
      <c r="N773" s="34" cm="1">
        <f t="array" ref="N773">IFERROR((K773-J773)/J773,"–")</f>
        <v>0.97251585623678671</v>
      </c>
      <c r="O773" s="33" cm="1">
        <f t="array" ref="O773">IF(D773=0,0,L773-K773)</f>
        <v>123.00250000000079</v>
      </c>
      <c r="P773" s="11"/>
      <c r="Q773" s="35"/>
    </row>
    <row r="774" spans="1:17" ht="22.5" customHeight="1">
      <c r="A774" s="16" t="s">
        <v>57</v>
      </c>
      <c r="B774" s="43">
        <v>44462</v>
      </c>
      <c r="C774" s="37">
        <v>1.7813000000000001</v>
      </c>
      <c r="D774" s="37">
        <v>1.7775000000000001</v>
      </c>
      <c r="E774" s="19" cm="1">
        <f t="array" ref="E774">IF(D774="","",D774-C774)</f>
        <v>-3.8000000000000256E-3</v>
      </c>
      <c r="F774" s="20" cm="1">
        <f t="array" ref="F774">IF(D774=0,"",(D774-C774)/C774)</f>
        <v>-2.1332734519732923E-3</v>
      </c>
      <c r="G774" s="21">
        <v>1122.7</v>
      </c>
      <c r="H774" s="22">
        <v>1</v>
      </c>
      <c r="I774" s="23" cm="1">
        <f t="array" ref="I774">IF(D774="","",(G774*C774)*0.00075)</f>
        <v>1.4998991325000002</v>
      </c>
      <c r="J774" s="23" cm="1">
        <f t="array" ref="J774">IF(D774="","",(G774*D774)*0.00075)</f>
        <v>1.4966994375000002</v>
      </c>
      <c r="K774" s="24" cm="1">
        <f t="array" ref="K774">IF(D774="","",J774+I774)</f>
        <v>2.9965985700000006</v>
      </c>
      <c r="L774" s="24" cm="1">
        <f t="array" ref="L774">IF(D774=0,0,(D774-C774)*G774)</f>
        <v>-4.2662600000000293</v>
      </c>
      <c r="M774" s="25">
        <v>2002.6350705625</v>
      </c>
      <c r="N774" s="26" cm="1">
        <f t="array" ref="N774">IFERROR((K774-J774)/J774,"–")</f>
        <v>1.0021378340365683</v>
      </c>
      <c r="O774" s="24" cm="1">
        <f t="array" ref="O774">IF(D774=0,0,L774-K774)</f>
        <v>-7.2628585700000299</v>
      </c>
      <c r="P774" s="23"/>
      <c r="Q774" s="27"/>
    </row>
    <row r="775" spans="1:17" ht="22.5" customHeight="1">
      <c r="A775" s="16" t="s">
        <v>59</v>
      </c>
      <c r="B775" s="42">
        <v>44462</v>
      </c>
      <c r="C775" s="36">
        <v>20.51</v>
      </c>
      <c r="D775" s="36">
        <v>21</v>
      </c>
      <c r="E775" s="30" cm="1">
        <f t="array" ref="E775">IF(D775="","",D775-C775)</f>
        <v>0.48999999999999844</v>
      </c>
      <c r="F775" s="31" cm="1">
        <f t="array" ref="F775">IF(D775=0,"",(D775-C775)/C775)</f>
        <v>2.3890784982935075E-2</v>
      </c>
      <c r="G775" s="32">
        <v>243.82</v>
      </c>
      <c r="H775" s="10">
        <v>1</v>
      </c>
      <c r="I775" s="11" cm="1">
        <f t="array" ref="I775">IF(D775="","",(G775*C775)*0.00075)</f>
        <v>3.7505611500000002</v>
      </c>
      <c r="J775" s="11" cm="1">
        <f t="array" ref="J775">IF(D775="","",(G775*D775)*0.00075)</f>
        <v>3.8401650000000003</v>
      </c>
      <c r="K775" s="33" cm="1">
        <f t="array" ref="K775">IF(D775="","",J775+I775)</f>
        <v>7.5907261500000001</v>
      </c>
      <c r="L775" s="33" cm="1">
        <f t="array" ref="L775">IF(D775=0,0,(D775-C775)*G775)</f>
        <v>119.47179999999962</v>
      </c>
      <c r="M775" s="12">
        <v>4877.4362350000001</v>
      </c>
      <c r="N775" s="34" cm="1">
        <f t="array" ref="N775">IFERROR((K775-J775)/J775,"–")</f>
        <v>0.97666666666666657</v>
      </c>
      <c r="O775" s="33" cm="1">
        <f t="array" ref="O775">IF(D775=0,0,L775-K775)</f>
        <v>111.88107384999962</v>
      </c>
      <c r="P775" s="11"/>
      <c r="Q775" s="35"/>
    </row>
    <row r="776" spans="1:17" ht="22.5" customHeight="1">
      <c r="A776" s="16" t="s">
        <v>182</v>
      </c>
      <c r="B776" s="43">
        <v>44462</v>
      </c>
      <c r="C776" s="37">
        <v>0.80369999999999997</v>
      </c>
      <c r="D776" s="37">
        <v>0.82799999999999996</v>
      </c>
      <c r="E776" s="19" cm="1">
        <f t="array" ref="E776">IF(D776="","",D776-C776)</f>
        <v>2.4299999999999988E-2</v>
      </c>
      <c r="F776" s="20" cm="1">
        <f t="array" ref="F776">IF(D776=0,"",(D776-C776)/C776)</f>
        <v>3.0235162374020144E-2</v>
      </c>
      <c r="G776" s="21">
        <v>3110</v>
      </c>
      <c r="H776" s="22">
        <v>1</v>
      </c>
      <c r="I776" s="23" cm="1">
        <f t="array" ref="I776">IF(D776="","",(G776*C776)*0.00075)</f>
        <v>1.8746302500000001</v>
      </c>
      <c r="J776" s="23" cm="1">
        <f t="array" ref="J776">IF(D776="","",(G776*D776)*0.00075)</f>
        <v>1.9313100000000001</v>
      </c>
      <c r="K776" s="24" cm="1">
        <f t="array" ref="K776">IF(D776="","",J776+I776)</f>
        <v>3.8059402499999999</v>
      </c>
      <c r="L776" s="24" cm="1">
        <f t="array" ref="L776">IF(D776=0,0,(D776-C776)*G776)</f>
        <v>75.572999999999965</v>
      </c>
      <c r="M776" s="25">
        <v>2422.0026899999998</v>
      </c>
      <c r="N776" s="26" cm="1">
        <f t="array" ref="N776">IFERROR((K776-J776)/J776,"–")</f>
        <v>0.97065217391304337</v>
      </c>
      <c r="O776" s="24" cm="1">
        <f t="array" ref="O776">IF(D776=0,0,L776-K776)</f>
        <v>71.767059749999959</v>
      </c>
      <c r="P776" s="23"/>
      <c r="Q776" s="27"/>
    </row>
    <row r="777" spans="1:17" ht="22.5" customHeight="1">
      <c r="A777" s="16" t="s">
        <v>182</v>
      </c>
      <c r="B777" s="42">
        <v>44462</v>
      </c>
      <c r="C777" s="36">
        <v>0.80369999999999997</v>
      </c>
      <c r="D777" s="36">
        <v>0.81</v>
      </c>
      <c r="E777" s="30" cm="1">
        <f t="array" ref="E777">IF(D777="","",D777-C777)</f>
        <v>6.3000000000000833E-3</v>
      </c>
      <c r="F777" s="31" cm="1">
        <f t="array" ref="F777">IF(D777=0,"",(D777-C777)/C777)</f>
        <v>7.8387458006719968E-3</v>
      </c>
      <c r="G777" s="32">
        <v>3110</v>
      </c>
      <c r="H777" s="10">
        <v>1</v>
      </c>
      <c r="I777" s="11" cm="1">
        <f t="array" ref="I777">IF(D777="","",(G777*C777)*0.00075)</f>
        <v>1.8746302500000001</v>
      </c>
      <c r="J777" s="11" cm="1">
        <f t="array" ref="J777">IF(D777="","",(G777*D777)*0.00075)</f>
        <v>1.8893250000000004</v>
      </c>
      <c r="K777" s="33" cm="1">
        <f t="array" ref="K777">IF(D777="","",J777+I777)</f>
        <v>3.7639552500000004</v>
      </c>
      <c r="L777" s="33" cm="1">
        <f t="array" ref="L777">IF(D777=0,0,(D777-C777)*G777)</f>
        <v>19.593000000000259</v>
      </c>
      <c r="M777" s="12">
        <v>2478.0246750000001</v>
      </c>
      <c r="N777" s="34" cm="1">
        <f t="array" ref="N777">IFERROR((K777-J777)/J777,"–")</f>
        <v>0.99222222222222201</v>
      </c>
      <c r="O777" s="33" cm="1">
        <f t="array" ref="O777">IF(D777=0,0,L777-K777)</f>
        <v>15.829044750000259</v>
      </c>
      <c r="P777" s="11"/>
      <c r="Q777" s="35"/>
    </row>
    <row r="778" spans="1:17" ht="22.5" customHeight="1">
      <c r="A778" s="16" t="s">
        <v>183</v>
      </c>
      <c r="B778" s="43">
        <v>44462</v>
      </c>
      <c r="C778" s="37">
        <v>0.2074</v>
      </c>
      <c r="D778" s="37">
        <v>0.20749999999999999</v>
      </c>
      <c r="E778" s="19" cm="1">
        <f t="array" ref="E778">IF(D778="","",D778-C778)</f>
        <v>9.9999999999988987E-5</v>
      </c>
      <c r="F778" s="20" cm="1">
        <f t="array" ref="F778">IF(D778=0,"",(D778-C778)/C778)</f>
        <v>4.8216007714555923E-4</v>
      </c>
      <c r="G778" s="21">
        <v>24106</v>
      </c>
      <c r="H778" s="22">
        <v>1</v>
      </c>
      <c r="I778" s="23" cm="1">
        <f t="array" ref="I778">IF(D778="","",(G778*C778)*0.00075)</f>
        <v>3.7496882999999999</v>
      </c>
      <c r="J778" s="23" cm="1">
        <f t="array" ref="J778">IF(D778="","",(G778*D778)*0.00075)</f>
        <v>3.7514962500000002</v>
      </c>
      <c r="K778" s="24" cm="1">
        <f t="array" ref="K778">IF(D778="","",J778+I778)</f>
        <v>7.5011845499999996</v>
      </c>
      <c r="L778" s="24" cm="1">
        <f t="array" ref="L778">IF(D778=0,0,(D778-C778)*G778)</f>
        <v>2.4105999999997345</v>
      </c>
      <c r="M778" s="25">
        <v>4993.4223037499996</v>
      </c>
      <c r="N778" s="26" cm="1">
        <f t="array" ref="N778">IFERROR((K778-J778)/J778,"–")</f>
        <v>0.99951807228915646</v>
      </c>
      <c r="O778" s="24" cm="1">
        <f t="array" ref="O778">IF(D778=0,0,L778-K778)</f>
        <v>-5.0905845500002656</v>
      </c>
      <c r="P778" s="23"/>
      <c r="Q778" s="27"/>
    </row>
    <row r="779" spans="1:17" ht="22.5" customHeight="1">
      <c r="A779" s="16" t="s">
        <v>94</v>
      </c>
      <c r="B779" s="42">
        <v>44462</v>
      </c>
      <c r="C779" s="36">
        <v>2.7429999999999999</v>
      </c>
      <c r="D779" s="36">
        <v>2.7469999999999999</v>
      </c>
      <c r="E779" s="30" cm="1">
        <f t="array" ref="E779">IF(D779="","",D779-C779)</f>
        <v>4.0000000000000036E-3</v>
      </c>
      <c r="F779" s="31" cm="1">
        <f t="array" ref="F779">IF(D779=0,"",(D779-C779)/C779)</f>
        <v>1.458257382428E-3</v>
      </c>
      <c r="G779" s="32">
        <v>7291.2</v>
      </c>
      <c r="H779" s="10">
        <v>1</v>
      </c>
      <c r="I779" s="11" cm="1">
        <f t="array" ref="I779">IF(D779="","",(G779*C779)*0.00075)</f>
        <v>14.9998212</v>
      </c>
      <c r="J779" s="11" cm="1">
        <f t="array" ref="J779">IF(D779="","",(G779*D779)*0.00075)</f>
        <v>15.021694800000001</v>
      </c>
      <c r="K779" s="33" cm="1">
        <f t="array" ref="K779">IF(D779="","",J779+I779)</f>
        <v>30.021515999999998</v>
      </c>
      <c r="L779" s="33" cm="1">
        <f t="array" ref="L779">IF(D779=0,0,(D779-C779)*G779)</f>
        <v>29.164800000000024</v>
      </c>
      <c r="M779" s="12">
        <v>19955.575105200001</v>
      </c>
      <c r="N779" s="34" cm="1">
        <f t="array" ref="N779">IFERROR((K779-J779)/J779,"–")</f>
        <v>0.99854386603567513</v>
      </c>
      <c r="O779" s="33" cm="1">
        <f t="array" ref="O779">IF(D779=0,0,L779-K779)</f>
        <v>-0.85671599999997383</v>
      </c>
      <c r="P779" s="11"/>
      <c r="Q779" s="35"/>
    </row>
    <row r="780" spans="1:17" ht="22.5" customHeight="1">
      <c r="A780" s="16" t="s">
        <v>94</v>
      </c>
      <c r="B780" s="43">
        <v>44462</v>
      </c>
      <c r="C780" s="37">
        <v>2.7429999999999999</v>
      </c>
      <c r="D780" s="37">
        <v>2.7480000000000002</v>
      </c>
      <c r="E780" s="19" cm="1">
        <f t="array" ref="E780">IF(D780="","",D780-C780)</f>
        <v>5.0000000000003375E-3</v>
      </c>
      <c r="F780" s="20" cm="1">
        <f t="array" ref="F780">IF(D780=0,"",(D780-C780)/C780)</f>
        <v>1.8228217280351212E-3</v>
      </c>
      <c r="G780" s="21">
        <v>3645.6</v>
      </c>
      <c r="H780" s="22">
        <v>1</v>
      </c>
      <c r="I780" s="23" cm="1">
        <f t="array" ref="I780">IF(D780="","",(G780*C780)*0.00075)</f>
        <v>7.4999105999999998</v>
      </c>
      <c r="J780" s="23" cm="1">
        <f t="array" ref="J780">IF(D780="","",(G780*D780)*0.00075)</f>
        <v>7.5135816000000002</v>
      </c>
      <c r="K780" s="24" cm="1">
        <f t="array" ref="K780">IF(D780="","",J780+I780)</f>
        <v>15.0134922</v>
      </c>
      <c r="L780" s="24" cm="1">
        <f t="array" ref="L780">IF(D780=0,0,(D780-C780)*G780)</f>
        <v>18.228000000001231</v>
      </c>
      <c r="M780" s="25">
        <v>9974.1392183999997</v>
      </c>
      <c r="N780" s="26" cm="1">
        <f t="array" ref="N780">IFERROR((K780-J780)/J780,"–")</f>
        <v>0.99818049490538563</v>
      </c>
      <c r="O780" s="24" cm="1">
        <f t="array" ref="O780">IF(D780=0,0,L780-K780)</f>
        <v>3.2145078000012308</v>
      </c>
      <c r="P780" s="23"/>
      <c r="Q780" s="27"/>
    </row>
    <row r="781" spans="1:17" ht="22.5" customHeight="1">
      <c r="A781" s="16" t="s">
        <v>94</v>
      </c>
      <c r="B781" s="42">
        <v>44462</v>
      </c>
      <c r="C781" s="36">
        <v>2.7429999999999999</v>
      </c>
      <c r="D781" s="36">
        <v>2.7549999999999999</v>
      </c>
      <c r="E781" s="30" cm="1">
        <f t="array" ref="E781">IF(D781="","",D781-C781)</f>
        <v>1.2000000000000011E-2</v>
      </c>
      <c r="F781" s="31" cm="1">
        <f t="array" ref="F781">IF(D781=0,"",(D781-C781)/C781)</f>
        <v>4.374772147284E-3</v>
      </c>
      <c r="G781" s="32">
        <v>3645.6</v>
      </c>
      <c r="H781" s="10">
        <v>1</v>
      </c>
      <c r="I781" s="11" cm="1">
        <f t="array" ref="I781">IF(D781="","",(G781*C781)*0.00075)</f>
        <v>7.4999105999999998</v>
      </c>
      <c r="J781" s="11" cm="1">
        <f t="array" ref="J781">IF(D781="","",(G781*D781)*0.00075)</f>
        <v>7.5327209999999996</v>
      </c>
      <c r="K781" s="33" cm="1">
        <f t="array" ref="K781">IF(D781="","",J781+I781)</f>
        <v>15.032631599999998</v>
      </c>
      <c r="L781" s="33" cm="1">
        <f t="array" ref="L781">IF(D781=0,0,(D781-C781)*G781)</f>
        <v>43.747200000000035</v>
      </c>
      <c r="M781" s="12">
        <v>9948.6008789999996</v>
      </c>
      <c r="N781" s="34" cm="1">
        <f t="array" ref="N781">IFERROR((K781-J781)/J781,"–")</f>
        <v>0.99564428312159703</v>
      </c>
      <c r="O781" s="33" cm="1">
        <f t="array" ref="O781">IF(D781=0,0,L781-K781)</f>
        <v>28.714568400000037</v>
      </c>
      <c r="P781" s="11"/>
      <c r="Q781" s="35"/>
    </row>
    <row r="782" spans="1:17" ht="22.5" customHeight="1">
      <c r="A782" s="16" t="s">
        <v>184</v>
      </c>
      <c r="B782" s="43">
        <v>44462</v>
      </c>
      <c r="C782" s="37">
        <v>401.17</v>
      </c>
      <c r="D782" s="37">
        <v>410</v>
      </c>
      <c r="E782" s="19" cm="1">
        <f t="array" ref="E782">IF(D782="","",D782-C782)</f>
        <v>8.8299999999999841</v>
      </c>
      <c r="F782" s="20" cm="1">
        <f t="array" ref="F782">IF(D782=0,"",(D782-C782)/C782)</f>
        <v>2.2010618939601625E-2</v>
      </c>
      <c r="G782" s="21">
        <v>4.9829999999999997</v>
      </c>
      <c r="H782" s="22">
        <v>1</v>
      </c>
      <c r="I782" s="23" cm="1">
        <f t="array" ref="I782">IF(D782="","",(G782*C782)*0.00075)</f>
        <v>1.4992725825</v>
      </c>
      <c r="J782" s="23" cm="1">
        <f t="array" ref="J782">IF(D782="","",(G782*D782)*0.00075)</f>
        <v>1.5322724999999999</v>
      </c>
      <c r="K782" s="24" cm="1">
        <f t="array" ref="K782">IF(D782="","",J782+I782)</f>
        <v>3.0315450825000001</v>
      </c>
      <c r="L782" s="24" cm="1">
        <f t="array" ref="L782">IF(D782=0,0,(D782-C782)*G782)</f>
        <v>43.999889999999915</v>
      </c>
      <c r="M782" s="25">
        <v>1953.4979475</v>
      </c>
      <c r="N782" s="26" cm="1">
        <f t="array" ref="N782">IFERROR((K782-J782)/J782,"–")</f>
        <v>0.97846341463414654</v>
      </c>
      <c r="O782" s="24" cm="1">
        <f t="array" ref="O782">IF(D782=0,0,L782-K782)</f>
        <v>40.968344917499913</v>
      </c>
      <c r="P782" s="23"/>
      <c r="Q782" s="27"/>
    </row>
    <row r="783" spans="1:17" ht="22.5" customHeight="1">
      <c r="A783" s="16" t="s">
        <v>166</v>
      </c>
      <c r="B783" s="42">
        <v>44463</v>
      </c>
      <c r="C783" s="36">
        <v>7.1239999999999997</v>
      </c>
      <c r="D783" s="36">
        <v>7.16</v>
      </c>
      <c r="E783" s="30" cm="1">
        <f t="array" ref="E783">IF(D783="","",D783-C783)</f>
        <v>3.6000000000000476E-2</v>
      </c>
      <c r="F783" s="31" cm="1">
        <f t="array" ref="F783">IF(D783=0,"",(D783-C783)/C783)</f>
        <v>5.0533408197642442E-3</v>
      </c>
      <c r="G783" s="32">
        <v>701.8</v>
      </c>
      <c r="H783" s="10">
        <v>1</v>
      </c>
      <c r="I783" s="11" cm="1">
        <f t="array" ref="I783">IF(D783="","",(G783*C783)*0.00075)</f>
        <v>3.7497173999999993</v>
      </c>
      <c r="J783" s="11" cm="1">
        <f t="array" ref="J783">IF(D783="","",(G783*D783)*0.00075)</f>
        <v>3.7686660000000001</v>
      </c>
      <c r="K783" s="33" cm="1">
        <f t="array" ref="K783">IF(D783="","",J783+I783)</f>
        <v>7.5183833999999994</v>
      </c>
      <c r="L783" s="33" cm="1">
        <f t="array" ref="L783">IF(D783=0,0,(D783-C783)*G783)</f>
        <v>25.264800000000331</v>
      </c>
      <c r="M783" s="12">
        <v>4970.5897340000001</v>
      </c>
      <c r="N783" s="34" cm="1">
        <f t="array" ref="N783">IFERROR((K783-J783)/J783,"–")</f>
        <v>0.9949720670391059</v>
      </c>
      <c r="O783" s="33" cm="1">
        <f t="array" ref="O783">IF(D783=0,0,L783-K783)</f>
        <v>17.74641660000033</v>
      </c>
      <c r="P783" s="11"/>
      <c r="Q783" s="35"/>
    </row>
    <row r="784" spans="1:17" ht="22.5" customHeight="1">
      <c r="A784" s="16" t="s">
        <v>184</v>
      </c>
      <c r="B784" s="43">
        <v>44463</v>
      </c>
      <c r="C784" s="37">
        <v>370.96</v>
      </c>
      <c r="D784" s="37">
        <v>367.78</v>
      </c>
      <c r="E784" s="19" cm="1">
        <f t="array" ref="E784">IF(D784="","",D784-C784)</f>
        <v>-3.1800000000000068</v>
      </c>
      <c r="F784" s="20" cm="1">
        <f t="array" ref="F784">IF(D784=0,"",(D784-C784)/C784)</f>
        <v>-8.5723528143196222E-3</v>
      </c>
      <c r="G784" s="21">
        <v>16.164000000000001</v>
      </c>
      <c r="H784" s="22">
        <v>1</v>
      </c>
      <c r="I784" s="23" cm="1">
        <f t="array" ref="I784">IF(D784="","",(G784*C784)*0.00075)</f>
        <v>4.4971480799999997</v>
      </c>
      <c r="J784" s="23" cm="1">
        <f t="array" ref="J784">IF(D784="","",(G784*D784)*0.00075)</f>
        <v>4.4585969400000005</v>
      </c>
      <c r="K784" s="24" cm="1">
        <f t="array" ref="K784">IF(D784="","",J784+I784)</f>
        <v>8.9557450200000002</v>
      </c>
      <c r="L784" s="24" cm="1">
        <f t="array" ref="L784">IF(D784=0,0,(D784-C784)*G784)</f>
        <v>-51.401520000000112</v>
      </c>
      <c r="M784" s="25">
        <v>6043.1403630599998</v>
      </c>
      <c r="N784" s="26" cm="1">
        <f t="array" ref="N784">IFERROR((K784-J784)/J784,"–")</f>
        <v>1.0086464734352056</v>
      </c>
      <c r="O784" s="24" cm="1">
        <f t="array" ref="O784">IF(D784=0,0,L784-K784)</f>
        <v>-60.357265020000114</v>
      </c>
      <c r="P784" s="23"/>
      <c r="Q784" s="27"/>
    </row>
    <row r="785" spans="1:17" ht="22.5" customHeight="1">
      <c r="A785" s="16" t="s">
        <v>160</v>
      </c>
      <c r="B785" s="42">
        <v>44463</v>
      </c>
      <c r="C785" s="36">
        <v>1.874E-2</v>
      </c>
      <c r="D785" s="36">
        <v>1.8800000000000001E-2</v>
      </c>
      <c r="E785" s="30" cm="1">
        <f t="array" ref="E785">IF(D785="","",D785-C785)</f>
        <v>6.0000000000001025E-5</v>
      </c>
      <c r="F785" s="31" cm="1">
        <f t="array" ref="F785">IF(D785=0,"",(D785-C785)/C785)</f>
        <v>3.2017075773746544E-3</v>
      </c>
      <c r="G785" s="32">
        <v>266666</v>
      </c>
      <c r="H785" s="10">
        <v>1</v>
      </c>
      <c r="I785" s="11" cm="1">
        <f t="array" ref="I785">IF(D785="","",(G785*C785)*0.00075)</f>
        <v>3.7479906300000003</v>
      </c>
      <c r="J785" s="11" cm="1">
        <f t="array" ref="J785">IF(D785="","",(G785*D785)*0.00075)</f>
        <v>3.7599906000000005</v>
      </c>
      <c r="K785" s="33" cm="1">
        <f t="array" ref="K785">IF(D785="","",J785+I785)</f>
        <v>7.5079812300000004</v>
      </c>
      <c r="L785" s="33" cm="1">
        <f t="array" ref="L785">IF(D785=0,0,(D785-C785)*G785)</f>
        <v>15.999960000000273</v>
      </c>
      <c r="M785" s="12">
        <v>4977.5608893999997</v>
      </c>
      <c r="N785" s="34" cm="1">
        <f t="array" ref="N785">IFERROR((K785-J785)/J785,"–")</f>
        <v>0.99680851063829767</v>
      </c>
      <c r="O785" s="33" cm="1">
        <f t="array" ref="O785">IF(D785=0,0,L785-K785)</f>
        <v>8.4919787700002729</v>
      </c>
      <c r="P785" s="11"/>
      <c r="Q785" s="35"/>
    </row>
    <row r="786" spans="1:17" ht="22.5" customHeight="1">
      <c r="A786" s="16" t="s">
        <v>185</v>
      </c>
      <c r="B786" s="43">
        <v>44464</v>
      </c>
      <c r="C786" s="37">
        <v>1.5472999999999999</v>
      </c>
      <c r="D786" s="37">
        <v>1.5880000000000001</v>
      </c>
      <c r="E786" s="19" cm="1">
        <f t="array" ref="E786">IF(D786="","",D786-C786)</f>
        <v>4.070000000000018E-2</v>
      </c>
      <c r="F786" s="20" cm="1">
        <f t="array" ref="F786">IF(D786=0,"",(D786-C786)/C786)</f>
        <v>2.6303884185355252E-2</v>
      </c>
      <c r="G786" s="21">
        <v>1615.6</v>
      </c>
      <c r="H786" s="22">
        <v>1</v>
      </c>
      <c r="I786" s="23" cm="1">
        <f t="array" ref="I786">IF(D786="","",(G786*C786)*0.00075)</f>
        <v>1.8748634099999997</v>
      </c>
      <c r="J786" s="23" cm="1">
        <f t="array" ref="J786">IF(D786="","",(G786*D786)*0.00075)</f>
        <v>1.9241796</v>
      </c>
      <c r="K786" s="24" cm="1">
        <f t="array" ref="K786">IF(D786="","",J786+I786)</f>
        <v>3.7990430099999997</v>
      </c>
      <c r="L786" s="24" cm="1">
        <f t="array" ref="L786">IF(D786=0,0,(D786-C786)*G786)</f>
        <v>65.754920000000283</v>
      </c>
      <c r="M786" s="25">
        <v>2432.1387804000001</v>
      </c>
      <c r="N786" s="26" cm="1">
        <f t="array" ref="N786">IFERROR((K786-J786)/J786,"–")</f>
        <v>0.97437027707808543</v>
      </c>
      <c r="O786" s="24" cm="1">
        <f t="array" ref="O786">IF(D786=0,0,L786-K786)</f>
        <v>61.955876990000284</v>
      </c>
      <c r="P786" s="23"/>
      <c r="Q786" s="27"/>
    </row>
    <row r="787" spans="1:17" ht="22.5" customHeight="1">
      <c r="A787" s="16" t="s">
        <v>185</v>
      </c>
      <c r="B787" s="42">
        <v>44464</v>
      </c>
      <c r="C787" s="36">
        <v>1.5472999999999999</v>
      </c>
      <c r="D787" s="36">
        <v>1.585</v>
      </c>
      <c r="E787" s="30" cm="1">
        <f t="array" ref="E787">IF(D787="","",D787-C787)</f>
        <v>3.7700000000000067E-2</v>
      </c>
      <c r="F787" s="31" cm="1">
        <f t="array" ref="F787">IF(D787=0,"",(D787-C787)/C787)</f>
        <v>2.436502294319141E-2</v>
      </c>
      <c r="G787" s="32">
        <v>1615.6</v>
      </c>
      <c r="H787" s="10">
        <v>1</v>
      </c>
      <c r="I787" s="11" cm="1">
        <f t="array" ref="I787">IF(D787="","",(G787*C787)*0.00075)</f>
        <v>1.8748634099999997</v>
      </c>
      <c r="J787" s="11" cm="1">
        <f t="array" ref="J787">IF(D787="","",(G787*D787)*0.00075)</f>
        <v>1.9205444999999999</v>
      </c>
      <c r="K787" s="33" cm="1">
        <f t="array" ref="K787">IF(D787="","",J787+I787)</f>
        <v>3.7954079099999998</v>
      </c>
      <c r="L787" s="33" cm="1">
        <f t="array" ref="L787">IF(D787=0,0,(D787-C787)*G787)</f>
        <v>60.908120000000103</v>
      </c>
      <c r="M787" s="12">
        <v>2436.9892154999998</v>
      </c>
      <c r="N787" s="34" cm="1">
        <f t="array" ref="N787">IFERROR((K787-J787)/J787,"–")</f>
        <v>0.97621451104100943</v>
      </c>
      <c r="O787" s="33" cm="1">
        <f t="array" ref="O787">IF(D787=0,0,L787-K787)</f>
        <v>57.112712090000102</v>
      </c>
      <c r="P787" s="11"/>
      <c r="Q787" s="35"/>
    </row>
    <row r="788" spans="1:17" ht="22.5" customHeight="1">
      <c r="A788" s="16" t="s">
        <v>186</v>
      </c>
      <c r="B788" s="43">
        <v>44464</v>
      </c>
      <c r="C788" s="37">
        <v>0.2954</v>
      </c>
      <c r="D788" s="37">
        <v>0.29899999999999999</v>
      </c>
      <c r="E788" s="19" cm="1">
        <f t="array" ref="E788">IF(D788="","",D788-C788)</f>
        <v>3.5999999999999921E-3</v>
      </c>
      <c r="F788" s="20" cm="1">
        <f t="array" ref="F788">IF(D788=0,"",(D788-C788)/C788)</f>
        <v>1.2186865267433962E-2</v>
      </c>
      <c r="G788" s="21">
        <v>16921</v>
      </c>
      <c r="H788" s="22">
        <v>1</v>
      </c>
      <c r="I788" s="23" cm="1">
        <f t="array" ref="I788">IF(D788="","",(G788*C788)*0.00075)</f>
        <v>3.7488475499999998</v>
      </c>
      <c r="J788" s="23" cm="1">
        <f t="array" ref="J788">IF(D788="","",(G788*D788)*0.00075)</f>
        <v>3.7945342499999999</v>
      </c>
      <c r="K788" s="24" cm="1">
        <f t="array" ref="K788">IF(D788="","",J788+I788)</f>
        <v>7.5433817999999997</v>
      </c>
      <c r="L788" s="24" cm="1">
        <f t="array" ref="L788">IF(D788=0,0,(D788-C788)*G788)</f>
        <v>60.915599999999863</v>
      </c>
      <c r="M788" s="25">
        <v>4933.7532657499996</v>
      </c>
      <c r="N788" s="26" cm="1">
        <f t="array" ref="N788">IFERROR((K788-J788)/J788,"–")</f>
        <v>0.98795986622073573</v>
      </c>
      <c r="O788" s="24" cm="1">
        <f t="array" ref="O788">IF(D788=0,0,L788-K788)</f>
        <v>53.372218199999864</v>
      </c>
      <c r="P788" s="23"/>
      <c r="Q788" s="27"/>
    </row>
    <row r="789" spans="1:17" ht="22.5" customHeight="1">
      <c r="A789" s="16" t="s">
        <v>22</v>
      </c>
      <c r="B789" s="42">
        <v>44464</v>
      </c>
      <c r="C789" s="36">
        <v>13.208</v>
      </c>
      <c r="D789" s="36">
        <v>13.2</v>
      </c>
      <c r="E789" s="30" cm="1">
        <f t="array" ref="E789">IF(D789="","",D789-C789)</f>
        <v>-8.0000000000008953E-3</v>
      </c>
      <c r="F789" s="31" cm="1">
        <f t="array" ref="F789">IF(D789=0,"",(D789-C789)/C789)</f>
        <v>-6.056935190794136E-4</v>
      </c>
      <c r="G789" s="32">
        <v>243.49</v>
      </c>
      <c r="H789" s="10">
        <v>1</v>
      </c>
      <c r="I789" s="11" cm="1">
        <f t="array" ref="I789">IF(D789="","",(G789*C789)*0.00075)</f>
        <v>2.4120119400000002</v>
      </c>
      <c r="J789" s="11" cm="1">
        <f t="array" ref="J789">IF(D789="","",(G789*D789)*0.00075)</f>
        <v>2.4105509999999999</v>
      </c>
      <c r="K789" s="33" cm="1">
        <f t="array" ref="K789">IF(D789="","",J789+I789)</f>
        <v>4.8225629400000001</v>
      </c>
      <c r="L789" s="33" cm="1">
        <f t="array" ref="L789">IF(D789=0,0,(D789-C789)*G789)</f>
        <v>-1.9479200000002181</v>
      </c>
      <c r="M789" s="12">
        <v>3215.5532889999999</v>
      </c>
      <c r="N789" s="34" cm="1">
        <f t="array" ref="N789">IFERROR((K789-J789)/J789,"–")</f>
        <v>1.0006060606060607</v>
      </c>
      <c r="O789" s="33" cm="1">
        <f t="array" ref="O789">IF(D789=0,0,L789-K789)</f>
        <v>-6.7704829400002184</v>
      </c>
      <c r="P789" s="11"/>
      <c r="Q789" s="35"/>
    </row>
    <row r="790" spans="1:17" ht="22.5" customHeight="1">
      <c r="A790" s="16" t="s">
        <v>22</v>
      </c>
      <c r="B790" s="43">
        <v>44464</v>
      </c>
      <c r="C790" s="37">
        <v>13.208</v>
      </c>
      <c r="D790" s="37">
        <v>13.19</v>
      </c>
      <c r="E790" s="19" cm="1">
        <f t="array" ref="E790">IF(D790="","",D790-C790)</f>
        <v>-1.8000000000000682E-2</v>
      </c>
      <c r="F790" s="20" cm="1">
        <f t="array" ref="F790">IF(D790=0,"",(D790-C790)/C790)</f>
        <v>-1.3628104179285799E-3</v>
      </c>
      <c r="G790" s="21">
        <v>135.06</v>
      </c>
      <c r="H790" s="22">
        <v>1</v>
      </c>
      <c r="I790" s="23" cm="1">
        <f t="array" ref="I790">IF(D790="","",(G790*C790)*0.00075)</f>
        <v>1.33790436</v>
      </c>
      <c r="J790" s="23" cm="1">
        <f t="array" ref="J790">IF(D790="","",(G790*D790)*0.00075)</f>
        <v>1.33608105</v>
      </c>
      <c r="K790" s="24" cm="1">
        <f t="array" ref="K790">IF(D790="","",J790+I790)</f>
        <v>2.6739854100000002</v>
      </c>
      <c r="L790" s="24" cm="1">
        <f t="array" ref="L790">IF(D790=0,0,(D790-C790)*G790)</f>
        <v>-2.4310800000000921</v>
      </c>
      <c r="M790" s="25">
        <v>1784.96747895</v>
      </c>
      <c r="N790" s="26" cm="1">
        <f t="array" ref="N790">IFERROR((K790-J790)/J790,"–")</f>
        <v>1.0013646702047008</v>
      </c>
      <c r="O790" s="24" cm="1">
        <f t="array" ref="O790">IF(D790=0,0,L790-K790)</f>
        <v>-5.1050654100000923</v>
      </c>
      <c r="P790" s="23"/>
      <c r="Q790" s="27"/>
    </row>
    <row r="791" spans="1:17" ht="22.5" customHeight="1">
      <c r="A791" s="16" t="s">
        <v>117</v>
      </c>
      <c r="B791" s="42">
        <v>44464</v>
      </c>
      <c r="C791" s="36">
        <v>1.5866</v>
      </c>
      <c r="D791" s="36">
        <v>1.6</v>
      </c>
      <c r="E791" s="30" cm="1">
        <f t="array" ref="E791">IF(D791="","",D791-C791)</f>
        <v>1.3400000000000079E-2</v>
      </c>
      <c r="F791" s="31" cm="1">
        <f t="array" ref="F791">IF(D791=0,"",(D791-C791)/C791)</f>
        <v>8.4457330139922331E-3</v>
      </c>
      <c r="G791" s="32">
        <v>787.8</v>
      </c>
      <c r="H791" s="10">
        <v>1</v>
      </c>
      <c r="I791" s="11" cm="1">
        <f t="array" ref="I791">IF(D791="","",(G791*C791)*0.00075)</f>
        <v>0.93744260999999995</v>
      </c>
      <c r="J791" s="11" cm="1">
        <f t="array" ref="J791">IF(D791="","",(G791*D791)*0.00075)</f>
        <v>0.94535999999999998</v>
      </c>
      <c r="K791" s="33" cm="1">
        <f t="array" ref="K791">IF(D791="","",J791+I791)</f>
        <v>1.8828026099999999</v>
      </c>
      <c r="L791" s="33" cm="1">
        <f t="array" ref="L791">IF(D791=0,0,(D791-C791)*G791)</f>
        <v>10.556520000000061</v>
      </c>
      <c r="M791" s="12">
        <v>1238.4215999999999</v>
      </c>
      <c r="N791" s="34" cm="1">
        <f t="array" ref="N791">IFERROR((K791-J791)/J791,"–")</f>
        <v>0.99162499999999998</v>
      </c>
      <c r="O791" s="33" cm="1">
        <f t="array" ref="O791">IF(D791=0,0,L791-K791)</f>
        <v>8.6737173900000606</v>
      </c>
      <c r="P791" s="11"/>
      <c r="Q791" s="35"/>
    </row>
    <row r="792" spans="1:17" ht="22.5" customHeight="1">
      <c r="A792" s="16" t="s">
        <v>117</v>
      </c>
      <c r="B792" s="43">
        <v>44464</v>
      </c>
      <c r="C792" s="37">
        <v>1.5866</v>
      </c>
      <c r="D792" s="37">
        <v>1.601</v>
      </c>
      <c r="E792" s="19" cm="1">
        <f t="array" ref="E792">IF(D792="","",D792-C792)</f>
        <v>1.4399999999999968E-2</v>
      </c>
      <c r="F792" s="20" cm="1">
        <f t="array" ref="F792">IF(D792=0,"",(D792-C792)/C792)</f>
        <v>9.0760115971259096E-3</v>
      </c>
      <c r="G792" s="21">
        <v>590.79999999999995</v>
      </c>
      <c r="H792" s="22">
        <v>1</v>
      </c>
      <c r="I792" s="23" cm="1">
        <f t="array" ref="I792">IF(D792="","",(G792*C792)*0.00075)</f>
        <v>0.7030224599999999</v>
      </c>
      <c r="J792" s="23" cm="1">
        <f t="array" ref="J792">IF(D792="","",(G792*D792)*0.00075)</f>
        <v>0.70940309999999995</v>
      </c>
      <c r="K792" s="24" cm="1">
        <f t="array" ref="K792">IF(D792="","",J792+I792)</f>
        <v>1.41242556</v>
      </c>
      <c r="L792" s="24" cm="1">
        <f t="array" ref="L792">IF(D792=0,0,(D792-C792)*G792)</f>
        <v>8.50751999999998</v>
      </c>
      <c r="M792" s="25">
        <v>928.1463569</v>
      </c>
      <c r="N792" s="26" cm="1">
        <f t="array" ref="N792">IFERROR((K792-J792)/J792,"–")</f>
        <v>0.99100562148657101</v>
      </c>
      <c r="O792" s="24" cm="1">
        <f t="array" ref="O792">IF(D792=0,0,L792-K792)</f>
        <v>7.09509443999998</v>
      </c>
      <c r="P792" s="23"/>
      <c r="Q792" s="27"/>
    </row>
    <row r="793" spans="1:17" ht="22.5" customHeight="1">
      <c r="A793" s="16" t="s">
        <v>117</v>
      </c>
      <c r="B793" s="42">
        <v>44464</v>
      </c>
      <c r="C793" s="36">
        <v>1.5866</v>
      </c>
      <c r="D793" s="36">
        <v>1.6020000000000001</v>
      </c>
      <c r="E793" s="30" cm="1">
        <f t="array" ref="E793">IF(D793="","",D793-C793)</f>
        <v>1.540000000000008E-2</v>
      </c>
      <c r="F793" s="31" cm="1">
        <f t="array" ref="F793">IF(D793=0,"",(D793-C793)/C793)</f>
        <v>9.7062901802597249E-3</v>
      </c>
      <c r="G793" s="32">
        <v>1772.6</v>
      </c>
      <c r="H793" s="10">
        <v>1</v>
      </c>
      <c r="I793" s="11" cm="1">
        <f t="array" ref="I793">IF(D793="","",(G793*C793)*0.00075)</f>
        <v>2.10930537</v>
      </c>
      <c r="J793" s="11" cm="1">
        <f t="array" ref="J793">IF(D793="","",(G793*D793)*0.00075)</f>
        <v>2.1297788999999998</v>
      </c>
      <c r="K793" s="33" cm="1">
        <f t="array" ref="K793">IF(D793="","",J793+I793)</f>
        <v>4.2390842699999993</v>
      </c>
      <c r="L793" s="33" cm="1">
        <f t="array" ref="L793">IF(D793=0,0,(D793-C793)*G793)</f>
        <v>27.298040000000142</v>
      </c>
      <c r="M793" s="12">
        <v>2782.9793411000001</v>
      </c>
      <c r="N793" s="34" cm="1">
        <f t="array" ref="N793">IFERROR((K793-J793)/J793,"–")</f>
        <v>0.9903870162297127</v>
      </c>
      <c r="O793" s="33" cm="1">
        <f t="array" ref="O793">IF(D793=0,0,L793-K793)</f>
        <v>23.058955730000143</v>
      </c>
      <c r="P793" s="11"/>
      <c r="Q793" s="35"/>
    </row>
    <row r="794" spans="1:17" ht="22.5" customHeight="1">
      <c r="A794" s="16" t="s">
        <v>103</v>
      </c>
      <c r="B794" s="43">
        <v>44464</v>
      </c>
      <c r="C794" s="37">
        <v>0.37590000000000001</v>
      </c>
      <c r="D794" s="37">
        <v>0.38600000000000001</v>
      </c>
      <c r="E794" s="19" cm="1">
        <f t="array" ref="E794">IF(D794="","",D794-C794)</f>
        <v>1.0099999999999998E-2</v>
      </c>
      <c r="F794" s="20" cm="1">
        <f t="array" ref="F794">IF(D794=0,"",(D794-C794)/C794)</f>
        <v>2.6868848097898371E-2</v>
      </c>
      <c r="G794" s="21">
        <v>13299</v>
      </c>
      <c r="H794" s="22">
        <v>1</v>
      </c>
      <c r="I794" s="23" cm="1">
        <f t="array" ref="I794">IF(D794="","",(G794*C794)*0.00075)</f>
        <v>3.7493205750000005</v>
      </c>
      <c r="J794" s="23" cm="1">
        <f t="array" ref="J794">IF(D794="","",(G794*D794)*0.00075)</f>
        <v>3.8500605000000001</v>
      </c>
      <c r="K794" s="24" cm="1">
        <f t="array" ref="K794">IF(D794="","",J794+I794)</f>
        <v>7.5993810750000002</v>
      </c>
      <c r="L794" s="24" cm="1">
        <f t="array" ref="L794">IF(D794=0,0,(D794-C794)*G794)</f>
        <v>134.31989999999996</v>
      </c>
      <c r="M794" s="25">
        <v>4860.9241394999999</v>
      </c>
      <c r="N794" s="26" cm="1">
        <f t="array" ref="N794">IFERROR((K794-J794)/J794,"–")</f>
        <v>0.97383419689119166</v>
      </c>
      <c r="O794" s="24" cm="1">
        <f t="array" ref="O794">IF(D794=0,0,L794-K794)</f>
        <v>126.72051892499996</v>
      </c>
      <c r="P794" s="23"/>
      <c r="Q794" s="27"/>
    </row>
    <row r="795" spans="1:17" ht="22.5" customHeight="1">
      <c r="A795" s="16" t="s">
        <v>187</v>
      </c>
      <c r="B795" s="42">
        <v>44465</v>
      </c>
      <c r="C795" s="36">
        <v>68.430000000000007</v>
      </c>
      <c r="D795" s="36">
        <v>68.75</v>
      </c>
      <c r="E795" s="30" cm="1">
        <f t="array" ref="E795">IF(D795="","",D795-C795)</f>
        <v>0.31999999999999318</v>
      </c>
      <c r="F795" s="31" cm="1">
        <f t="array" ref="F795">IF(D795=0,"",(D795-C795)/C795)</f>
        <v>4.6763115592575351E-3</v>
      </c>
      <c r="G795" s="32">
        <v>58.44</v>
      </c>
      <c r="H795" s="10">
        <v>1</v>
      </c>
      <c r="I795" s="11" cm="1">
        <f t="array" ref="I795">IF(D795="","",(G795*C795)*0.00075)</f>
        <v>2.9992869000000004</v>
      </c>
      <c r="J795" s="11" cm="1">
        <f t="array" ref="J795">IF(D795="","",(G795*D795)*0.00075)</f>
        <v>3.0133125000000001</v>
      </c>
      <c r="K795" s="33" cm="1">
        <f t="array" ref="K795">IF(D795="","",J795+I795)</f>
        <v>6.0125994000000009</v>
      </c>
      <c r="L795" s="33" cm="1">
        <f t="array" ref="L795">IF(D795=0,0,(D795-C795)*G795)</f>
        <v>18.7007999999996</v>
      </c>
      <c r="M795" s="12">
        <v>3977.3350875000001</v>
      </c>
      <c r="N795" s="34" cm="1">
        <f t="array" ref="N795">IFERROR((K795-J795)/J795,"–")</f>
        <v>0.99534545454545487</v>
      </c>
      <c r="O795" s="33" cm="1">
        <f t="array" ref="O795">IF(D795=0,0,L795-K795)</f>
        <v>12.688200599999599</v>
      </c>
      <c r="P795" s="11"/>
      <c r="Q795" s="35"/>
    </row>
    <row r="796" spans="1:17" ht="22.5" customHeight="1">
      <c r="A796" s="16" t="s">
        <v>187</v>
      </c>
      <c r="B796" s="43">
        <v>44465</v>
      </c>
      <c r="C796" s="37">
        <v>68.45</v>
      </c>
      <c r="D796" s="37">
        <v>68.75</v>
      </c>
      <c r="E796" s="19" cm="1">
        <f t="array" ref="E796">IF(D796="","",D796-C796)</f>
        <v>0.29999999999999716</v>
      </c>
      <c r="F796" s="20" cm="1">
        <f t="array" ref="F796">IF(D796=0,"",(D796-C796)/C796)</f>
        <v>4.3827611395178545E-3</v>
      </c>
      <c r="G796" s="21">
        <v>29.21</v>
      </c>
      <c r="H796" s="22">
        <v>1</v>
      </c>
      <c r="I796" s="23" cm="1">
        <f t="array" ref="I796">IF(D796="","",(G796*C796)*0.00075)</f>
        <v>1.4995683750000002</v>
      </c>
      <c r="J796" s="23" cm="1">
        <f t="array" ref="J796">IF(D796="","",(G796*D796)*0.00075)</f>
        <v>1.506140625</v>
      </c>
      <c r="K796" s="24" cm="1">
        <f t="array" ref="K796">IF(D796="","",J796+I796)</f>
        <v>3.0057090000000004</v>
      </c>
      <c r="L796" s="24" cm="1">
        <f t="array" ref="L796">IF(D796=0,0,(D796-C796)*G796)</f>
        <v>8.7629999999999164</v>
      </c>
      <c r="M796" s="25">
        <v>1989.155359375</v>
      </c>
      <c r="N796" s="26" cm="1">
        <f t="array" ref="N796">IFERROR((K796-J796)/J796,"–")</f>
        <v>0.99563636363636387</v>
      </c>
      <c r="O796" s="24" cm="1">
        <f t="array" ref="O796">IF(D796=0,0,L796-K796)</f>
        <v>5.757290999999916</v>
      </c>
      <c r="P796" s="23"/>
      <c r="Q796" s="27"/>
    </row>
    <row r="797" spans="1:17" ht="22.5" customHeight="1">
      <c r="A797" s="16" t="s">
        <v>179</v>
      </c>
      <c r="B797" s="42">
        <v>44465</v>
      </c>
      <c r="C797" s="36">
        <v>4.9722</v>
      </c>
      <c r="D797" s="36">
        <v>4.74</v>
      </c>
      <c r="E797" s="30" cm="1">
        <f t="array" ref="E797">IF(D797="","",D797-C797)</f>
        <v>-0.23219999999999974</v>
      </c>
      <c r="F797" s="31" cm="1">
        <f t="array" ref="F797">IF(D797=0,"",(D797-C797)/C797)</f>
        <v>-4.6699650054301864E-2</v>
      </c>
      <c r="G797" s="32">
        <v>402.2</v>
      </c>
      <c r="H797" s="10">
        <v>1</v>
      </c>
      <c r="I797" s="11" cm="1">
        <f t="array" ref="I797">IF(D797="","",(G797*C797)*0.00075)</f>
        <v>1.49986413</v>
      </c>
      <c r="J797" s="11" cm="1">
        <f t="array" ref="J797">IF(D797="","",(G797*D797)*0.00075)</f>
        <v>1.429821</v>
      </c>
      <c r="K797" s="33" cm="1">
        <f t="array" ref="K797">IF(D797="","",J797+I797)</f>
        <v>2.9296851300000002</v>
      </c>
      <c r="L797" s="33" cm="1">
        <f t="array" ref="L797">IF(D797=0,0,(D797-C797)*G797)</f>
        <v>-93.390839999999898</v>
      </c>
      <c r="M797" s="12">
        <v>2091.7798590000002</v>
      </c>
      <c r="N797" s="34" cm="1">
        <f t="array" ref="N797">IFERROR((K797-J797)/J797,"–")</f>
        <v>1.048987341772152</v>
      </c>
      <c r="O797" s="33" cm="1">
        <f t="array" ref="O797">IF(D797=0,0,L797-K797)</f>
        <v>-96.320525129999893</v>
      </c>
      <c r="P797" s="11"/>
      <c r="Q797" s="35"/>
    </row>
    <row r="798" spans="1:17" ht="22.5" customHeight="1">
      <c r="A798" s="16" t="s">
        <v>178</v>
      </c>
      <c r="B798" s="43">
        <v>44465</v>
      </c>
      <c r="C798" s="37">
        <v>4.2</v>
      </c>
      <c r="D798" s="37">
        <v>4.3360000000000003</v>
      </c>
      <c r="E798" s="19" cm="1">
        <f t="array" ref="E798">IF(D798="","",D798-C798)</f>
        <v>0.13600000000000012</v>
      </c>
      <c r="F798" s="20" cm="1">
        <f t="array" ref="F798">IF(D798=0,"",(D798-C798)/C798)</f>
        <v>3.2380952380952406E-2</v>
      </c>
      <c r="G798" s="21">
        <v>1000</v>
      </c>
      <c r="H798" s="22">
        <v>1</v>
      </c>
      <c r="I798" s="23" cm="1">
        <f t="array" ref="I798">IF(D798="","",(G798*C798)*0.00075)</f>
        <v>3.15</v>
      </c>
      <c r="J798" s="23" cm="1">
        <f t="array" ref="J798">IF(D798="","",(G798*D798)*0.00075)</f>
        <v>3.2520000000000002</v>
      </c>
      <c r="K798" s="24" cm="1">
        <f t="array" ref="K798">IF(D798="","",J798+I798)</f>
        <v>6.4020000000000001</v>
      </c>
      <c r="L798" s="24" cm="1">
        <f t="array" ref="L798">IF(D798=0,0,(D798-C798)*G798)</f>
        <v>136.00000000000011</v>
      </c>
      <c r="M798" s="25">
        <v>4060.748</v>
      </c>
      <c r="N798" s="26" cm="1">
        <f t="array" ref="N798">IFERROR((K798-J798)/J798,"–")</f>
        <v>0.96863468634686334</v>
      </c>
      <c r="O798" s="24" cm="1">
        <f t="array" ref="O798">IF(D798=0,0,L798-K798)</f>
        <v>129.59800000000013</v>
      </c>
      <c r="P798" s="23"/>
      <c r="Q798" s="27"/>
    </row>
    <row r="799" spans="1:17" ht="22.5" customHeight="1">
      <c r="A799" s="16" t="s">
        <v>71</v>
      </c>
      <c r="B799" s="42">
        <v>44465</v>
      </c>
      <c r="C799" s="36">
        <v>7.8589999999999993E-2</v>
      </c>
      <c r="D799" s="36">
        <v>7.9930000000000001E-2</v>
      </c>
      <c r="E799" s="30" cm="1">
        <f t="array" ref="E799">IF(D799="","",D799-C799)</f>
        <v>1.3400000000000079E-3</v>
      </c>
      <c r="F799" s="31" cm="1">
        <f t="array" ref="F799">IF(D799=0,"",(D799-C799)/C799)</f>
        <v>1.7050515332739637E-2</v>
      </c>
      <c r="G799" s="32">
        <v>22265</v>
      </c>
      <c r="H799" s="10">
        <v>1</v>
      </c>
      <c r="I799" s="11" cm="1">
        <f t="array" ref="I799">IF(D799="","",(G799*C799)*0.00075)</f>
        <v>1.3123547624999998</v>
      </c>
      <c r="J799" s="11" cm="1">
        <f t="array" ref="J799">IF(D799="","",(G799*D799)*0.00075)</f>
        <v>1.3347310875</v>
      </c>
      <c r="K799" s="33" cm="1">
        <f t="array" ref="K799">IF(D799="","",J799+I799)</f>
        <v>2.6470858499999999</v>
      </c>
      <c r="L799" s="33" cm="1">
        <f t="array" ref="L799">IF(D799=0,0,(D799-C799)*G799)</f>
        <v>29.835100000000175</v>
      </c>
      <c r="M799" s="12">
        <v>1718.6365189124999</v>
      </c>
      <c r="N799" s="34" cm="1">
        <f t="array" ref="N799">IFERROR((K799-J799)/J799,"–")</f>
        <v>0.98323533091455007</v>
      </c>
      <c r="O799" s="33" cm="1">
        <f t="array" ref="O799">IF(D799=0,0,L799-K799)</f>
        <v>27.188014150000175</v>
      </c>
      <c r="P799" s="11"/>
      <c r="Q799" s="35"/>
    </row>
    <row r="800" spans="1:17" ht="22.5" customHeight="1">
      <c r="A800" s="16" t="s">
        <v>71</v>
      </c>
      <c r="B800" s="43">
        <v>44465</v>
      </c>
      <c r="C800" s="37">
        <v>7.8589999999999993E-2</v>
      </c>
      <c r="D800" s="37">
        <v>8.0079999999999998E-2</v>
      </c>
      <c r="E800" s="19" cm="1">
        <f t="array" ref="E800">IF(D800="","",D800-C800)</f>
        <v>1.4900000000000052E-3</v>
      </c>
      <c r="F800" s="20" cm="1">
        <f t="array" ref="F800">IF(D800=0,"",(D800-C800)/C800)</f>
        <v>1.8959155108792536E-2</v>
      </c>
      <c r="G800" s="21">
        <v>7586</v>
      </c>
      <c r="H800" s="22">
        <v>1</v>
      </c>
      <c r="I800" s="23" cm="1">
        <f t="array" ref="I800">IF(D800="","",(G800*C800)*0.00075)</f>
        <v>0.44713780499999994</v>
      </c>
      <c r="J800" s="23" cm="1">
        <f t="array" ref="J800">IF(D800="","",(G800*D800)*0.00075)</f>
        <v>0.45561516000000002</v>
      </c>
      <c r="K800" s="24" cm="1">
        <f t="array" ref="K800">IF(D800="","",J800+I800)</f>
        <v>0.90275296499999991</v>
      </c>
      <c r="L800" s="24" cm="1">
        <f t="array" ref="L800">IF(D800=0,0,(D800-C800)*G800)</f>
        <v>11.30314000000004</v>
      </c>
      <c r="M800" s="25">
        <v>584.42498483999998</v>
      </c>
      <c r="N800" s="26" cm="1">
        <f t="array" ref="N800">IFERROR((K800-J800)/J800,"–")</f>
        <v>0.98139360639360607</v>
      </c>
      <c r="O800" s="24" cm="1">
        <f t="array" ref="O800">IF(D800=0,0,L800-K800)</f>
        <v>10.40038703500004</v>
      </c>
      <c r="P800" s="23"/>
      <c r="Q800" s="27"/>
    </row>
    <row r="801" spans="1:17" ht="22.5" customHeight="1">
      <c r="A801" s="16" t="s">
        <v>71</v>
      </c>
      <c r="B801" s="42">
        <v>44465</v>
      </c>
      <c r="C801" s="36">
        <v>7.8589999999999993E-2</v>
      </c>
      <c r="D801" s="36">
        <v>8.09E-2</v>
      </c>
      <c r="E801" s="30" cm="1">
        <f t="array" ref="E801">IF(D801="","",D801-C801)</f>
        <v>2.3100000000000065E-3</v>
      </c>
      <c r="F801" s="31" cm="1">
        <f t="array" ref="F801">IF(D801=0,"",(D801-C801)/C801)</f>
        <v>2.9393052551215253E-2</v>
      </c>
      <c r="G801" s="32">
        <v>29604</v>
      </c>
      <c r="H801" s="10">
        <v>1</v>
      </c>
      <c r="I801" s="11" cm="1">
        <f t="array" ref="I801">IF(D801="","",(G801*C801)*0.00075)</f>
        <v>1.7449337700000001</v>
      </c>
      <c r="J801" s="11" cm="1">
        <f t="array" ref="J801">IF(D801="","",(G801*D801)*0.00075)</f>
        <v>1.7962227000000002</v>
      </c>
      <c r="K801" s="33" cm="1">
        <f t="array" ref="K801">IF(D801="","",J801+I801)</f>
        <v>3.5411564700000002</v>
      </c>
      <c r="L801" s="33" cm="1">
        <f t="array" ref="L801">IF(D801=0,0,(D801-C801)*G801)</f>
        <v>68.385240000000195</v>
      </c>
      <c r="M801" s="12">
        <v>2256.3968973000001</v>
      </c>
      <c r="N801" s="34" cm="1">
        <f t="array" ref="N801">IFERROR((K801-J801)/J801,"–")</f>
        <v>0.9714462299134734</v>
      </c>
      <c r="O801" s="33" cm="1">
        <f t="array" ref="O801">IF(D801=0,0,L801-K801)</f>
        <v>64.844083530000191</v>
      </c>
      <c r="P801" s="11"/>
      <c r="Q801" s="35"/>
    </row>
    <row r="802" spans="1:17" ht="22.5" customHeight="1">
      <c r="A802" s="16" t="s">
        <v>71</v>
      </c>
      <c r="B802" s="43">
        <v>44465</v>
      </c>
      <c r="C802" s="37">
        <v>7.8589999999999993E-2</v>
      </c>
      <c r="D802" s="37">
        <v>8.1799999999999998E-2</v>
      </c>
      <c r="E802" s="19" cm="1">
        <f t="array" ref="E802">IF(D802="","",D802-C802)</f>
        <v>3.2100000000000045E-3</v>
      </c>
      <c r="F802" s="20" cm="1">
        <f t="array" ref="F802">IF(D802=0,"",(D802-C802)/C802)</f>
        <v>4.0844891207532825E-2</v>
      </c>
      <c r="G802" s="21">
        <v>29605</v>
      </c>
      <c r="H802" s="22">
        <v>1</v>
      </c>
      <c r="I802" s="23" cm="1">
        <f t="array" ref="I802">IF(D802="","",(G802*C802)*0.00075)</f>
        <v>1.7449927124999998</v>
      </c>
      <c r="J802" s="23" cm="1">
        <f t="array" ref="J802">IF(D802="","",(G802*D802)*0.00075)</f>
        <v>1.8162667499999998</v>
      </c>
      <c r="K802" s="24" cm="1">
        <f t="array" ref="K802">IF(D802="","",J802+I802)</f>
        <v>3.5612594624999998</v>
      </c>
      <c r="L802" s="24" cm="1">
        <f t="array" ref="L802">IF(D802=0,0,(D802-C802)*G802)</f>
        <v>95.03205000000014</v>
      </c>
      <c r="M802" s="25">
        <v>2229.8086332500002</v>
      </c>
      <c r="N802" s="26" cm="1">
        <f t="array" ref="N802">IFERROR((K802-J802)/J802,"–")</f>
        <v>0.960757946210269</v>
      </c>
      <c r="O802" s="24" cm="1">
        <f t="array" ref="O802">IF(D802=0,0,L802-K802)</f>
        <v>91.470790537500136</v>
      </c>
      <c r="P802" s="23"/>
      <c r="Q802" s="27"/>
    </row>
    <row r="803" spans="1:17" ht="22.5" customHeight="1">
      <c r="A803" s="16" t="s">
        <v>188</v>
      </c>
      <c r="B803" s="42">
        <v>44465</v>
      </c>
      <c r="C803" s="36">
        <v>1.0369E-2</v>
      </c>
      <c r="D803" s="36">
        <v>1.0423E-2</v>
      </c>
      <c r="E803" s="30" cm="1">
        <f t="array" ref="E803">IF(D803="","",D803-C803)</f>
        <v>5.4000000000000228E-5</v>
      </c>
      <c r="F803" s="31" cm="1">
        <f t="array" ref="F803">IF(D803=0,"",(D803-C803)/C803)</f>
        <v>5.2078310348153368E-3</v>
      </c>
      <c r="G803" s="32">
        <v>192871</v>
      </c>
      <c r="H803" s="10">
        <v>1</v>
      </c>
      <c r="I803" s="11" cm="1">
        <f t="array" ref="I803">IF(D803="","",(G803*C803)*0.00075)</f>
        <v>1.4999095492499999</v>
      </c>
      <c r="J803" s="11" cm="1">
        <f t="array" ref="J803">IF(D803="","",(G803*D803)*0.00075)</f>
        <v>1.50772082475</v>
      </c>
      <c r="K803" s="33" cm="1">
        <f t="array" ref="K803">IF(D803="","",J803+I803)</f>
        <v>3.0076303739999997</v>
      </c>
      <c r="L803" s="33" cm="1">
        <f t="array" ref="L803">IF(D803=0,0,(D803-C803)*G803)</f>
        <v>10.415034000000045</v>
      </c>
      <c r="M803" s="12">
        <v>1987.9566441752499</v>
      </c>
      <c r="N803" s="34" cm="1">
        <f t="array" ref="N803">IFERROR((K803-J803)/J803,"–")</f>
        <v>0.99481914995682597</v>
      </c>
      <c r="O803" s="33" cm="1">
        <f t="array" ref="O803">IF(D803=0,0,L803-K803)</f>
        <v>7.4074036260000451</v>
      </c>
      <c r="P803" s="11"/>
      <c r="Q803" s="35"/>
    </row>
    <row r="804" spans="1:17" ht="22.5" customHeight="1">
      <c r="A804" s="16" t="s">
        <v>188</v>
      </c>
      <c r="B804" s="43">
        <v>44465</v>
      </c>
      <c r="C804" s="37">
        <v>1.0329E-2</v>
      </c>
      <c r="D804" s="37">
        <v>1.0423E-2</v>
      </c>
      <c r="E804" s="19" cm="1">
        <f t="array" ref="E804">IF(D804="","",D804-C804)</f>
        <v>9.4000000000000333E-5</v>
      </c>
      <c r="F804" s="20" cm="1">
        <f t="array" ref="F804">IF(D804=0,"",(D804-C804)/C804)</f>
        <v>9.1005905702391653E-3</v>
      </c>
      <c r="G804" s="21">
        <v>387260</v>
      </c>
      <c r="H804" s="22">
        <v>1</v>
      </c>
      <c r="I804" s="23" cm="1">
        <f t="array" ref="I804">IF(D804="","",(G804*C804)*0.00075)</f>
        <v>3.0000064049999997</v>
      </c>
      <c r="J804" s="23" cm="1">
        <f t="array" ref="J804">IF(D804="","",(G804*D804)*0.00075)</f>
        <v>3.027308235</v>
      </c>
      <c r="K804" s="24" cm="1">
        <f t="array" ref="K804">IF(D804="","",J804+I804)</f>
        <v>6.0273146400000002</v>
      </c>
      <c r="L804" s="24" cm="1">
        <f t="array" ref="L804">IF(D804=0,0,(D804-C804)*G804)</f>
        <v>36.402440000000126</v>
      </c>
      <c r="M804" s="25">
        <v>3960.578791765</v>
      </c>
      <c r="N804" s="26" cm="1">
        <f t="array" ref="N804">IFERROR((K804-J804)/J804,"–")</f>
        <v>0.99098148325817903</v>
      </c>
      <c r="O804" s="24" cm="1">
        <f t="array" ref="O804">IF(D804=0,0,L804-K804)</f>
        <v>30.375125360000126</v>
      </c>
      <c r="P804" s="23"/>
      <c r="Q804" s="27"/>
    </row>
    <row r="805" spans="1:17" ht="22.5" customHeight="1">
      <c r="A805" s="16" t="s">
        <v>134</v>
      </c>
      <c r="B805" s="42">
        <v>44466</v>
      </c>
      <c r="C805" s="36">
        <v>7.9093999999999998</v>
      </c>
      <c r="D805" s="36">
        <v>7.96</v>
      </c>
      <c r="E805" s="30" cm="1">
        <f t="array" ref="E805">IF(D805="","",D805-C805)</f>
        <v>5.06000000000002E-2</v>
      </c>
      <c r="F805" s="31" cm="1">
        <f t="array" ref="F805">IF(D805=0,"",(D805-C805)/C805)</f>
        <v>6.3974511340936357E-3</v>
      </c>
      <c r="G805" s="32">
        <v>1232.7</v>
      </c>
      <c r="H805" s="10">
        <v>1</v>
      </c>
      <c r="I805" s="11" cm="1">
        <f t="array" ref="I805">IF(D805="","",(G805*C805)*0.00075)</f>
        <v>7.3124380350000004</v>
      </c>
      <c r="J805" s="11" cm="1">
        <f t="array" ref="J805">IF(D805="","",(G805*D805)*0.00075)</f>
        <v>7.3592189999999995</v>
      </c>
      <c r="K805" s="33" cm="1">
        <f t="array" ref="K805">IF(D805="","",J805+I805)</f>
        <v>14.671657034999999</v>
      </c>
      <c r="L805" s="33" cm="1">
        <f t="array" ref="L805">IF(D805=0,0,(D805-C805)*G805)</f>
        <v>62.374620000000249</v>
      </c>
      <c r="M805" s="12">
        <v>9680.1835410000003</v>
      </c>
      <c r="N805" s="34" cm="1">
        <f t="array" ref="N805">IFERROR((K805-J805)/J805,"–")</f>
        <v>0.99364321608040207</v>
      </c>
      <c r="O805" s="33" cm="1">
        <f t="array" ref="O805">IF(D805=0,0,L805-K805)</f>
        <v>47.702962965000253</v>
      </c>
      <c r="P805" s="11"/>
      <c r="Q805" s="35"/>
    </row>
    <row r="806" spans="1:17" ht="22.5" customHeight="1">
      <c r="A806" s="16" t="s">
        <v>134</v>
      </c>
      <c r="B806" s="43">
        <v>44466</v>
      </c>
      <c r="C806" s="37">
        <v>7.9093999999999998</v>
      </c>
      <c r="D806" s="37">
        <v>7.95</v>
      </c>
      <c r="E806" s="19" cm="1">
        <f t="array" ref="E806">IF(D806="","",D806-C806)</f>
        <v>4.0600000000000414E-2</v>
      </c>
      <c r="F806" s="20" cm="1">
        <f t="array" ref="F806">IF(D806=0,"",(D806-C806)/C806)</f>
        <v>5.1331327281463092E-3</v>
      </c>
      <c r="G806" s="21">
        <v>924.5</v>
      </c>
      <c r="H806" s="22">
        <v>1</v>
      </c>
      <c r="I806" s="23" cm="1">
        <f t="array" ref="I806">IF(D806="","",(G806*C806)*0.00075)</f>
        <v>5.4841802249999994</v>
      </c>
      <c r="J806" s="23" cm="1">
        <f t="array" ref="J806">IF(D806="","",(G806*D806)*0.00075)</f>
        <v>5.5123312500000008</v>
      </c>
      <c r="K806" s="24" cm="1">
        <f t="array" ref="K806">IF(D806="","",J806+I806)</f>
        <v>10.996511475</v>
      </c>
      <c r="L806" s="24" cm="1">
        <f t="array" ref="L806">IF(D806=0,0,(D806-C806)*G806)</f>
        <v>37.534700000000385</v>
      </c>
      <c r="M806" s="25">
        <v>7269.1932687500002</v>
      </c>
      <c r="N806" s="26" cm="1">
        <f t="array" ref="N806">IFERROR((K806-J806)/J806,"–")</f>
        <v>0.99489308176100599</v>
      </c>
      <c r="O806" s="24" cm="1">
        <f t="array" ref="O806">IF(D806=0,0,L806-K806)</f>
        <v>26.538188525000386</v>
      </c>
      <c r="P806" s="23"/>
      <c r="Q806" s="27"/>
    </row>
    <row r="807" spans="1:17" ht="22.5" customHeight="1">
      <c r="A807" s="16" t="s">
        <v>134</v>
      </c>
      <c r="B807" s="42">
        <v>44466</v>
      </c>
      <c r="C807" s="36">
        <v>7.9093999999999998</v>
      </c>
      <c r="D807" s="36">
        <v>8</v>
      </c>
      <c r="E807" s="30" cm="1">
        <f t="array" ref="E807">IF(D807="","",D807-C807)</f>
        <v>9.0600000000000236E-2</v>
      </c>
      <c r="F807" s="31" cm="1">
        <f t="array" ref="F807">IF(D807=0,"",(D807-C807)/C807)</f>
        <v>1.1454724757883056E-2</v>
      </c>
      <c r="G807" s="32">
        <v>1040.0999999999999</v>
      </c>
      <c r="H807" s="10">
        <v>1</v>
      </c>
      <c r="I807" s="11" cm="1">
        <f t="array" ref="I807">IF(D807="","",(G807*C807)*0.00075)</f>
        <v>6.1699252049999993</v>
      </c>
      <c r="J807" s="11" cm="1">
        <f t="array" ref="J807">IF(D807="","",(G807*D807)*0.00075)</f>
        <v>6.2405999999999997</v>
      </c>
      <c r="K807" s="33" cm="1">
        <f t="array" ref="K807">IF(D807="","",J807+I807)</f>
        <v>12.410525204999999</v>
      </c>
      <c r="L807" s="33" cm="1">
        <f t="array" ref="L807">IF(D807=0,0,(D807-C807)*G807)</f>
        <v>94.233060000000236</v>
      </c>
      <c r="M807" s="12">
        <v>8126.09328</v>
      </c>
      <c r="N807" s="34" cm="1">
        <f t="array" ref="N807">IFERROR((K807-J807)/J807,"–")</f>
        <v>0.98867499999999997</v>
      </c>
      <c r="O807" s="33" cm="1">
        <f t="array" ref="O807">IF(D807=0,0,L807-K807)</f>
        <v>81.822534795000237</v>
      </c>
      <c r="P807" s="11"/>
      <c r="Q807" s="35"/>
    </row>
    <row r="808" spans="1:17" ht="22.5" customHeight="1">
      <c r="A808" s="16" t="s">
        <v>134</v>
      </c>
      <c r="B808" s="43">
        <v>44466</v>
      </c>
      <c r="C808" s="37">
        <v>7.9093999999999998</v>
      </c>
      <c r="D808" s="37">
        <v>7.97</v>
      </c>
      <c r="E808" s="19" cm="1">
        <f t="array" ref="E808">IF(D808="","",D808-C808)</f>
        <v>6.0599999999999987E-2</v>
      </c>
      <c r="F808" s="20" cm="1">
        <f t="array" ref="F808">IF(D808=0,"",(D808-C808)/C808)</f>
        <v>7.6617695400409622E-3</v>
      </c>
      <c r="G808" s="21">
        <v>1733.5</v>
      </c>
      <c r="H808" s="22">
        <v>1</v>
      </c>
      <c r="I808" s="23" cm="1">
        <f t="array" ref="I808">IF(D808="","",(G808*C808)*0.00075)</f>
        <v>10.283208675000001</v>
      </c>
      <c r="J808" s="23" cm="1">
        <f t="array" ref="J808">IF(D808="","",(G808*D808)*0.00075)</f>
        <v>10.361996249999999</v>
      </c>
      <c r="K808" s="24" cm="1">
        <f t="array" ref="K808">IF(D808="","",J808+I808)</f>
        <v>20.645204925000002</v>
      </c>
      <c r="L808" s="24" cm="1">
        <f t="array" ref="L808">IF(D808=0,0,(D808-C808)*G808)</f>
        <v>105.05009999999997</v>
      </c>
      <c r="M808" s="25">
        <v>13595.53280375</v>
      </c>
      <c r="N808" s="26" cm="1">
        <f t="array" ref="N808">IFERROR((K808-J808)/J808,"–")</f>
        <v>0.99239648682559634</v>
      </c>
      <c r="O808" s="24" cm="1">
        <f t="array" ref="O808">IF(D808=0,0,L808-K808)</f>
        <v>84.40489507499997</v>
      </c>
      <c r="P808" s="23"/>
      <c r="Q808" s="27"/>
    </row>
    <row r="809" spans="1:17" ht="22.5" customHeight="1">
      <c r="A809" s="16" t="s">
        <v>50</v>
      </c>
      <c r="B809" s="42">
        <v>44466</v>
      </c>
      <c r="C809" s="36">
        <v>10.329000000000001</v>
      </c>
      <c r="D809" s="36">
        <v>10.26</v>
      </c>
      <c r="E809" s="30" cm="1">
        <f t="array" ref="E809">IF(D809="","",D809-C809)</f>
        <v>-6.9000000000000838E-2</v>
      </c>
      <c r="F809" s="31" cm="1">
        <f t="array" ref="F809">IF(D809=0,"",(D809-C809)/C809)</f>
        <v>-6.6802207377288057E-3</v>
      </c>
      <c r="G809" s="32">
        <v>247.51</v>
      </c>
      <c r="H809" s="10">
        <v>1</v>
      </c>
      <c r="I809" s="11" cm="1">
        <f t="array" ref="I809">IF(D809="","",(G809*C809)*0.00075)</f>
        <v>1.9173980925000003</v>
      </c>
      <c r="J809" s="11" cm="1">
        <f t="array" ref="J809">IF(D809="","",(G809*D809)*0.00075)</f>
        <v>1.90458945</v>
      </c>
      <c r="K809" s="33" cm="1">
        <f t="array" ref="K809">IF(D809="","",J809+I809)</f>
        <v>3.8219875425000005</v>
      </c>
      <c r="L809" s="33" cm="1">
        <f t="array" ref="L809">IF(D809=0,0,(D809-C809)*G809)</f>
        <v>-17.078190000000205</v>
      </c>
      <c r="M809" s="12">
        <v>2571.70439055</v>
      </c>
      <c r="N809" s="34" cm="1">
        <f t="array" ref="N809">IFERROR((K809-J809)/J809,"–")</f>
        <v>1.0067251461988307</v>
      </c>
      <c r="O809" s="33" cm="1">
        <f t="array" ref="O809">IF(D809=0,0,L809-K809)</f>
        <v>-20.900177542500206</v>
      </c>
      <c r="P809" s="11"/>
      <c r="Q809" s="35"/>
    </row>
    <row r="810" spans="1:17" ht="22.5" customHeight="1">
      <c r="A810" s="16" t="s">
        <v>50</v>
      </c>
      <c r="B810" s="43">
        <v>44466</v>
      </c>
      <c r="C810" s="37">
        <v>10.329000000000001</v>
      </c>
      <c r="D810" s="37">
        <v>10.25</v>
      </c>
      <c r="E810" s="19" cm="1">
        <f t="array" ref="E810">IF(D810="","",D810-C810)</f>
        <v>-7.9000000000000625E-2</v>
      </c>
      <c r="F810" s="20" cm="1">
        <f t="array" ref="F810">IF(D810=0,"",(D810-C810)/C810)</f>
        <v>-7.6483686707329484E-3</v>
      </c>
      <c r="G810" s="21">
        <v>335.8</v>
      </c>
      <c r="H810" s="22">
        <v>1</v>
      </c>
      <c r="I810" s="23" cm="1">
        <f t="array" ref="I810">IF(D810="","",(G810*C810)*0.00075)</f>
        <v>2.6013586500000003</v>
      </c>
      <c r="J810" s="23" cm="1">
        <f t="array" ref="J810">IF(D810="","",(G810*D810)*0.00075)</f>
        <v>2.5814625000000002</v>
      </c>
      <c r="K810" s="24" cm="1">
        <f t="array" ref="K810">IF(D810="","",J810+I810)</f>
        <v>5.1828211500000005</v>
      </c>
      <c r="L810" s="24" cm="1">
        <f t="array" ref="L810">IF(D810=0,0,(D810-C810)*G810)</f>
        <v>-26.528200000000211</v>
      </c>
      <c r="M810" s="25">
        <v>3492.4249374999999</v>
      </c>
      <c r="N810" s="26" cm="1">
        <f t="array" ref="N810">IFERROR((K810-J810)/J810,"–")</f>
        <v>1.0077073170731707</v>
      </c>
      <c r="O810" s="24" cm="1">
        <f t="array" ref="O810">IF(D810=0,0,L810-K810)</f>
        <v>-31.711021150000214</v>
      </c>
      <c r="P810" s="23"/>
      <c r="Q810" s="27"/>
    </row>
    <row r="811" spans="1:17" ht="22.5" customHeight="1">
      <c r="A811" s="16" t="s">
        <v>50</v>
      </c>
      <c r="B811" s="42">
        <v>44466</v>
      </c>
      <c r="C811" s="36">
        <v>10.329000000000001</v>
      </c>
      <c r="D811" s="36">
        <v>10.199999999999999</v>
      </c>
      <c r="E811" s="30" cm="1">
        <f t="array" ref="E811">IF(D811="","",D811-C811)</f>
        <v>-0.12900000000000134</v>
      </c>
      <c r="F811" s="31" cm="1">
        <f t="array" ref="F811">IF(D811=0,"",(D811-C811)/C811)</f>
        <v>-1.2489108335753831E-2</v>
      </c>
      <c r="G811" s="32">
        <v>1764.12</v>
      </c>
      <c r="H811" s="10">
        <v>1</v>
      </c>
      <c r="I811" s="11" cm="1">
        <f t="array" ref="I811">IF(D811="","",(G811*C811)*0.00075)</f>
        <v>13.66619661</v>
      </c>
      <c r="J811" s="11" cm="1">
        <f t="array" ref="J811">IF(D811="","",(G811*D811)*0.00075)</f>
        <v>13.495517999999999</v>
      </c>
      <c r="K811" s="33" cm="1">
        <f t="array" ref="K811">IF(D811="","",J811+I811)</f>
        <v>27.161714609999997</v>
      </c>
      <c r="L811" s="33" cm="1">
        <f t="array" ref="L811">IF(D811=0,0,(D811-C811)*G811)</f>
        <v>-227.57148000000234</v>
      </c>
      <c r="M811" s="12">
        <v>18435.671441999999</v>
      </c>
      <c r="N811" s="34" cm="1">
        <f t="array" ref="N811">IFERROR((K811-J811)/J811,"–")</f>
        <v>1.0126470588235295</v>
      </c>
      <c r="O811" s="33" cm="1">
        <f t="array" ref="O811">IF(D811=0,0,L811-K811)</f>
        <v>-254.73319461000233</v>
      </c>
      <c r="P811" s="11"/>
      <c r="Q811" s="35"/>
    </row>
    <row r="812" spans="1:17" ht="22.5" customHeight="1">
      <c r="A812" s="16" t="s">
        <v>50</v>
      </c>
      <c r="B812" s="43">
        <v>44466</v>
      </c>
      <c r="C812" s="37">
        <v>10.329000000000001</v>
      </c>
      <c r="D812" s="37">
        <v>10.199999999999999</v>
      </c>
      <c r="E812" s="19" cm="1">
        <f t="array" ref="E812">IF(D812="","",D812-C812)</f>
        <v>-0.12900000000000134</v>
      </c>
      <c r="F812" s="20" cm="1">
        <f t="array" ref="F812">IF(D812=0,"",(D812-C812)/C812)</f>
        <v>-1.2489108335753831E-2</v>
      </c>
      <c r="G812" s="21">
        <v>1428.32</v>
      </c>
      <c r="H812" s="22">
        <v>1</v>
      </c>
      <c r="I812" s="23" cm="1">
        <f t="array" ref="I812">IF(D812="","",(G812*C812)*0.00075)</f>
        <v>11.06483796</v>
      </c>
      <c r="J812" s="23" cm="1">
        <f t="array" ref="J812">IF(D812="","",(G812*D812)*0.00075)</f>
        <v>10.926647999999998</v>
      </c>
      <c r="K812" s="24" cm="1">
        <f t="array" ref="K812">IF(D812="","",J812+I812)</f>
        <v>21.991485959999999</v>
      </c>
      <c r="L812" s="24" cm="1">
        <f t="array" ref="L812">IF(D812=0,0,(D812-C812)*G812)</f>
        <v>-184.25328000000189</v>
      </c>
      <c r="M812" s="25">
        <v>14926.443912000001</v>
      </c>
      <c r="N812" s="26" cm="1">
        <f t="array" ref="N812">IFERROR((K812-J812)/J812,"–")</f>
        <v>1.0126470588235297</v>
      </c>
      <c r="O812" s="24" cm="1">
        <f t="array" ref="O812">IF(D812=0,0,L812-K812)</f>
        <v>-206.2447659600019</v>
      </c>
      <c r="P812" s="23"/>
      <c r="Q812" s="27"/>
    </row>
    <row r="813" spans="1:17" ht="22.5" customHeight="1">
      <c r="A813" s="16" t="s">
        <v>69</v>
      </c>
      <c r="B813" s="42">
        <v>44466</v>
      </c>
      <c r="C813" s="36">
        <v>21.6676</v>
      </c>
      <c r="D813" s="36">
        <v>20.603999999999999</v>
      </c>
      <c r="E813" s="30" cm="1">
        <f t="array" ref="E813">IF(D813="","",D813-C813)</f>
        <v>-1.063600000000001</v>
      </c>
      <c r="F813" s="31" cm="1">
        <f t="array" ref="F813">IF(D813=0,"",(D813-C813)/C813)</f>
        <v>-4.908711624730016E-2</v>
      </c>
      <c r="G813" s="32">
        <v>92.3</v>
      </c>
      <c r="H813" s="10">
        <v>1</v>
      </c>
      <c r="I813" s="11" cm="1">
        <f t="array" ref="I813">IF(D813="","",(G813*C813)*0.00075)</f>
        <v>1.49993961</v>
      </c>
      <c r="J813" s="11" cm="1">
        <f t="array" ref="J813">IF(D813="","",(G813*D813)*0.00075)</f>
        <v>1.4263119</v>
      </c>
      <c r="K813" s="33" cm="1">
        <f t="array" ref="K813">IF(D813="","",J813+I813)</f>
        <v>2.9262515100000002</v>
      </c>
      <c r="L813" s="33" cm="1">
        <f t="array" ref="L813">IF(D813=0,0,(D813-C813)*G813)</f>
        <v>-98.170280000000091</v>
      </c>
      <c r="M813" s="12">
        <v>2096.6634481000001</v>
      </c>
      <c r="N813" s="34" cm="1">
        <f t="array" ref="N813">IFERROR((K813-J813)/J813,"–")</f>
        <v>1.051621044457387</v>
      </c>
      <c r="O813" s="33" cm="1">
        <f t="array" ref="O813">IF(D813=0,0,L813-K813)</f>
        <v>-101.09653151000009</v>
      </c>
      <c r="P813" s="11"/>
      <c r="Q813" s="35"/>
    </row>
    <row r="814" spans="1:17" ht="22.5" customHeight="1">
      <c r="A814" s="16" t="s">
        <v>69</v>
      </c>
      <c r="B814" s="43">
        <v>44466</v>
      </c>
      <c r="C814" s="37">
        <v>21.4</v>
      </c>
      <c r="D814" s="37">
        <v>20.603999999999999</v>
      </c>
      <c r="E814" s="19" cm="1">
        <f t="array" ref="E814">IF(D814="","",D814-C814)</f>
        <v>-0.79599999999999937</v>
      </c>
      <c r="F814" s="20" cm="1">
        <f t="array" ref="F814">IF(D814=0,"",(D814-C814)/C814)</f>
        <v>-3.7196261682242965E-2</v>
      </c>
      <c r="G814" s="21">
        <v>93.45</v>
      </c>
      <c r="H814" s="22">
        <v>1</v>
      </c>
      <c r="I814" s="23" cm="1">
        <f t="array" ref="I814">IF(D814="","",(G814*C814)*0.00075)</f>
        <v>1.4998724999999999</v>
      </c>
      <c r="J814" s="23" cm="1">
        <f t="array" ref="J814">IF(D814="","",(G814*D814)*0.00075)</f>
        <v>1.44408285</v>
      </c>
      <c r="K814" s="24" cm="1">
        <f t="array" ref="K814">IF(D814="","",J814+I814)</f>
        <v>2.94395535</v>
      </c>
      <c r="L814" s="24" cm="1">
        <f t="array" ref="L814">IF(D814=0,0,(D814-C814)*G814)</f>
        <v>-74.386199999999945</v>
      </c>
      <c r="M814" s="25">
        <v>2072.7721171500002</v>
      </c>
      <c r="N814" s="26" cm="1">
        <f t="array" ref="N814">IFERROR((K814-J814)/J814,"–")</f>
        <v>1.0386332750922151</v>
      </c>
      <c r="O814" s="24" cm="1">
        <f t="array" ref="O814">IF(D814=0,0,L814-K814)</f>
        <v>-77.330155349999941</v>
      </c>
      <c r="P814" s="23"/>
      <c r="Q814" s="27"/>
    </row>
    <row r="815" spans="1:17" ht="22.5" customHeight="1">
      <c r="A815" s="16" t="s">
        <v>69</v>
      </c>
      <c r="B815" s="42">
        <v>44466</v>
      </c>
      <c r="C815" s="36">
        <v>21.468800000000002</v>
      </c>
      <c r="D815" s="36">
        <v>20.603999999999999</v>
      </c>
      <c r="E815" s="30" cm="1">
        <f t="array" ref="E815">IF(D815="","",D815-C815)</f>
        <v>-0.86480000000000246</v>
      </c>
      <c r="F815" s="31" cm="1">
        <f t="array" ref="F815">IF(D815=0,"",(D815-C815)/C815)</f>
        <v>-4.0281711134297321E-2</v>
      </c>
      <c r="G815" s="32">
        <v>92.59</v>
      </c>
      <c r="H815" s="10">
        <v>1</v>
      </c>
      <c r="I815" s="11" cm="1">
        <f t="array" ref="I815">IF(D815="","",(G815*C815)*0.00075)</f>
        <v>1.4908471440000002</v>
      </c>
      <c r="J815" s="11" cm="1">
        <f t="array" ref="J815">IF(D815="","",(G815*D815)*0.00075)</f>
        <v>1.4307932699999999</v>
      </c>
      <c r="K815" s="33" cm="1">
        <f t="array" ref="K815">IF(D815="","",J815+I815)</f>
        <v>2.9216404140000001</v>
      </c>
      <c r="L815" s="33" cm="1">
        <f t="array" ref="L815">IF(D815=0,0,(D815-C815)*G815)</f>
        <v>-80.071832000000228</v>
      </c>
      <c r="M815" s="12">
        <v>2066.43723073</v>
      </c>
      <c r="N815" s="34" cm="1">
        <f t="array" ref="N815">IFERROR((K815-J815)/J815,"–")</f>
        <v>1.0419724325373716</v>
      </c>
      <c r="O815" s="33" cm="1">
        <f t="array" ref="O815">IF(D815=0,0,L815-K815)</f>
        <v>-82.993472414000223</v>
      </c>
      <c r="P815" s="11"/>
      <c r="Q815" s="35"/>
    </row>
    <row r="816" spans="1:17" ht="22.5" customHeight="1">
      <c r="A816" s="16" t="s">
        <v>180</v>
      </c>
      <c r="B816" s="43">
        <v>44466</v>
      </c>
      <c r="C816" s="37">
        <v>1.2831999999999999</v>
      </c>
      <c r="D816" s="37">
        <v>1.2917000000000001</v>
      </c>
      <c r="E816" s="19" cm="1">
        <f t="array" ref="E816">IF(D816="","",D816-C816)</f>
        <v>8.5000000000001741E-3</v>
      </c>
      <c r="F816" s="20" cm="1">
        <f t="array" ref="F816">IF(D816=0,"",(D816-C816)/C816)</f>
        <v>6.6240648379053734E-3</v>
      </c>
      <c r="G816" s="21">
        <v>3896</v>
      </c>
      <c r="H816" s="22">
        <v>1</v>
      </c>
      <c r="I816" s="23" cm="1">
        <f t="array" ref="I816">IF(D816="","",(G816*C816)*0.00075)</f>
        <v>3.7495103999999997</v>
      </c>
      <c r="J816" s="23" cm="1">
        <f t="array" ref="J816">IF(D816="","",(G816*D816)*0.00075)</f>
        <v>3.7743474000000004</v>
      </c>
      <c r="K816" s="24" cm="1">
        <f t="array" ref="K816">IF(D816="","",J816+I816)</f>
        <v>7.5238578</v>
      </c>
      <c r="L816" s="24" cm="1">
        <f t="array" ref="L816">IF(D816=0,0,(D816-C816)*G816)</f>
        <v>33.116000000000682</v>
      </c>
      <c r="M816" s="25">
        <v>4962.4568526000003</v>
      </c>
      <c r="N816" s="26" cm="1">
        <f t="array" ref="N816">IFERROR((K816-J816)/J816,"–")</f>
        <v>0.993419524657428</v>
      </c>
      <c r="O816" s="24" cm="1">
        <f t="array" ref="O816">IF(D816=0,0,L816-K816)</f>
        <v>25.59214220000068</v>
      </c>
      <c r="P816" s="23"/>
      <c r="Q816" s="27"/>
    </row>
    <row r="817" spans="1:17" ht="22.5" customHeight="1">
      <c r="A817" s="16" t="s">
        <v>180</v>
      </c>
      <c r="B817" s="42">
        <v>44466</v>
      </c>
      <c r="C817" s="36">
        <v>1.2831999999999999</v>
      </c>
      <c r="D817" s="36">
        <v>1.2969999999999999</v>
      </c>
      <c r="E817" s="30" cm="1">
        <f t="array" ref="E817">IF(D817="","",D817-C817)</f>
        <v>1.3800000000000034E-2</v>
      </c>
      <c r="F817" s="31" cm="1">
        <f t="array" ref="F817">IF(D817=0,"",(D817-C817)/C817)</f>
        <v>1.0754364089775589E-2</v>
      </c>
      <c r="G817" s="32">
        <v>3896</v>
      </c>
      <c r="H817" s="10">
        <v>1</v>
      </c>
      <c r="I817" s="11" cm="1">
        <f t="array" ref="I817">IF(D817="","",(G817*C817)*0.00075)</f>
        <v>3.7495103999999997</v>
      </c>
      <c r="J817" s="11" cm="1">
        <f t="array" ref="J817">IF(D817="","",(G817*D817)*0.00075)</f>
        <v>3.7898339999999999</v>
      </c>
      <c r="K817" s="33" cm="1">
        <f t="array" ref="K817">IF(D817="","",J817+I817)</f>
        <v>7.5393443999999992</v>
      </c>
      <c r="L817" s="33" cm="1">
        <f t="array" ref="L817">IF(D817=0,0,(D817-C817)*G817)</f>
        <v>53.764800000000136</v>
      </c>
      <c r="M817" s="12">
        <v>4941.7925660000001</v>
      </c>
      <c r="N817" s="34" cm="1">
        <f t="array" ref="N817">IFERROR((K817-J817)/J817,"–")</f>
        <v>0.98936006168080171</v>
      </c>
      <c r="O817" s="33" cm="1">
        <f t="array" ref="O817">IF(D817=0,0,L817-K817)</f>
        <v>46.225455600000139</v>
      </c>
      <c r="P817" s="11"/>
      <c r="Q817" s="35"/>
    </row>
    <row r="818" spans="1:17" ht="22.5" customHeight="1">
      <c r="A818" s="16" t="s">
        <v>189</v>
      </c>
      <c r="B818" s="43">
        <v>44466</v>
      </c>
      <c r="C818" s="37">
        <v>2.1930000000000001</v>
      </c>
      <c r="D818" s="37">
        <v>2.1909999999999998</v>
      </c>
      <c r="E818" s="19" cm="1">
        <f t="array" ref="E818">IF(D818="","",D818-C818)</f>
        <v>-2.0000000000002238E-3</v>
      </c>
      <c r="F818" s="20" cm="1">
        <f t="array" ref="F818">IF(D818=0,"",(D818-C818)/C818)</f>
        <v>-9.1199270405846954E-4</v>
      </c>
      <c r="G818" s="21">
        <v>18239.8</v>
      </c>
      <c r="H818" s="22">
        <v>1</v>
      </c>
      <c r="I818" s="23" cm="1">
        <f t="array" ref="I818">IF(D818="","",(G818*C818)*0.00075)</f>
        <v>29.999911049999998</v>
      </c>
      <c r="J818" s="23" cm="1">
        <f t="array" ref="J818">IF(D818="","",(G818*D818)*0.00075)</f>
        <v>29.972551349999996</v>
      </c>
      <c r="K818" s="24" cm="1">
        <f t="array" ref="K818">IF(D818="","",J818+I818)</f>
        <v>59.972462399999998</v>
      </c>
      <c r="L818" s="24" cm="1">
        <f t="array" ref="L818">IF(D818=0,0,(D818-C818)*G818)</f>
        <v>-36.479600000004083</v>
      </c>
      <c r="M818" s="25">
        <v>40006.388448650003</v>
      </c>
      <c r="N818" s="26" cm="1">
        <f t="array" ref="N818">IFERROR((K818-J818)/J818,"–")</f>
        <v>1.0009128251939756</v>
      </c>
      <c r="O818" s="24" cm="1">
        <f t="array" ref="O818">IF(D818=0,0,L818-K818)</f>
        <v>-96.452062400004081</v>
      </c>
      <c r="P818" s="23"/>
      <c r="Q818" s="27"/>
    </row>
    <row r="819" spans="1:17" ht="22.5" customHeight="1">
      <c r="A819" s="16" t="s">
        <v>103</v>
      </c>
      <c r="B819" s="42">
        <v>44468</v>
      </c>
      <c r="C819" s="36">
        <v>0.35549999999999998</v>
      </c>
      <c r="D819" s="36">
        <v>0.35449999999999998</v>
      </c>
      <c r="E819" s="30" cm="1">
        <f t="array" ref="E819">IF(D819="","",D819-C819)</f>
        <v>-1.0000000000000009E-3</v>
      </c>
      <c r="F819" s="31" cm="1">
        <f t="array" ref="F819">IF(D819=0,"",(D819-C819)/C819)</f>
        <v>-2.8129395218002839E-3</v>
      </c>
      <c r="G819" s="32">
        <v>11255</v>
      </c>
      <c r="H819" s="10">
        <v>1</v>
      </c>
      <c r="I819" s="11" cm="1">
        <f t="array" ref="I819">IF(D819="","",(G819*C819)*0.00075)</f>
        <v>3.0008643749999999</v>
      </c>
      <c r="J819" s="11" cm="1">
        <f t="array" ref="J819">IF(D819="","",(G819*D819)*0.00075)</f>
        <v>2.9924231249999997</v>
      </c>
      <c r="K819" s="33" cm="1">
        <f t="array" ref="K819">IF(D819="","",J819+I819)</f>
        <v>5.9932874999999992</v>
      </c>
      <c r="L819" s="33" cm="1">
        <f t="array" ref="L819">IF(D819=0,0,(D819-C819)*G819)</f>
        <v>-11.25500000000001</v>
      </c>
      <c r="M819" s="12">
        <v>4009.4150768750001</v>
      </c>
      <c r="N819" s="34" cm="1">
        <f t="array" ref="N819">IFERROR((K819-J819)/J819,"–")</f>
        <v>1.002820874471086</v>
      </c>
      <c r="O819" s="33" cm="1">
        <f t="array" ref="O819">IF(D819=0,0,L819-K819)</f>
        <v>-17.248287500000011</v>
      </c>
      <c r="P819" s="11"/>
      <c r="Q819" s="35"/>
    </row>
    <row r="820" spans="1:17" ht="22.5" customHeight="1">
      <c r="A820" s="16" t="s">
        <v>58</v>
      </c>
      <c r="B820" s="43">
        <v>44468</v>
      </c>
      <c r="C820" s="37">
        <v>0.98870000000000002</v>
      </c>
      <c r="D820" s="37">
        <v>0.98350000000000004</v>
      </c>
      <c r="E820" s="19" cm="1">
        <f t="array" ref="E820">IF(D820="","",D820-C820)</f>
        <v>-5.1999999999999824E-3</v>
      </c>
      <c r="F820" s="20" cm="1">
        <f t="array" ref="F820">IF(D820=0,"",(D820-C820)/C820)</f>
        <v>-5.2594315768180258E-3</v>
      </c>
      <c r="G820" s="21">
        <v>21172</v>
      </c>
      <c r="H820" s="22">
        <v>1</v>
      </c>
      <c r="I820" s="23" cm="1">
        <f t="array" ref="I820">IF(D820="","",(G820*C820)*0.00075)</f>
        <v>15.699567300000002</v>
      </c>
      <c r="J820" s="23" cm="1">
        <f t="array" ref="J820">IF(D820="","",(G820*D820)*0.00075)</f>
        <v>15.616996500000001</v>
      </c>
      <c r="K820" s="24" cm="1">
        <f t="array" ref="K820">IF(D820="","",J820+I820)</f>
        <v>31.316563800000004</v>
      </c>
      <c r="L820" s="24" cm="1">
        <f t="array" ref="L820">IF(D820=0,0,(D820-C820)*G820)</f>
        <v>-110.09439999999962</v>
      </c>
      <c r="M820" s="25">
        <v>21027.233803499999</v>
      </c>
      <c r="N820" s="26" cm="1">
        <f t="array" ref="N820">IFERROR((K820-J820)/J820,"–")</f>
        <v>1.0052872394509407</v>
      </c>
      <c r="O820" s="24" cm="1">
        <f t="array" ref="O820">IF(D820=0,0,L820-K820)</f>
        <v>-141.41096379999962</v>
      </c>
      <c r="P820" s="23"/>
      <c r="Q820" s="27"/>
    </row>
    <row r="821" spans="1:17" ht="22.5" customHeight="1">
      <c r="A821" s="16" t="s">
        <v>58</v>
      </c>
      <c r="B821" s="42">
        <v>44468</v>
      </c>
      <c r="C821" s="36">
        <v>0.98870000000000002</v>
      </c>
      <c r="D821" s="36">
        <v>0.97950000000000004</v>
      </c>
      <c r="E821" s="30" cm="1">
        <f t="array" ref="E821">IF(D821="","",D821-C821)</f>
        <v>-9.199999999999986E-3</v>
      </c>
      <c r="F821" s="31" cm="1">
        <f t="array" ref="F821">IF(D821=0,"",(D821-C821)/C821)</f>
        <v>-9.3051481743703715E-3</v>
      </c>
      <c r="G821" s="32">
        <v>21172</v>
      </c>
      <c r="H821" s="10">
        <v>1</v>
      </c>
      <c r="I821" s="11" cm="1">
        <f t="array" ref="I821">IF(D821="","",(G821*C821)*0.00075)</f>
        <v>15.699567300000002</v>
      </c>
      <c r="J821" s="11" cm="1">
        <f t="array" ref="J821">IF(D821="","",(G821*D821)*0.00075)</f>
        <v>15.553480500000001</v>
      </c>
      <c r="K821" s="33" cm="1">
        <f t="array" ref="K821">IF(D821="","",J821+I821)</f>
        <v>31.253047800000004</v>
      </c>
      <c r="L821" s="33" cm="1">
        <f t="array" ref="L821">IF(D821=0,0,(D821-C821)*G821)</f>
        <v>-194.78239999999971</v>
      </c>
      <c r="M821" s="12">
        <v>21111.9853195</v>
      </c>
      <c r="N821" s="34" cm="1">
        <f t="array" ref="N821">IFERROR((K821-J821)/J821,"–")</f>
        <v>1.0093925472179686</v>
      </c>
      <c r="O821" s="33" cm="1">
        <f t="array" ref="O821">IF(D821=0,0,L821-K821)</f>
        <v>-226.0354477999997</v>
      </c>
      <c r="P821" s="11"/>
      <c r="Q821" s="35"/>
    </row>
    <row r="822" spans="1:17" ht="22.5" customHeight="1">
      <c r="A822" s="16" t="s">
        <v>85</v>
      </c>
      <c r="B822" s="43">
        <v>44468</v>
      </c>
      <c r="C822" s="37">
        <v>1.5</v>
      </c>
      <c r="D822" s="37">
        <v>1.5</v>
      </c>
      <c r="E822" s="19" cm="1">
        <f t="array" ref="E822">IF(D822="","",D822-C822)</f>
        <v>0</v>
      </c>
      <c r="F822" s="20" cm="1">
        <f t="array" ref="F822">IF(D822=0,"",(D822-C822)/C822)</f>
        <v>0</v>
      </c>
      <c r="G822" s="21">
        <v>6663.8</v>
      </c>
      <c r="H822" s="22">
        <v>1</v>
      </c>
      <c r="I822" s="23" cm="1">
        <f t="array" ref="I822">IF(D822="","",(G822*C822)*0.00075)</f>
        <v>7.4967750000000004</v>
      </c>
      <c r="J822" s="23" cm="1">
        <f t="array" ref="J822">IF(D822="","",(G822*D822)*0.00075)</f>
        <v>7.4967750000000004</v>
      </c>
      <c r="K822" s="24" cm="1">
        <f t="array" ref="K822">IF(D822="","",J822+I822)</f>
        <v>14.993550000000001</v>
      </c>
      <c r="L822" s="24" cm="1">
        <f t="array" ref="L822">IF(D822=0,0,(D822-C822)*G822)</f>
        <v>0</v>
      </c>
      <c r="M822" s="25">
        <v>9988.2032249999993</v>
      </c>
      <c r="N822" s="26" cm="1">
        <f t="array" ref="N822">IFERROR((K822-J822)/J822,"–")</f>
        <v>1</v>
      </c>
      <c r="O822" s="24" cm="1">
        <f t="array" ref="O822">IF(D822=0,0,L822-K822)</f>
        <v>-14.993550000000001</v>
      </c>
      <c r="P822" s="23"/>
      <c r="Q822" s="27"/>
    </row>
    <row r="823" spans="1:17" ht="22.5" customHeight="1">
      <c r="A823" s="16" t="s">
        <v>85</v>
      </c>
      <c r="B823" s="42">
        <v>44468</v>
      </c>
      <c r="C823" s="36">
        <v>1.5</v>
      </c>
      <c r="D823" s="36">
        <v>1.4990000000000001</v>
      </c>
      <c r="E823" s="30" cm="1">
        <f t="array" ref="E823">IF(D823="","",D823-C823)</f>
        <v>-9.9999999999988987E-4</v>
      </c>
      <c r="F823" s="31" cm="1">
        <f t="array" ref="F823">IF(D823=0,"",(D823-C823)/C823)</f>
        <v>-6.6666666666659324E-4</v>
      </c>
      <c r="G823" s="32">
        <v>4997.8999999999996</v>
      </c>
      <c r="H823" s="10">
        <v>1</v>
      </c>
      <c r="I823" s="11" cm="1">
        <f t="array" ref="I823">IF(D823="","",(G823*C823)*0.00075)</f>
        <v>5.6226374999999997</v>
      </c>
      <c r="J823" s="11" cm="1">
        <f t="array" ref="J823">IF(D823="","",(G823*D823)*0.00075)</f>
        <v>5.6188890750000002</v>
      </c>
      <c r="K823" s="33" cm="1">
        <f t="array" ref="K823">IF(D823="","",J823+I823)</f>
        <v>11.241526575</v>
      </c>
      <c r="L823" s="33" cm="1">
        <f t="array" ref="L823">IF(D823=0,0,(D823-C823)*G823)</f>
        <v>-4.9978999999994489</v>
      </c>
      <c r="M823" s="12">
        <v>7496.2290109249998</v>
      </c>
      <c r="N823" s="34" cm="1">
        <f t="array" ref="N823">IFERROR((K823-J823)/J823,"–")</f>
        <v>1.0006671114076049</v>
      </c>
      <c r="O823" s="33" cm="1">
        <f t="array" ref="O823">IF(D823=0,0,L823-K823)</f>
        <v>-16.239426574999449</v>
      </c>
      <c r="P823" s="11"/>
      <c r="Q823" s="35"/>
    </row>
    <row r="824" spans="1:17" ht="22.5" customHeight="1">
      <c r="A824" s="16" t="s">
        <v>85</v>
      </c>
      <c r="B824" s="43">
        <v>44468</v>
      </c>
      <c r="C824" s="37">
        <v>1.5</v>
      </c>
      <c r="D824" s="37">
        <v>1.504</v>
      </c>
      <c r="E824" s="19" cm="1">
        <f t="array" ref="E824">IF(D824="","",D824-C824)</f>
        <v>4.0000000000000036E-3</v>
      </c>
      <c r="F824" s="20" cm="1">
        <f t="array" ref="F824">IF(D824=0,"",(D824-C824)/C824)</f>
        <v>2.6666666666666692E-3</v>
      </c>
      <c r="G824" s="21">
        <v>2005.3</v>
      </c>
      <c r="H824" s="22">
        <v>1</v>
      </c>
      <c r="I824" s="23" cm="1">
        <f t="array" ref="I824">IF(D824="","",(G824*C824)*0.00075)</f>
        <v>2.2559624999999999</v>
      </c>
      <c r="J824" s="23" cm="1">
        <f t="array" ref="J824">IF(D824="","",(G824*D824)*0.00075)</f>
        <v>2.2619783999999998</v>
      </c>
      <c r="K824" s="24" cm="1">
        <f t="array" ref="K824">IF(D824="","",J824+I824)</f>
        <v>4.5179408999999993</v>
      </c>
      <c r="L824" s="24" cm="1">
        <f t="array" ref="L824">IF(D824=0,0,(D824-C824)*G824)</f>
        <v>8.0212000000000074</v>
      </c>
      <c r="M824" s="25">
        <v>2997.6668215999998</v>
      </c>
      <c r="N824" s="26" cm="1">
        <f t="array" ref="N824">IFERROR((K824-J824)/J824,"–")</f>
        <v>0.99734042553191471</v>
      </c>
      <c r="O824" s="24" cm="1">
        <f t="array" ref="O824">IF(D824=0,0,L824-K824)</f>
        <v>3.5032591000000082</v>
      </c>
      <c r="P824" s="23"/>
      <c r="Q824" s="27"/>
    </row>
    <row r="825" spans="1:17" ht="22.5" customHeight="1">
      <c r="A825" s="16" t="s">
        <v>85</v>
      </c>
      <c r="B825" s="42">
        <v>44468</v>
      </c>
      <c r="C825" s="36">
        <v>1.5</v>
      </c>
      <c r="D825" s="36">
        <v>1.4990000000000001</v>
      </c>
      <c r="E825" s="30" cm="1">
        <f t="array" ref="E825">IF(D825="","",D825-C825)</f>
        <v>-9.9999999999988987E-4</v>
      </c>
      <c r="F825" s="31" cm="1">
        <f t="array" ref="F825">IF(D825=0,"",(D825-C825)/C825)</f>
        <v>-6.6666666666659324E-4</v>
      </c>
      <c r="G825" s="32">
        <v>6494.2</v>
      </c>
      <c r="H825" s="10">
        <v>1</v>
      </c>
      <c r="I825" s="11" cm="1">
        <f t="array" ref="I825">IF(D825="","",(G825*C825)*0.00075)</f>
        <v>7.3059749999999992</v>
      </c>
      <c r="J825" s="11" cm="1">
        <f t="array" ref="J825">IF(D825="","",(G825*D825)*0.00075)</f>
        <v>7.3011043500000001</v>
      </c>
      <c r="K825" s="33" cm="1">
        <f t="array" ref="K825">IF(D825="","",J825+I825)</f>
        <v>14.607079349999999</v>
      </c>
      <c r="L825" s="33" cm="1">
        <f t="array" ref="L825">IF(D825=0,0,(D825-C825)*G825)</f>
        <v>-6.4941999999992843</v>
      </c>
      <c r="M825" s="12">
        <v>9740.4930956499993</v>
      </c>
      <c r="N825" s="34" cm="1">
        <f t="array" ref="N825">IFERROR((K825-J825)/J825,"–")</f>
        <v>1.0006671114076049</v>
      </c>
      <c r="O825" s="33" cm="1">
        <f t="array" ref="O825">IF(D825=0,0,L825-K825)</f>
        <v>-21.101279349999285</v>
      </c>
      <c r="P825" s="11"/>
      <c r="Q825" s="35"/>
    </row>
    <row r="826" spans="1:17" ht="22.5" customHeight="1">
      <c r="A826" s="16" t="s">
        <v>85</v>
      </c>
      <c r="B826" s="43">
        <v>44468</v>
      </c>
      <c r="C826" s="37">
        <v>1.5</v>
      </c>
      <c r="D826" s="37">
        <v>1.4990000000000001</v>
      </c>
      <c r="E826" s="19" cm="1">
        <f t="array" ref="E826">IF(D826="","",D826-C826)</f>
        <v>-9.9999999999988987E-4</v>
      </c>
      <c r="F826" s="20" cm="1">
        <f t="array" ref="F826">IF(D826=0,"",(D826-C826)/C826)</f>
        <v>-6.6666666666659324E-4</v>
      </c>
      <c r="G826" s="21">
        <v>6494.3</v>
      </c>
      <c r="H826" s="22">
        <v>1</v>
      </c>
      <c r="I826" s="23" cm="1">
        <f t="array" ref="I826">IF(D826="","",(G826*C826)*0.00075)</f>
        <v>7.3060875000000003</v>
      </c>
      <c r="J826" s="23" cm="1">
        <f t="array" ref="J826">IF(D826="","",(G826*D826)*0.00075)</f>
        <v>7.3012167750000003</v>
      </c>
      <c r="K826" s="24" cm="1">
        <f t="array" ref="K826">IF(D826="","",J826+I826)</f>
        <v>14.607304275000001</v>
      </c>
      <c r="L826" s="24" cm="1">
        <f t="array" ref="L826">IF(D826=0,0,(D826-C826)*G826)</f>
        <v>-6.494299999999285</v>
      </c>
      <c r="M826" s="25">
        <v>9740.6430832250007</v>
      </c>
      <c r="N826" s="26" cm="1">
        <f t="array" ref="N826">IFERROR((K826-J826)/J826,"–")</f>
        <v>1.0006671114076051</v>
      </c>
      <c r="O826" s="24" cm="1">
        <f t="array" ref="O826">IF(D826=0,0,L826-K826)</f>
        <v>-21.101604274999286</v>
      </c>
      <c r="P826" s="23"/>
      <c r="Q826" s="27"/>
    </row>
    <row r="827" spans="1:17" ht="22.5" customHeight="1">
      <c r="A827" s="16" t="s">
        <v>146</v>
      </c>
      <c r="B827" s="42">
        <v>44468</v>
      </c>
      <c r="C827" s="36">
        <v>1.755E-2</v>
      </c>
      <c r="D827" s="36">
        <v>1.745E-2</v>
      </c>
      <c r="E827" s="30" cm="1">
        <f t="array" ref="E827">IF(D827="","",D827-C827)</f>
        <v>-9.9999999999999395E-5</v>
      </c>
      <c r="F827" s="31" cm="1">
        <f t="array" ref="F827">IF(D827=0,"",(D827-C827)/C827)</f>
        <v>-5.6980056980056636E-3</v>
      </c>
      <c r="G827" s="32">
        <v>227848.8</v>
      </c>
      <c r="H827" s="10">
        <v>1</v>
      </c>
      <c r="I827" s="11" cm="1">
        <f t="array" ref="I827">IF(D827="","",(G827*C827)*0.00075)</f>
        <v>2.9990598300000002</v>
      </c>
      <c r="J827" s="11" cm="1">
        <f t="array" ref="J827">IF(D827="","",(G827*D827)*0.00075)</f>
        <v>2.98197117</v>
      </c>
      <c r="K827" s="33" cm="1">
        <f t="array" ref="K827">IF(D827="","",J827+I827)</f>
        <v>5.9810309999999998</v>
      </c>
      <c r="L827" s="33" cm="1">
        <f t="array" ref="L827">IF(D827=0,0,(D827-C827)*G827)</f>
        <v>-22.784879999999863</v>
      </c>
      <c r="M827" s="12">
        <v>4018.5493488299999</v>
      </c>
      <c r="N827" s="34" cm="1">
        <f t="array" ref="N827">IFERROR((K827-J827)/J827,"–")</f>
        <v>1.005730659025788</v>
      </c>
      <c r="O827" s="33" cm="1">
        <f t="array" ref="O827">IF(D827=0,0,L827-K827)</f>
        <v>-28.765910999999861</v>
      </c>
      <c r="P827" s="11"/>
      <c r="Q827" s="35"/>
    </row>
    <row r="828" spans="1:17" ht="22.5" customHeight="1">
      <c r="A828" s="16" t="s">
        <v>190</v>
      </c>
      <c r="B828" s="43">
        <v>44468</v>
      </c>
      <c r="C828" s="37">
        <v>67.465999999999994</v>
      </c>
      <c r="D828" s="37">
        <v>67.959999999999994</v>
      </c>
      <c r="E828" s="19" cm="1">
        <f t="array" ref="E828">IF(D828="","",D828-C828)</f>
        <v>0.49399999999999977</v>
      </c>
      <c r="F828" s="20" cm="1">
        <f t="array" ref="F828">IF(D828=0,"",(D828-C828)/C828)</f>
        <v>7.3222067411733288E-3</v>
      </c>
      <c r="G828" s="21">
        <v>148.22</v>
      </c>
      <c r="H828" s="22">
        <v>1</v>
      </c>
      <c r="I828" s="23" cm="1">
        <f t="array" ref="I828">IF(D828="","",(G828*C828)*0.00075)</f>
        <v>7.4998578899999995</v>
      </c>
      <c r="J828" s="23" cm="1">
        <f t="array" ref="J828">IF(D828="","",(G828*D828)*0.00075)</f>
        <v>7.5547733999999993</v>
      </c>
      <c r="K828" s="24" cm="1">
        <f t="array" ref="K828">IF(D828="","",J828+I828)</f>
        <v>15.05463129</v>
      </c>
      <c r="L828" s="24" cm="1">
        <f t="array" ref="L828">IF(D828=0,0,(D828-C828)*G828)</f>
        <v>73.220679999999959</v>
      </c>
      <c r="M828" s="25">
        <v>9919.0350665999995</v>
      </c>
      <c r="N828" s="26" cm="1">
        <f t="array" ref="N828">IFERROR((K828-J828)/J828,"–")</f>
        <v>0.99273101824602716</v>
      </c>
      <c r="O828" s="24" cm="1">
        <f t="array" ref="O828">IF(D828=0,0,L828-K828)</f>
        <v>58.166048709999956</v>
      </c>
      <c r="P828" s="23"/>
      <c r="Q828" s="27"/>
    </row>
    <row r="829" spans="1:17" ht="22.5" customHeight="1">
      <c r="A829" s="16" t="s">
        <v>190</v>
      </c>
      <c r="B829" s="42">
        <v>44468</v>
      </c>
      <c r="C829" s="36">
        <v>67.465999999999994</v>
      </c>
      <c r="D829" s="36">
        <v>66.900000000000006</v>
      </c>
      <c r="E829" s="30" cm="1">
        <f t="array" ref="E829">IF(D829="","",D829-C829)</f>
        <v>-0.56599999999998829</v>
      </c>
      <c r="F829" s="31" cm="1">
        <f t="array" ref="F829">IF(D829=0,"",(D829-C829)/C829)</f>
        <v>-8.3894109625587462E-3</v>
      </c>
      <c r="G829" s="32">
        <v>222.33</v>
      </c>
      <c r="H829" s="10">
        <v>1</v>
      </c>
      <c r="I829" s="11" cm="1">
        <f t="array" ref="I829">IF(D829="","",(G829*C829)*0.00075)</f>
        <v>11.249786834999998</v>
      </c>
      <c r="J829" s="11" cm="1">
        <f t="array" ref="J829">IF(D829="","",(G829*D829)*0.00075)</f>
        <v>11.155407750000002</v>
      </c>
      <c r="K829" s="33" cm="1">
        <f t="array" ref="K829">IF(D829="","",J829+I829)</f>
        <v>22.405194585</v>
      </c>
      <c r="L829" s="33" cm="1">
        <f t="array" ref="L829">IF(D829=0,0,(D829-C829)*G829)</f>
        <v>-125.8387799999974</v>
      </c>
      <c r="M829" s="12">
        <v>15114.39915225</v>
      </c>
      <c r="N829" s="34" cm="1">
        <f t="array" ref="N829">IFERROR((K829-J829)/J829,"–")</f>
        <v>1.0084603886397605</v>
      </c>
      <c r="O829" s="33" cm="1">
        <f t="array" ref="O829">IF(D829=0,0,L829-K829)</f>
        <v>-148.2439745849974</v>
      </c>
      <c r="P829" s="11"/>
      <c r="Q829" s="35"/>
    </row>
    <row r="830" spans="1:17" ht="22.5" customHeight="1">
      <c r="A830" s="16" t="s">
        <v>190</v>
      </c>
      <c r="B830" s="43">
        <v>44468</v>
      </c>
      <c r="C830" s="37">
        <v>67.465999999999994</v>
      </c>
      <c r="D830" s="37">
        <v>67.459999999999994</v>
      </c>
      <c r="E830" s="19" cm="1">
        <f t="array" ref="E830">IF(D830="","",D830-C830)</f>
        <v>-6.0000000000002274E-3</v>
      </c>
      <c r="F830" s="20" cm="1">
        <f t="array" ref="F830">IF(D830=0,"",(D830-C830)/C830)</f>
        <v>-8.8933685115468952E-5</v>
      </c>
      <c r="G830" s="21">
        <v>222.33</v>
      </c>
      <c r="H830" s="22">
        <v>1</v>
      </c>
      <c r="I830" s="23" cm="1">
        <f t="array" ref="I830">IF(D830="","",(G830*C830)*0.00075)</f>
        <v>11.249786834999998</v>
      </c>
      <c r="J830" s="23" cm="1">
        <f t="array" ref="J830">IF(D830="","",(G830*D830)*0.00075)</f>
        <v>11.24878635</v>
      </c>
      <c r="K830" s="24" cm="1">
        <f t="array" ref="K830">IF(D830="","",J830+I830)</f>
        <v>22.498573184999998</v>
      </c>
      <c r="L830" s="24" cm="1">
        <f t="array" ref="L830">IF(D830=0,0,(D830-C830)*G830)</f>
        <v>-1.3339800000000506</v>
      </c>
      <c r="M830" s="25">
        <v>14989.800973650001</v>
      </c>
      <c r="N830" s="26" cm="1">
        <f t="array" ref="N830">IFERROR((K830-J830)/J830,"–")</f>
        <v>1.0000889415950192</v>
      </c>
      <c r="O830" s="24" cm="1">
        <f t="array" ref="O830">IF(D830=0,0,L830-K830)</f>
        <v>-23.832553185000048</v>
      </c>
      <c r="P830" s="46"/>
      <c r="Q830" s="51"/>
    </row>
    <row r="831" spans="1:17" ht="22.5" customHeight="1">
      <c r="A831" s="16" t="s">
        <v>168</v>
      </c>
      <c r="B831" s="42">
        <v>44469</v>
      </c>
      <c r="C831" s="36">
        <v>1.32</v>
      </c>
      <c r="D831" s="36">
        <v>1.325</v>
      </c>
      <c r="E831" s="30" cm="1">
        <f t="array" ref="E831">IF(D831="","",D831-C831)</f>
        <v>4.9999999999998934E-3</v>
      </c>
      <c r="F831" s="31" cm="1">
        <f t="array" ref="F831">IF(D831=0,"",(D831-C831)/C831)</f>
        <v>3.7878787878787069E-3</v>
      </c>
      <c r="G831" s="32">
        <v>3786.3</v>
      </c>
      <c r="H831" s="10">
        <v>1</v>
      </c>
      <c r="I831" s="11" cm="1">
        <f t="array" ref="I831">IF(D831="","",(G831*C831)*0.00075)</f>
        <v>3.748437</v>
      </c>
      <c r="J831" s="11" cm="1">
        <f t="array" ref="J831">IF(D831="","",(G831*D831)*0.00075)</f>
        <v>3.7626356250000002</v>
      </c>
      <c r="K831" s="33" cm="1">
        <f t="array" ref="K831">IF(D831="","",J831+I831)</f>
        <v>7.5110726250000006</v>
      </c>
      <c r="L831" s="33" cm="1">
        <f t="array" ref="L831">IF(D831=0,0,(D831-C831)*G831)</f>
        <v>18.931499999999598</v>
      </c>
      <c r="M831" s="12">
        <v>4975.2218643750002</v>
      </c>
      <c r="N831" s="34" cm="1">
        <f t="array" ref="N831">IFERROR((K831-J831)/J831,"–")</f>
        <v>0.99622641509433973</v>
      </c>
      <c r="O831" s="33" cm="1">
        <f t="array" ref="O831">IF(D831=0,0,L831-K831)</f>
        <v>11.420427374999598</v>
      </c>
      <c r="P831" s="14" t="s">
        <v>430</v>
      </c>
      <c r="Q831" s="15"/>
    </row>
    <row r="832" spans="1:17" ht="22.5" customHeight="1">
      <c r="A832" s="16" t="s">
        <v>168</v>
      </c>
      <c r="B832" s="43">
        <v>44469</v>
      </c>
      <c r="C832" s="37">
        <v>1.32</v>
      </c>
      <c r="D832" s="37">
        <v>1.33</v>
      </c>
      <c r="E832" s="19" cm="1">
        <f t="array" ref="E832">IF(D832="","",D832-C832)</f>
        <v>1.0000000000000009E-2</v>
      </c>
      <c r="F832" s="20" cm="1">
        <f t="array" ref="F832">IF(D832=0,"",(D832-C832)/C832)</f>
        <v>7.575757575757582E-3</v>
      </c>
      <c r="G832" s="21">
        <v>3786.3</v>
      </c>
      <c r="H832" s="22">
        <v>1</v>
      </c>
      <c r="I832" s="23" cm="1">
        <f t="array" ref="I832">IF(D832="","",(G832*C832)*0.00075)</f>
        <v>3.748437</v>
      </c>
      <c r="J832" s="23" cm="1">
        <f t="array" ref="J832">IF(D832="","",(G832*D832)*0.00075)</f>
        <v>3.7768342500000003</v>
      </c>
      <c r="K832" s="24" cm="1">
        <f t="array" ref="K832">IF(D832="","",J832+I832)</f>
        <v>7.5252712500000003</v>
      </c>
      <c r="L832" s="24" cm="1">
        <f t="array" ref="L832">IF(D832=0,0,(D832-C832)*G832)</f>
        <v>37.863000000000035</v>
      </c>
      <c r="M832" s="25">
        <v>4956.2761657499996</v>
      </c>
      <c r="N832" s="26" cm="1">
        <f t="array" ref="N832">IFERROR((K832-J832)/J832,"–")</f>
        <v>0.99248120300751874</v>
      </c>
      <c r="O832" s="24" cm="1">
        <f t="array" ref="O832">IF(D832=0,0,L832-K832)</f>
        <v>30.337728750000036</v>
      </c>
      <c r="P832" s="23" cm="1">
        <f t="array" ref="P832">SUM(O557:O832)</f>
        <v>20529.409718676987</v>
      </c>
      <c r="Q832" s="27"/>
    </row>
    <row r="833" spans="1:17" ht="22.5" customHeight="1">
      <c r="A833" s="7"/>
      <c r="B833" s="45"/>
      <c r="C833" s="45"/>
      <c r="D833" s="36"/>
      <c r="E833" s="8" t="str" cm="1">
        <f t="array" ref="E833">IF(D833="","",D833-C833)</f>
        <v/>
      </c>
      <c r="F833" s="8" t="str" cm="1">
        <f t="array" ref="F833">IF(D833=0,"",(D833-C833)/C833)</f>
        <v/>
      </c>
      <c r="G833" s="32"/>
      <c r="H833" s="10">
        <v>1</v>
      </c>
      <c r="I833" s="8" t="str" cm="1">
        <f t="array" ref="I833">IF(D833="","",(G833*C833)*0.00075)</f>
        <v/>
      </c>
      <c r="J833" s="8" t="str" cm="1">
        <f t="array" ref="J833">IF(D833="","",(G833*D833)*0.00075)</f>
        <v/>
      </c>
      <c r="K833" s="8" t="str" cm="1">
        <f t="array" ref="K833">IF(D833="","",J833+I833)</f>
        <v/>
      </c>
      <c r="L833" s="33" cm="1">
        <f t="array" ref="L833">IF(D833=0,0,(D833-C833)*G833)</f>
        <v>0</v>
      </c>
      <c r="M833" s="45" t="s">
        <v>13</v>
      </c>
      <c r="N833" s="13" t="str" cm="1">
        <f t="array" ref="N833">IFERROR((K833-J833)/J833,"–")</f>
        <v>–</v>
      </c>
      <c r="O833" s="33" cm="1">
        <f t="array" ref="O833">IF(D833=0,0,L833-K833)</f>
        <v>0</v>
      </c>
      <c r="P833" s="45"/>
      <c r="Q833" s="50"/>
    </row>
    <row r="834" spans="1:17" ht="22.5" customHeight="1">
      <c r="A834" s="16" t="s">
        <v>132</v>
      </c>
      <c r="B834" s="17">
        <v>44470</v>
      </c>
      <c r="C834" s="37">
        <v>6.4899999999999999E-2</v>
      </c>
      <c r="D834" s="37">
        <v>6.6799999999999998E-2</v>
      </c>
      <c r="E834" s="19" cm="1">
        <f t="array" ref="E834">IF(D834="","",D834-C834)</f>
        <v>1.8999999999999989E-3</v>
      </c>
      <c r="F834" s="20" cm="1">
        <f t="array" ref="F834">IF(D834=0,"",(D834-C834)/C834)</f>
        <v>2.9275808936825871E-2</v>
      </c>
      <c r="G834" s="21">
        <v>61633</v>
      </c>
      <c r="H834" s="22">
        <v>1</v>
      </c>
      <c r="I834" s="23" cm="1">
        <f t="array" ref="I834">IF(D834="","",(G834*C834)*0.00075)</f>
        <v>2.9999862749999999</v>
      </c>
      <c r="J834" s="23" cm="1">
        <f t="array" ref="J834">IF(D834="","",(G834*D834)*0.00075)</f>
        <v>3.0878132999999996</v>
      </c>
      <c r="K834" s="24" cm="1">
        <f t="array" ref="K834">IF(D834="","",J834+I834)</f>
        <v>6.087799575</v>
      </c>
      <c r="L834" s="24" cm="1">
        <f t="array" ref="L834">IF(D834=0,0,(D834-C834)*G834)</f>
        <v>117.10269999999993</v>
      </c>
      <c r="M834" s="25">
        <v>3879.7911866999998</v>
      </c>
      <c r="N834" s="26" cm="1">
        <f t="array" ref="N834">IFERROR((K834-J834)/J834,"–")</f>
        <v>0.9715568862275451</v>
      </c>
      <c r="O834" s="24" cm="1">
        <f t="array" ref="O834">IF(D834=0,0,L834-K834)</f>
        <v>111.01490042499992</v>
      </c>
      <c r="P834" s="23"/>
      <c r="Q834" s="27"/>
    </row>
    <row r="835" spans="1:17" ht="22.5" customHeight="1">
      <c r="A835" s="16" t="s">
        <v>132</v>
      </c>
      <c r="B835" s="28">
        <v>44470</v>
      </c>
      <c r="C835" s="36">
        <v>6.5299999999999997E-2</v>
      </c>
      <c r="D835" s="36">
        <v>6.6600000000000006E-2</v>
      </c>
      <c r="E835" s="30" cm="1">
        <f t="array" ref="E835">IF(D835="","",D835-C835)</f>
        <v>1.3000000000000095E-3</v>
      </c>
      <c r="F835" s="31" cm="1">
        <f t="array" ref="F835">IF(D835=0,"",(D835-C835)/C835)</f>
        <v>1.9908116385911324E-2</v>
      </c>
      <c r="G835" s="32">
        <v>61255</v>
      </c>
      <c r="H835" s="10">
        <v>1</v>
      </c>
      <c r="I835" s="11" cm="1">
        <f t="array" ref="I835">IF(D835="","",(G835*C835)*0.00075)</f>
        <v>2.9999636249999999</v>
      </c>
      <c r="J835" s="11" cm="1">
        <f t="array" ref="J835">IF(D835="","",(G835*D835)*0.00075)</f>
        <v>3.0596872500000005</v>
      </c>
      <c r="K835" s="33" cm="1">
        <f t="array" ref="K835">IF(D835="","",J835+I835)</f>
        <v>6.0596508750000009</v>
      </c>
      <c r="L835" s="33" cm="1">
        <f t="array" ref="L835">IF(D835=0,0,(D835-C835)*G835)</f>
        <v>79.631500000000585</v>
      </c>
      <c r="M835" s="12">
        <v>3917.2603127500001</v>
      </c>
      <c r="N835" s="34" cm="1">
        <f t="array" ref="N835">IFERROR((K835-J835)/J835,"–")</f>
        <v>0.98048048048048042</v>
      </c>
      <c r="O835" s="33" cm="1">
        <f t="array" ref="O835">IF(D835=0,0,L835-K835)</f>
        <v>73.571849125000583</v>
      </c>
      <c r="P835" s="11"/>
      <c r="Q835" s="35"/>
    </row>
    <row r="836" spans="1:17" ht="22.5" customHeight="1">
      <c r="A836" s="16" t="s">
        <v>132</v>
      </c>
      <c r="B836" s="17">
        <v>44470</v>
      </c>
      <c r="C836" s="37">
        <v>6.54E-2</v>
      </c>
      <c r="D836" s="37">
        <v>6.6699999999999995E-2</v>
      </c>
      <c r="E836" s="19" cm="1">
        <f t="array" ref="E836">IF(D836="","",D836-C836)</f>
        <v>1.2999999999999956E-3</v>
      </c>
      <c r="F836" s="20" cm="1">
        <f t="array" ref="F836">IF(D836=0,"",(D836-C836)/C836)</f>
        <v>1.9877675840978527E-2</v>
      </c>
      <c r="G836" s="21">
        <v>61162</v>
      </c>
      <c r="H836" s="22">
        <v>1</v>
      </c>
      <c r="I836" s="23" cm="1">
        <f t="array" ref="I836">IF(D836="","",(G836*C836)*0.00075)</f>
        <v>2.9999961000000002</v>
      </c>
      <c r="J836" s="23" cm="1">
        <f t="array" ref="J836">IF(D836="","",(G836*D836)*0.00075)</f>
        <v>3.0596290499999999</v>
      </c>
      <c r="K836" s="24" cm="1">
        <f t="array" ref="K836">IF(D836="","",J836+I836)</f>
        <v>6.0596251500000005</v>
      </c>
      <c r="L836" s="24" cm="1">
        <f t="array" ref="L836">IF(D836=0,0,(D836-C836)*G836)</f>
        <v>79.510599999999727</v>
      </c>
      <c r="M836" s="25">
        <v>3917.4245709500001</v>
      </c>
      <c r="N836" s="26" cm="1">
        <f t="array" ref="N836">IFERROR((K836-J836)/J836,"–")</f>
        <v>0.98050974512743649</v>
      </c>
      <c r="O836" s="24" cm="1">
        <f t="array" ref="O836">IF(D836=0,0,L836-K836)</f>
        <v>73.450974849999724</v>
      </c>
      <c r="P836" s="23"/>
      <c r="Q836" s="27"/>
    </row>
    <row r="837" spans="1:17" ht="22.5" customHeight="1">
      <c r="A837" s="16" t="s">
        <v>108</v>
      </c>
      <c r="B837" s="28">
        <v>44470</v>
      </c>
      <c r="C837" s="36">
        <v>7.1509999999999998</v>
      </c>
      <c r="D837" s="36">
        <v>7.4</v>
      </c>
      <c r="E837" s="30" cm="1">
        <f t="array" ref="E837">IF(D837="","",D837-C837)</f>
        <v>0.24900000000000055</v>
      </c>
      <c r="F837" s="31" cm="1">
        <f t="array" ref="F837">IF(D837=0,"",(D837-C837)/C837)</f>
        <v>3.4820304852468266E-2</v>
      </c>
      <c r="G837" s="32">
        <v>1398.3</v>
      </c>
      <c r="H837" s="10">
        <v>1</v>
      </c>
      <c r="I837" s="11" cm="1">
        <f t="array" ref="I837">IF(D837="","",(G837*C837)*0.00075)</f>
        <v>7.4994324749999999</v>
      </c>
      <c r="J837" s="11" cm="1">
        <f t="array" ref="J837">IF(D837="","",(G837*D837)*0.00075)</f>
        <v>7.7605650000000006</v>
      </c>
      <c r="K837" s="33" cm="1">
        <f t="array" ref="K837">IF(D837="","",J837+I837)</f>
        <v>15.259997475</v>
      </c>
      <c r="L837" s="33" cm="1">
        <f t="array" ref="L837">IF(D837=0,0,(D837-C837)*G837)</f>
        <v>348.17670000000078</v>
      </c>
      <c r="M837" s="12">
        <v>9643.3060349999996</v>
      </c>
      <c r="N837" s="34" cm="1">
        <f t="array" ref="N837">IFERROR((K837-J837)/J837,"–")</f>
        <v>0.96635135135135131</v>
      </c>
      <c r="O837" s="33" cm="1">
        <f t="array" ref="O837">IF(D837=0,0,L837-K837)</f>
        <v>332.9167025250008</v>
      </c>
      <c r="P837" s="11"/>
      <c r="Q837" s="35"/>
    </row>
    <row r="838" spans="1:17" ht="22.5" customHeight="1">
      <c r="A838" s="16" t="s">
        <v>108</v>
      </c>
      <c r="B838" s="17">
        <v>44470</v>
      </c>
      <c r="C838" s="37">
        <v>7.1509999999999998</v>
      </c>
      <c r="D838" s="37">
        <v>7.35</v>
      </c>
      <c r="E838" s="19" cm="1">
        <f t="array" ref="E838">IF(D838="","",D838-C838)</f>
        <v>0.19899999999999984</v>
      </c>
      <c r="F838" s="20" cm="1">
        <f t="array" ref="F838">IF(D838=0,"",(D838-C838)/C838)</f>
        <v>2.7828275765627165E-2</v>
      </c>
      <c r="G838" s="21">
        <v>1048.8</v>
      </c>
      <c r="H838" s="22">
        <v>1</v>
      </c>
      <c r="I838" s="23" cm="1">
        <f t="array" ref="I838">IF(D838="","",(G838*C838)*0.00075)</f>
        <v>5.6249766000000001</v>
      </c>
      <c r="J838" s="23" cm="1">
        <f t="array" ref="J838">IF(D838="","",(G838*D838)*0.00075)</f>
        <v>5.7815099999999999</v>
      </c>
      <c r="K838" s="24" cm="1">
        <f t="array" ref="K838">IF(D838="","",J838+I838)</f>
        <v>11.406486600000001</v>
      </c>
      <c r="L838" s="24" cm="1">
        <f t="array" ref="L838">IF(D838=0,0,(D838-C838)*G838)</f>
        <v>208.71119999999982</v>
      </c>
      <c r="M838" s="25">
        <v>7285.4760900000001</v>
      </c>
      <c r="N838" s="26" cm="1">
        <f t="array" ref="N838">IFERROR((K838-J838)/J838,"–")</f>
        <v>0.97292517006802737</v>
      </c>
      <c r="O838" s="24" cm="1">
        <f t="array" ref="O838">IF(D838=0,0,L838-K838)</f>
        <v>197.30471339999983</v>
      </c>
      <c r="P838" s="23"/>
      <c r="Q838" s="27"/>
    </row>
    <row r="839" spans="1:17" ht="22.5" customHeight="1">
      <c r="A839" s="16" t="s">
        <v>108</v>
      </c>
      <c r="B839" s="28">
        <v>44470</v>
      </c>
      <c r="C839" s="36">
        <v>7.1509999999999998</v>
      </c>
      <c r="D839" s="36">
        <v>7.33</v>
      </c>
      <c r="E839" s="30" cm="1">
        <f t="array" ref="E839">IF(D839="","",D839-C839)</f>
        <v>0.17900000000000027</v>
      </c>
      <c r="F839" s="31" cm="1">
        <f t="array" ref="F839">IF(D839=0,"",(D839-C839)/C839)</f>
        <v>2.5031464130890822E-2</v>
      </c>
      <c r="G839" s="32">
        <v>786.6</v>
      </c>
      <c r="H839" s="10">
        <v>1</v>
      </c>
      <c r="I839" s="11" cm="1">
        <f t="array" ref="I839">IF(D839="","",(G839*C839)*0.00075)</f>
        <v>4.2187324500000001</v>
      </c>
      <c r="J839" s="11" cm="1">
        <f t="array" ref="J839">IF(D839="","",(G839*D839)*0.00075)</f>
        <v>4.3243335000000007</v>
      </c>
      <c r="K839" s="33" cm="1">
        <f t="array" ref="K839">IF(D839="","",J839+I839)</f>
        <v>8.5430659500000008</v>
      </c>
      <c r="L839" s="33" cm="1">
        <f t="array" ref="L839">IF(D839=0,0,(D839-C839)*G839)</f>
        <v>140.80140000000023</v>
      </c>
      <c r="M839" s="12">
        <v>5479.8508664999999</v>
      </c>
      <c r="N839" s="34" cm="1">
        <f t="array" ref="N839">IFERROR((K839-J839)/J839,"–")</f>
        <v>0.97557980900409258</v>
      </c>
      <c r="O839" s="33" cm="1">
        <f t="array" ref="O839">IF(D839=0,0,L839-K839)</f>
        <v>132.25833405000023</v>
      </c>
      <c r="P839" s="11"/>
      <c r="Q839" s="35"/>
    </row>
    <row r="840" spans="1:17" ht="22.5" customHeight="1">
      <c r="A840" s="16" t="s">
        <v>108</v>
      </c>
      <c r="B840" s="17">
        <v>44470</v>
      </c>
      <c r="C840" s="37">
        <v>7.1509999999999998</v>
      </c>
      <c r="D840" s="37">
        <v>7.39</v>
      </c>
      <c r="E840" s="19" cm="1">
        <f t="array" ref="E840">IF(D840="","",D840-C840)</f>
        <v>0.23899999999999988</v>
      </c>
      <c r="F840" s="20" cm="1">
        <f t="array" ref="F840">IF(D840=0,"",(D840-C840)/C840)</f>
        <v>3.342189903509997E-2</v>
      </c>
      <c r="G840" s="21">
        <v>1179.9000000000001</v>
      </c>
      <c r="H840" s="22">
        <v>1</v>
      </c>
      <c r="I840" s="23" cm="1">
        <f t="array" ref="I840">IF(D840="","",(G840*C840)*0.00075)</f>
        <v>6.3280986750000006</v>
      </c>
      <c r="J840" s="23" cm="1">
        <f t="array" ref="J840">IF(D840="","",(G840*D840)*0.00075)</f>
        <v>6.539595750000001</v>
      </c>
      <c r="K840" s="24" cm="1">
        <f t="array" ref="K840">IF(D840="","",J840+I840)</f>
        <v>12.867694425000002</v>
      </c>
      <c r="L840" s="24" cm="1">
        <f t="array" ref="L840">IF(D840=0,0,(D840-C840)*G840)</f>
        <v>281.9960999999999</v>
      </c>
      <c r="M840" s="25">
        <v>8148.9292042500001</v>
      </c>
      <c r="N840" s="26" cm="1">
        <f t="array" ref="N840">IFERROR((K840-J840)/J840,"–")</f>
        <v>0.96765899864681992</v>
      </c>
      <c r="O840" s="24" cm="1">
        <f t="array" ref="O840">IF(D840=0,0,L840-K840)</f>
        <v>269.12840557499987</v>
      </c>
      <c r="P840" s="23"/>
      <c r="Q840" s="27"/>
    </row>
    <row r="841" spans="1:17" ht="22.5" customHeight="1">
      <c r="A841" s="16" t="s">
        <v>108</v>
      </c>
      <c r="B841" s="28">
        <v>44470</v>
      </c>
      <c r="C841" s="36">
        <v>7.1509999999999998</v>
      </c>
      <c r="D841" s="36">
        <v>7.41</v>
      </c>
      <c r="E841" s="30" cm="1">
        <f t="array" ref="E841">IF(D841="","",D841-C841)</f>
        <v>0.25900000000000034</v>
      </c>
      <c r="F841" s="31" cm="1">
        <f t="array" ref="F841">IF(D841=0,"",(D841-C841)/C841)</f>
        <v>3.6218710669836437E-2</v>
      </c>
      <c r="G841" s="32">
        <v>1179.9000000000001</v>
      </c>
      <c r="H841" s="10">
        <v>1</v>
      </c>
      <c r="I841" s="11" cm="1">
        <f t="array" ref="I841">IF(D841="","",(G841*C841)*0.00075)</f>
        <v>6.3280986750000006</v>
      </c>
      <c r="J841" s="11" cm="1">
        <f t="array" ref="J841">IF(D841="","",(G841*D841)*0.00075)</f>
        <v>6.5572942500000009</v>
      </c>
      <c r="K841" s="33" cm="1">
        <f t="array" ref="K841">IF(D841="","",J841+I841)</f>
        <v>12.885392925000001</v>
      </c>
      <c r="L841" s="33" cm="1">
        <f t="array" ref="L841">IF(D841=0,0,(D841-C841)*G841)</f>
        <v>305.59410000000042</v>
      </c>
      <c r="M841" s="12">
        <v>8125.3135057500003</v>
      </c>
      <c r="N841" s="34" cm="1">
        <f t="array" ref="N841">IFERROR((K841-J841)/J841,"–")</f>
        <v>0.96504723346828603</v>
      </c>
      <c r="O841" s="33" cm="1">
        <f t="array" ref="O841">IF(D841=0,0,L841-K841)</f>
        <v>292.7087070750004</v>
      </c>
      <c r="P841" s="11"/>
      <c r="Q841" s="35"/>
    </row>
    <row r="842" spans="1:17" ht="22.5" customHeight="1">
      <c r="A842" s="16" t="s">
        <v>149</v>
      </c>
      <c r="B842" s="17">
        <v>44470</v>
      </c>
      <c r="C842" s="37">
        <v>8.2680000000000003E-2</v>
      </c>
      <c r="D842" s="37">
        <v>8.2390000000000005E-2</v>
      </c>
      <c r="E842" s="19" cm="1">
        <f t="array" ref="E842">IF(D842="","",D842-C842)</f>
        <v>-2.8999999999999859E-4</v>
      </c>
      <c r="F842" s="20" cm="1">
        <f t="array" ref="F842">IF(D842=0,"",(D842-C842)/C842)</f>
        <v>-3.5074987905176413E-3</v>
      </c>
      <c r="G842" s="21">
        <v>103167.3</v>
      </c>
      <c r="H842" s="22">
        <v>1</v>
      </c>
      <c r="I842" s="23" cm="1">
        <f t="array" ref="I842">IF(D842="","",(G842*C842)*0.00075)</f>
        <v>6.3974042730000003</v>
      </c>
      <c r="J842" s="23" cm="1">
        <f t="array" ref="J842">IF(D842="","",(G842*D842)*0.00075)</f>
        <v>6.3749653852500003</v>
      </c>
      <c r="K842" s="24" cm="1">
        <f t="array" ref="K842">IF(D842="","",J842+I842)</f>
        <v>12.77236965825</v>
      </c>
      <c r="L842" s="24" cm="1">
        <f t="array" ref="L842">IF(D842=0,0,(D842-C842)*G842)</f>
        <v>-29.918516999999856</v>
      </c>
      <c r="M842" s="25">
        <v>8553.4159156147507</v>
      </c>
      <c r="N842" s="26" cm="1">
        <f t="array" ref="N842">IFERROR((K842-J842)/J842,"–")</f>
        <v>1.0035198446413398</v>
      </c>
      <c r="O842" s="24" cm="1">
        <f t="array" ref="O842">IF(D842=0,0,L842-K842)</f>
        <v>-42.690886658249852</v>
      </c>
      <c r="P842" s="23"/>
      <c r="Q842" s="27"/>
    </row>
    <row r="843" spans="1:17" ht="22.5" customHeight="1">
      <c r="A843" s="16" t="s">
        <v>149</v>
      </c>
      <c r="B843" s="28">
        <v>44470</v>
      </c>
      <c r="C843" s="36">
        <v>8.2680000000000003E-2</v>
      </c>
      <c r="D843" s="36">
        <v>8.2640000000000005E-2</v>
      </c>
      <c r="E843" s="30" cm="1">
        <f t="array" ref="E843">IF(D843="","",D843-C843)</f>
        <v>-3.999999999999837E-5</v>
      </c>
      <c r="F843" s="31" cm="1">
        <f t="array" ref="F843">IF(D843=0,"",(D843-C843)/C843)</f>
        <v>-4.8379293662310555E-4</v>
      </c>
      <c r="G843" s="32">
        <v>5681.7</v>
      </c>
      <c r="H843" s="10">
        <v>1</v>
      </c>
      <c r="I843" s="11" cm="1">
        <f t="array" ref="I843">IF(D843="","",(G843*C843)*0.00075)</f>
        <v>0.35232221700000005</v>
      </c>
      <c r="J843" s="11" cm="1">
        <f t="array" ref="J843">IF(D843="","",(G843*D843)*0.00075)</f>
        <v>0.35215176599999998</v>
      </c>
      <c r="K843" s="33" cm="1">
        <f t="array" ref="K843">IF(D843="","",J843+I843)</f>
        <v>0.70447398299999997</v>
      </c>
      <c r="L843" s="33" cm="1">
        <f t="array" ref="L843">IF(D843=0,0,(D843-C843)*G843)</f>
        <v>-0.22726799999999073</v>
      </c>
      <c r="M843" s="12">
        <v>469.63807223399999</v>
      </c>
      <c r="N843" s="34" cm="1">
        <f t="array" ref="N843">IFERROR((K843-J843)/J843,"–")</f>
        <v>1.000484027105518</v>
      </c>
      <c r="O843" s="33" cm="1">
        <f t="array" ref="O843">IF(D843=0,0,L843-K843)</f>
        <v>-0.93174198299999067</v>
      </c>
      <c r="P843" s="11"/>
      <c r="Q843" s="35"/>
    </row>
    <row r="844" spans="1:17" ht="22.5" customHeight="1">
      <c r="A844" s="16" t="s">
        <v>191</v>
      </c>
      <c r="B844" s="17">
        <v>44470</v>
      </c>
      <c r="C844" s="37">
        <v>9.3800000000000008</v>
      </c>
      <c r="D844" s="37">
        <v>9.4320000000000004</v>
      </c>
      <c r="E844" s="19" cm="1">
        <f t="array" ref="E844">IF(D844="","",D844-C844)</f>
        <v>5.1999999999999602E-2</v>
      </c>
      <c r="F844" s="20" cm="1">
        <f t="array" ref="F844">IF(D844=0,"",(D844-C844)/C844)</f>
        <v>5.5437100213219185E-3</v>
      </c>
      <c r="G844" s="21">
        <v>479.7</v>
      </c>
      <c r="H844" s="22">
        <v>1</v>
      </c>
      <c r="I844" s="23" cm="1">
        <f t="array" ref="I844">IF(D844="","",(G844*C844)*0.00075)</f>
        <v>3.3746895000000001</v>
      </c>
      <c r="J844" s="23" cm="1">
        <f t="array" ref="J844">IF(D844="","",(G844*D844)*0.00075)</f>
        <v>3.3933977999999998</v>
      </c>
      <c r="K844" s="24" cm="1">
        <f t="array" ref="K844">IF(D844="","",J844+I844)</f>
        <v>6.7680872999999995</v>
      </c>
      <c r="L844" s="24" cm="1">
        <f t="array" ref="L844">IF(D844=0,0,(D844-C844)*G844)</f>
        <v>24.94439999999981</v>
      </c>
      <c r="M844" s="25">
        <v>4471.2482022000004</v>
      </c>
      <c r="N844" s="26" cm="1">
        <f t="array" ref="N844">IFERROR((K844-J844)/J844,"–")</f>
        <v>0.99448685326547914</v>
      </c>
      <c r="O844" s="24" cm="1">
        <f t="array" ref="O844">IF(D844=0,0,L844-K844)</f>
        <v>18.176312699999812</v>
      </c>
      <c r="P844" s="23"/>
      <c r="Q844" s="27"/>
    </row>
    <row r="845" spans="1:17" ht="22.5" customHeight="1">
      <c r="A845" s="16" t="s">
        <v>191</v>
      </c>
      <c r="B845" s="28">
        <v>44470</v>
      </c>
      <c r="C845" s="36">
        <v>9.3800000000000008</v>
      </c>
      <c r="D845" s="36">
        <v>9.4600000000000009</v>
      </c>
      <c r="E845" s="30" cm="1">
        <f t="array" ref="E845">IF(D845="","",D845-C845)</f>
        <v>8.0000000000000071E-2</v>
      </c>
      <c r="F845" s="31" cm="1">
        <f t="array" ref="F845">IF(D845=0,"",(D845-C845)/C845)</f>
        <v>8.52878464818764E-3</v>
      </c>
      <c r="G845" s="32">
        <v>479.7</v>
      </c>
      <c r="H845" s="10">
        <v>1</v>
      </c>
      <c r="I845" s="11" cm="1">
        <f t="array" ref="I845">IF(D845="","",(G845*C845)*0.00075)</f>
        <v>3.3746895000000001</v>
      </c>
      <c r="J845" s="11" cm="1">
        <f t="array" ref="J845">IF(D845="","",(G845*D845)*0.00075)</f>
        <v>3.4034715000000002</v>
      </c>
      <c r="K845" s="33" cm="1">
        <f t="array" ref="K845">IF(D845="","",J845+I845)</f>
        <v>6.7781610000000008</v>
      </c>
      <c r="L845" s="33" cm="1">
        <f t="array" ref="L845">IF(D845=0,0,(D845-C845)*G845)</f>
        <v>38.376000000000033</v>
      </c>
      <c r="M845" s="12">
        <v>4457.8065285000002</v>
      </c>
      <c r="N845" s="34" cm="1">
        <f t="array" ref="N845">IFERROR((K845-J845)/J845,"–")</f>
        <v>0.99154334038054981</v>
      </c>
      <c r="O845" s="33" cm="1">
        <f t="array" ref="O845">IF(D845=0,0,L845-K845)</f>
        <v>31.597839000000032</v>
      </c>
      <c r="P845" s="11"/>
      <c r="Q845" s="35"/>
    </row>
    <row r="846" spans="1:17" ht="22.5" customHeight="1">
      <c r="A846" s="16" t="s">
        <v>178</v>
      </c>
      <c r="B846" s="17">
        <v>44471</v>
      </c>
      <c r="C846" s="37">
        <v>4.54</v>
      </c>
      <c r="D846" s="37">
        <v>4.59</v>
      </c>
      <c r="E846" s="19" cm="1">
        <f t="array" ref="E846">IF(D846="","",D846-C846)</f>
        <v>4.9999999999999822E-2</v>
      </c>
      <c r="F846" s="20" cm="1">
        <f t="array" ref="F846">IF(D846=0,"",(D846-C846)/C846)</f>
        <v>1.1013215859030798E-2</v>
      </c>
      <c r="G846" s="21">
        <v>1000</v>
      </c>
      <c r="H846" s="22">
        <v>1</v>
      </c>
      <c r="I846" s="23" cm="1">
        <f t="array" ref="I846">IF(D846="","",(G846*C846)*0.00075)</f>
        <v>3.4050000000000002</v>
      </c>
      <c r="J846" s="23" cm="1">
        <f t="array" ref="J846">IF(D846="","",(G846*D846)*0.00075)</f>
        <v>3.4424999999999999</v>
      </c>
      <c r="K846" s="24" cm="1">
        <f t="array" ref="K846">IF(D846="","",J846+I846)</f>
        <v>6.8475000000000001</v>
      </c>
      <c r="L846" s="24" cm="1">
        <f t="array" ref="L846">IF(D846=0,0,(D846-C846)*G846)</f>
        <v>49.999999999999822</v>
      </c>
      <c r="M846" s="25">
        <v>4486.5574999999999</v>
      </c>
      <c r="N846" s="26" cm="1">
        <f t="array" ref="N846">IFERROR((K846-J846)/J846,"–")</f>
        <v>0.98910675381263624</v>
      </c>
      <c r="O846" s="24" cm="1">
        <f t="array" ref="O846">IF(D846=0,0,L846-K846)</f>
        <v>43.152499999999819</v>
      </c>
      <c r="P846" s="23"/>
      <c r="Q846" s="27"/>
    </row>
    <row r="847" spans="1:17" ht="22.5" customHeight="1">
      <c r="A847" s="16" t="s">
        <v>118</v>
      </c>
      <c r="B847" s="28">
        <v>44471</v>
      </c>
      <c r="C847" s="36">
        <v>0.16650000000000001</v>
      </c>
      <c r="D847" s="36">
        <v>0.16750000000000001</v>
      </c>
      <c r="E847" s="30" cm="1">
        <f t="array" ref="E847">IF(D847="","",D847-C847)</f>
        <v>1.0000000000000009E-3</v>
      </c>
      <c r="F847" s="31" cm="1">
        <f t="array" ref="F847">IF(D847=0,"",(D847-C847)/C847)</f>
        <v>6.0060060060060112E-3</v>
      </c>
      <c r="G847" s="32">
        <v>10931</v>
      </c>
      <c r="H847" s="10">
        <v>1</v>
      </c>
      <c r="I847" s="11" cm="1">
        <f t="array" ref="I847">IF(D847="","",(G847*C847)*0.00075)</f>
        <v>1.365008625</v>
      </c>
      <c r="J847" s="11" cm="1">
        <f t="array" ref="J847">IF(D847="","",(G847*D847)*0.00075)</f>
        <v>1.3732068750000002</v>
      </c>
      <c r="K847" s="33" cm="1">
        <f t="array" ref="K847">IF(D847="","",J847+I847)</f>
        <v>2.7382154999999999</v>
      </c>
      <c r="L847" s="33" cm="1">
        <f t="array" ref="L847">IF(D847=0,0,(D847-C847)*G847)</f>
        <v>10.93100000000001</v>
      </c>
      <c r="M847" s="12">
        <v>1807.707293125</v>
      </c>
      <c r="N847" s="34" cm="1">
        <f t="array" ref="N847">IFERROR((K847-J847)/J847,"–")</f>
        <v>0.99402985074626837</v>
      </c>
      <c r="O847" s="33" cm="1">
        <f t="array" ref="O847">IF(D847=0,0,L847-K847)</f>
        <v>8.192784500000009</v>
      </c>
      <c r="P847" s="11"/>
      <c r="Q847" s="35"/>
    </row>
    <row r="848" spans="1:17" ht="22.5" customHeight="1">
      <c r="A848" s="16" t="s">
        <v>118</v>
      </c>
      <c r="B848" s="17">
        <v>44471</v>
      </c>
      <c r="C848" s="37">
        <v>0.16650000000000001</v>
      </c>
      <c r="D848" s="37">
        <v>0.16739999999999999</v>
      </c>
      <c r="E848" s="19" cm="1">
        <f t="array" ref="E848">IF(D848="","",D848-C848)</f>
        <v>8.9999999999998415E-4</v>
      </c>
      <c r="F848" s="20" cm="1">
        <f t="array" ref="F848">IF(D848=0,"",(D848-C848)/C848)</f>
        <v>5.4054054054053103E-3</v>
      </c>
      <c r="G848" s="21">
        <v>4833</v>
      </c>
      <c r="H848" s="22">
        <v>1</v>
      </c>
      <c r="I848" s="23" cm="1">
        <f t="array" ref="I848">IF(D848="","",(G848*C848)*0.00075)</f>
        <v>0.60352087500000007</v>
      </c>
      <c r="J848" s="23" cm="1">
        <f t="array" ref="J848">IF(D848="","",(G848*D848)*0.00075)</f>
        <v>0.60678314999999994</v>
      </c>
      <c r="K848" s="24" cm="1">
        <f t="array" ref="K848">IF(D848="","",J848+I848)</f>
        <v>1.2103040250000001</v>
      </c>
      <c r="L848" s="24" cm="1">
        <f t="array" ref="L848">IF(D848=0,0,(D848-C848)*G848)</f>
        <v>4.3496999999999231</v>
      </c>
      <c r="M848" s="25">
        <v>799.73801685000001</v>
      </c>
      <c r="N848" s="26" cm="1">
        <f t="array" ref="N848">IFERROR((K848-J848)/J848,"–")</f>
        <v>0.99462365591397894</v>
      </c>
      <c r="O848" s="24" cm="1">
        <f t="array" ref="O848">IF(D848=0,0,L848-K848)</f>
        <v>3.139395974999923</v>
      </c>
      <c r="P848" s="23"/>
      <c r="Q848" s="27"/>
    </row>
    <row r="849" spans="1:17" ht="22.5" customHeight="1">
      <c r="A849" s="16" t="s">
        <v>118</v>
      </c>
      <c r="B849" s="28">
        <v>44471</v>
      </c>
      <c r="C849" s="36">
        <v>0.16650000000000001</v>
      </c>
      <c r="D849" s="36">
        <v>0.16500000000000001</v>
      </c>
      <c r="E849" s="30" cm="1">
        <f t="array" ref="E849">IF(D849="","",D849-C849)</f>
        <v>-1.5000000000000013E-3</v>
      </c>
      <c r="F849" s="31" cm="1">
        <f t="array" ref="F849">IF(D849=0,"",(D849-C849)/C849)</f>
        <v>-9.0090090090090159E-3</v>
      </c>
      <c r="G849" s="32">
        <v>24210</v>
      </c>
      <c r="H849" s="10">
        <v>1</v>
      </c>
      <c r="I849" s="11" cm="1">
        <f t="array" ref="I849">IF(D849="","",(G849*C849)*0.00075)</f>
        <v>3.0232237500000001</v>
      </c>
      <c r="J849" s="11" cm="1">
        <f t="array" ref="J849">IF(D849="","",(G849*D849)*0.00075)</f>
        <v>2.9959875</v>
      </c>
      <c r="K849" s="33" cm="1">
        <f t="array" ref="K849">IF(D849="","",J849+I849)</f>
        <v>6.0192112499999997</v>
      </c>
      <c r="L849" s="33" cm="1">
        <f t="array" ref="L849">IF(D849=0,0,(D849-C849)*G849)</f>
        <v>-36.315000000000033</v>
      </c>
      <c r="M849" s="12">
        <v>4064.2840124999998</v>
      </c>
      <c r="N849" s="34" cm="1">
        <f t="array" ref="N849">IFERROR((K849-J849)/J849,"–")</f>
        <v>1.009090909090909</v>
      </c>
      <c r="O849" s="33" cm="1">
        <f t="array" ref="O849">IF(D849=0,0,L849-K849)</f>
        <v>-42.334211250000031</v>
      </c>
      <c r="P849" s="11"/>
      <c r="Q849" s="35"/>
    </row>
    <row r="850" spans="1:17" ht="22.5" customHeight="1">
      <c r="A850" s="16" t="s">
        <v>118</v>
      </c>
      <c r="B850" s="17">
        <v>44471</v>
      </c>
      <c r="C850" s="37">
        <v>0.16650000000000001</v>
      </c>
      <c r="D850" s="37">
        <v>0.16450000000000001</v>
      </c>
      <c r="E850" s="19" cm="1">
        <f t="array" ref="E850">IF(D850="","",D850-C850)</f>
        <v>-2.0000000000000018E-3</v>
      </c>
      <c r="F850" s="20" cm="1">
        <f t="array" ref="F850">IF(D850=0,"",(D850-C850)/C850)</f>
        <v>-1.2012012012012022E-2</v>
      </c>
      <c r="G850" s="21">
        <v>8069</v>
      </c>
      <c r="H850" s="22">
        <v>1</v>
      </c>
      <c r="I850" s="23" cm="1">
        <f t="array" ref="I850">IF(D850="","",(G850*C850)*0.00075)</f>
        <v>1.0076163750000002</v>
      </c>
      <c r="J850" s="23" cm="1">
        <f t="array" ref="J850">IF(D850="","",(G850*D850)*0.00075)</f>
        <v>0.99551287500000007</v>
      </c>
      <c r="K850" s="24" cm="1">
        <f t="array" ref="K850">IF(D850="","",J850+I850)</f>
        <v>2.0031292500000002</v>
      </c>
      <c r="L850" s="24" cm="1">
        <f t="array" ref="L850">IF(D850=0,0,(D850-C850)*G850)</f>
        <v>-16.138000000000016</v>
      </c>
      <c r="M850" s="25">
        <v>1358.630987125</v>
      </c>
      <c r="N850" s="26" cm="1">
        <f t="array" ref="N850">IFERROR((K850-J850)/J850,"–")</f>
        <v>1.0121580547112461</v>
      </c>
      <c r="O850" s="24" cm="1">
        <f t="array" ref="O850">IF(D850=0,0,L850-K850)</f>
        <v>-18.141129250000017</v>
      </c>
      <c r="P850" s="23"/>
      <c r="Q850" s="27"/>
    </row>
    <row r="851" spans="1:17" ht="22.5" customHeight="1">
      <c r="A851" s="16" t="s">
        <v>102</v>
      </c>
      <c r="B851" s="28">
        <v>44471</v>
      </c>
      <c r="C851" s="36">
        <v>14.18</v>
      </c>
      <c r="D851" s="36">
        <v>14.3</v>
      </c>
      <c r="E851" s="30" cm="1">
        <f t="array" ref="E851">IF(D851="","",D851-C851)</f>
        <v>0.12000000000000099</v>
      </c>
      <c r="F851" s="31" cm="1">
        <f t="array" ref="F851">IF(D851=0,"",(D851-C851)/C851)</f>
        <v>8.4626234132581801E-3</v>
      </c>
      <c r="G851" s="32">
        <v>21.85</v>
      </c>
      <c r="H851" s="10">
        <v>1</v>
      </c>
      <c r="I851" s="11" cm="1">
        <f t="array" ref="I851">IF(D851="","",(G851*C851)*0.00075)</f>
        <v>0.23237475000000002</v>
      </c>
      <c r="J851" s="11" cm="1">
        <f t="array" ref="J851">IF(D851="","",(G851*D851)*0.00075)</f>
        <v>0.23434125000000003</v>
      </c>
      <c r="K851" s="33" cm="1">
        <f t="array" ref="K851">IF(D851="","",J851+I851)</f>
        <v>0.46671600000000002</v>
      </c>
      <c r="L851" s="33" cm="1">
        <f t="array" ref="L851">IF(D851=0,0,(D851-C851)*G851)</f>
        <v>2.6220000000000221</v>
      </c>
      <c r="M851" s="12">
        <v>306.97665875000001</v>
      </c>
      <c r="N851" s="34" cm="1">
        <f t="array" ref="N851">IFERROR((K851-J851)/J851,"–")</f>
        <v>0.99160839160839143</v>
      </c>
      <c r="O851" s="33" cm="1">
        <f t="array" ref="O851">IF(D851=0,0,L851-K851)</f>
        <v>2.1552840000000222</v>
      </c>
      <c r="P851" s="11"/>
      <c r="Q851" s="35"/>
    </row>
    <row r="852" spans="1:17" ht="22.5" customHeight="1">
      <c r="A852" s="16" t="s">
        <v>102</v>
      </c>
      <c r="B852" s="17">
        <v>44471</v>
      </c>
      <c r="C852" s="37">
        <v>14.18</v>
      </c>
      <c r="D852" s="37">
        <v>14.3</v>
      </c>
      <c r="E852" s="19" cm="1">
        <f t="array" ref="E852">IF(D852="","",D852-C852)</f>
        <v>0.12000000000000099</v>
      </c>
      <c r="F852" s="20" cm="1">
        <f t="array" ref="F852">IF(D852=0,"",(D852-C852)/C852)</f>
        <v>8.4626234132581801E-3</v>
      </c>
      <c r="G852" s="21">
        <v>1057.6199999999999</v>
      </c>
      <c r="H852" s="22">
        <v>1</v>
      </c>
      <c r="I852" s="23" cm="1">
        <f t="array" ref="I852">IF(D852="","",(G852*C852)*0.00075)</f>
        <v>11.247788699999999</v>
      </c>
      <c r="J852" s="23" cm="1">
        <f t="array" ref="J852">IF(D852="","",(G852*D852)*0.00075)</f>
        <v>11.342974499999999</v>
      </c>
      <c r="K852" s="24" cm="1">
        <f t="array" ref="K852">IF(D852="","",J852+I852)</f>
        <v>22.590763199999998</v>
      </c>
      <c r="L852" s="24" cm="1">
        <f t="array" ref="L852">IF(D852=0,0,(D852-C852)*G852)</f>
        <v>126.91440000000104</v>
      </c>
      <c r="M852" s="25">
        <v>14858.7942255</v>
      </c>
      <c r="N852" s="26" cm="1">
        <f t="array" ref="N852">IFERROR((K852-J852)/J852,"–")</f>
        <v>0.99160839160839165</v>
      </c>
      <c r="O852" s="24" cm="1">
        <f t="array" ref="O852">IF(D852=0,0,L852-K852)</f>
        <v>104.32363680000104</v>
      </c>
      <c r="P852" s="23"/>
      <c r="Q852" s="27"/>
    </row>
    <row r="853" spans="1:17" ht="22.5" customHeight="1">
      <c r="A853" s="16" t="s">
        <v>102</v>
      </c>
      <c r="B853" s="28">
        <v>44471</v>
      </c>
      <c r="C853" s="36">
        <v>14.18</v>
      </c>
      <c r="D853" s="36">
        <v>14</v>
      </c>
      <c r="E853" s="30" cm="1">
        <f t="array" ref="E853">IF(D853="","",D853-C853)</f>
        <v>-0.17999999999999972</v>
      </c>
      <c r="F853" s="31" cm="1">
        <f t="array" ref="F853">IF(D853=0,"",(D853-C853)/C853)</f>
        <v>-1.2693935119887145E-2</v>
      </c>
      <c r="G853" s="32">
        <v>1740.84</v>
      </c>
      <c r="H853" s="10">
        <v>1</v>
      </c>
      <c r="I853" s="11" cm="1">
        <f t="array" ref="I853">IF(D853="","",(G853*C853)*0.00075)</f>
        <v>18.513833399999999</v>
      </c>
      <c r="J853" s="11" cm="1">
        <f t="array" ref="J853">IF(D853="","",(G853*D853)*0.00075)</f>
        <v>18.27882</v>
      </c>
      <c r="K853" s="33" cm="1">
        <f t="array" ref="K853">IF(D853="","",J853+I853)</f>
        <v>36.792653399999999</v>
      </c>
      <c r="L853" s="33" cm="1">
        <f t="array" ref="L853">IF(D853=0,0,(D853-C853)*G853)</f>
        <v>-313.35119999999949</v>
      </c>
      <c r="M853" s="12">
        <v>24980.183580000001</v>
      </c>
      <c r="N853" s="34" cm="1">
        <f t="array" ref="N853">IFERROR((K853-J853)/J853,"–")</f>
        <v>1.0128571428571429</v>
      </c>
      <c r="O853" s="33" cm="1">
        <f t="array" ref="O853">IF(D853=0,0,L853-K853)</f>
        <v>-350.1438533999995</v>
      </c>
      <c r="P853" s="11"/>
      <c r="Q853" s="35"/>
    </row>
    <row r="854" spans="1:17" ht="22.5" customHeight="1">
      <c r="A854" s="16" t="s">
        <v>134</v>
      </c>
      <c r="B854" s="17">
        <v>44471</v>
      </c>
      <c r="C854" s="37">
        <v>8.8915000000000006</v>
      </c>
      <c r="D854" s="37">
        <v>8.9350000000000005</v>
      </c>
      <c r="E854" s="19" cm="1">
        <f t="array" ref="E854">IF(D854="","",D854-C854)</f>
        <v>4.3499999999999872E-2</v>
      </c>
      <c r="F854" s="20" cm="1">
        <f t="array" ref="F854">IF(D854=0,"",(D854-C854)/C854)</f>
        <v>4.8923128830905774E-3</v>
      </c>
      <c r="G854" s="21">
        <v>927.8</v>
      </c>
      <c r="H854" s="22">
        <v>1</v>
      </c>
      <c r="I854" s="23" cm="1">
        <f t="array" ref="I854">IF(D854="","",(G854*C854)*0.00075)</f>
        <v>6.1871502750000005</v>
      </c>
      <c r="J854" s="23" cm="1">
        <f t="array" ref="J854">IF(D854="","",(G854*D854)*0.00075)</f>
        <v>6.2174197500000004</v>
      </c>
      <c r="K854" s="24" cm="1">
        <f t="array" ref="K854">IF(D854="","",J854+I854)</f>
        <v>12.404570025000002</v>
      </c>
      <c r="L854" s="24" cm="1">
        <f t="array" ref="L854">IF(D854=0,0,(D854-C854)*G854)</f>
        <v>40.359299999999877</v>
      </c>
      <c r="M854" s="25">
        <v>8202.9569802499991</v>
      </c>
      <c r="N854" s="26" cm="1">
        <f t="array" ref="N854">IFERROR((K854-J854)/J854,"–")</f>
        <v>0.99513150531617256</v>
      </c>
      <c r="O854" s="24" cm="1">
        <f t="array" ref="O854">IF(D854=0,0,L854-K854)</f>
        <v>27.954729974999875</v>
      </c>
      <c r="P854" s="23"/>
      <c r="Q854" s="27"/>
    </row>
    <row r="855" spans="1:17" ht="22.5" customHeight="1">
      <c r="A855" s="16" t="s">
        <v>134</v>
      </c>
      <c r="B855" s="28">
        <v>44471</v>
      </c>
      <c r="C855" s="36">
        <v>8.8915000000000006</v>
      </c>
      <c r="D855" s="36">
        <v>8.9559999999999995</v>
      </c>
      <c r="E855" s="30" cm="1">
        <f t="array" ref="E855">IF(D855="","",D855-C855)</f>
        <v>6.4499999999998892E-2</v>
      </c>
      <c r="F855" s="31" cm="1">
        <f t="array" ref="F855">IF(D855=0,"",(D855-C855)/C855)</f>
        <v>7.2541191025135114E-3</v>
      </c>
      <c r="G855" s="32">
        <v>927.8</v>
      </c>
      <c r="H855" s="10">
        <v>1</v>
      </c>
      <c r="I855" s="11" cm="1">
        <f t="array" ref="I855">IF(D855="","",(G855*C855)*0.00075)</f>
        <v>6.1871502750000005</v>
      </c>
      <c r="J855" s="11" cm="1">
        <f t="array" ref="J855">IF(D855="","",(G855*D855)*0.00075)</f>
        <v>6.2320326000000001</v>
      </c>
      <c r="K855" s="33" cm="1">
        <f t="array" ref="K855">IF(D855="","",J855+I855)</f>
        <v>12.419182875000001</v>
      </c>
      <c r="L855" s="33" cm="1">
        <f t="array" ref="L855">IF(D855=0,0,(D855-C855)*G855)</f>
        <v>59.843099999998969</v>
      </c>
      <c r="M855" s="12">
        <v>8183.4585674</v>
      </c>
      <c r="N855" s="34" cm="1">
        <f t="array" ref="N855">IFERROR((K855-J855)/J855,"–")</f>
        <v>0.99279812416257263</v>
      </c>
      <c r="O855" s="33" cm="1">
        <f t="array" ref="O855">IF(D855=0,0,L855-K855)</f>
        <v>47.423917124998965</v>
      </c>
      <c r="P855" s="11"/>
      <c r="Q855" s="35"/>
    </row>
    <row r="856" spans="1:17" ht="22.5" customHeight="1">
      <c r="A856" s="16" t="s">
        <v>192</v>
      </c>
      <c r="B856" s="17">
        <v>44471</v>
      </c>
      <c r="C856" s="37">
        <v>0.24379999999999999</v>
      </c>
      <c r="D856" s="37">
        <v>0.24990000000000001</v>
      </c>
      <c r="E856" s="19" cm="1">
        <f t="array" ref="E856">IF(D856="","",D856-C856)</f>
        <v>6.1000000000000221E-3</v>
      </c>
      <c r="F856" s="20" cm="1">
        <f t="array" ref="F856">IF(D856=0,"",(D856-C856)/C856)</f>
        <v>2.502050861361781E-2</v>
      </c>
      <c r="G856" s="21">
        <v>16401</v>
      </c>
      <c r="H856" s="22">
        <v>1</v>
      </c>
      <c r="I856" s="23" cm="1">
        <f t="array" ref="I856">IF(D856="","",(G856*C856)*0.00075)</f>
        <v>2.99892285</v>
      </c>
      <c r="J856" s="23" cm="1">
        <f t="array" ref="J856">IF(D856="","",(G856*D856)*0.00075)</f>
        <v>3.0739574250000001</v>
      </c>
      <c r="K856" s="24" cm="1">
        <f t="array" ref="K856">IF(D856="","",J856+I856)</f>
        <v>6.0728802750000002</v>
      </c>
      <c r="L856" s="24" cm="1">
        <f t="array" ref="L856">IF(D856=0,0,(D856-C856)*G856)</f>
        <v>100.04610000000037</v>
      </c>
      <c r="M856" s="25">
        <v>3895.4437425750002</v>
      </c>
      <c r="N856" s="26" cm="1">
        <f t="array" ref="N856">IFERROR((K856-J856)/J856,"–")</f>
        <v>0.97559023609443773</v>
      </c>
      <c r="O856" s="24" cm="1">
        <f t="array" ref="O856">IF(D856=0,0,L856-K856)</f>
        <v>93.973219725000362</v>
      </c>
      <c r="P856" s="23"/>
      <c r="Q856" s="27"/>
    </row>
    <row r="857" spans="1:17" ht="22.5" customHeight="1">
      <c r="A857" s="16" t="s">
        <v>101</v>
      </c>
      <c r="B857" s="28">
        <v>44472</v>
      </c>
      <c r="C857" s="36">
        <v>0.16700000000000001</v>
      </c>
      <c r="D857" s="36">
        <v>0.16700000000000001</v>
      </c>
      <c r="E857" s="30" cm="1">
        <f t="array" ref="E857">IF(D857="","",D857-C857)</f>
        <v>0</v>
      </c>
      <c r="F857" s="31" cm="1">
        <f t="array" ref="F857">IF(D857=0,"",(D857-C857)/C857)</f>
        <v>0</v>
      </c>
      <c r="G857" s="32">
        <v>47904</v>
      </c>
      <c r="H857" s="10">
        <v>1</v>
      </c>
      <c r="I857" s="11" cm="1">
        <f t="array" ref="I857">IF(D857="","",(G857*C857)*0.00075)</f>
        <v>5.9999760000000011</v>
      </c>
      <c r="J857" s="11" cm="1">
        <f t="array" ref="J857">IF(D857="","",(G857*D857)*0.00075)</f>
        <v>5.9999760000000011</v>
      </c>
      <c r="K857" s="33" cm="1">
        <f t="array" ref="K857">IF(D857="","",J857+I857)</f>
        <v>11.999952000000002</v>
      </c>
      <c r="L857" s="33" cm="1">
        <f t="array" ref="L857">IF(D857=0,0,(D857-C857)*G857)</f>
        <v>0</v>
      </c>
      <c r="M857" s="12">
        <v>7993.9680239999998</v>
      </c>
      <c r="N857" s="34" cm="1">
        <f t="array" ref="N857">IFERROR((K857-J857)/J857,"–")</f>
        <v>1</v>
      </c>
      <c r="O857" s="33" cm="1">
        <f t="array" ref="O857">IF(D857=0,0,L857-K857)</f>
        <v>-11.999952000000002</v>
      </c>
      <c r="P857" s="11"/>
      <c r="Q857" s="35"/>
    </row>
    <row r="858" spans="1:17" ht="22.5" customHeight="1">
      <c r="A858" s="16" t="s">
        <v>193</v>
      </c>
      <c r="B858" s="17">
        <v>44472</v>
      </c>
      <c r="C858" s="37">
        <v>11.1182</v>
      </c>
      <c r="D858" s="37">
        <v>11.17</v>
      </c>
      <c r="E858" s="19" cm="1">
        <f t="array" ref="E858">IF(D858="","",D858-C858)</f>
        <v>5.1800000000000068E-2</v>
      </c>
      <c r="F858" s="20" cm="1">
        <f t="array" ref="F858">IF(D858=0,"",(D858-C858)/C858)</f>
        <v>4.6590275404292123E-3</v>
      </c>
      <c r="G858" s="21">
        <v>359.7</v>
      </c>
      <c r="H858" s="22">
        <v>1</v>
      </c>
      <c r="I858" s="23" cm="1">
        <f t="array" ref="I858">IF(D858="","",(G858*C858)*0.00075)</f>
        <v>2.9994124050000002</v>
      </c>
      <c r="J858" s="23" cm="1">
        <f t="array" ref="J858">IF(D858="","",(G858*D858)*0.00075)</f>
        <v>3.01338675</v>
      </c>
      <c r="K858" s="24" cm="1">
        <f t="array" ref="K858">IF(D858="","",J858+I858)</f>
        <v>6.0127991549999997</v>
      </c>
      <c r="L858" s="24" cm="1">
        <f t="array" ref="L858">IF(D858=0,0,(D858-C858)*G858)</f>
        <v>18.632460000000023</v>
      </c>
      <c r="M858" s="25">
        <v>3977.5706932500002</v>
      </c>
      <c r="N858" s="26" cm="1">
        <f t="array" ref="N858">IFERROR((K858-J858)/J858,"–")</f>
        <v>0.99536257833482533</v>
      </c>
      <c r="O858" s="24" cm="1">
        <f t="array" ref="O858">IF(D858=0,0,L858-K858)</f>
        <v>12.619660845000023</v>
      </c>
      <c r="P858" s="23"/>
      <c r="Q858" s="27"/>
    </row>
    <row r="859" spans="1:17" ht="22.5" customHeight="1">
      <c r="A859" s="16" t="s">
        <v>193</v>
      </c>
      <c r="B859" s="28">
        <v>44472</v>
      </c>
      <c r="C859" s="36">
        <v>11.1182</v>
      </c>
      <c r="D859" s="36">
        <v>11.19</v>
      </c>
      <c r="E859" s="30" cm="1">
        <f t="array" ref="E859">IF(D859="","",D859-C859)</f>
        <v>7.1799999999999642E-2</v>
      </c>
      <c r="F859" s="31" cm="1">
        <f t="array" ref="F859">IF(D859=0,"",(D859-C859)/C859)</f>
        <v>6.4578798726412229E-3</v>
      </c>
      <c r="G859" s="32">
        <v>359.7</v>
      </c>
      <c r="H859" s="10">
        <v>1</v>
      </c>
      <c r="I859" s="11" cm="1">
        <f t="array" ref="I859">IF(D859="","",(G859*C859)*0.00075)</f>
        <v>2.9994124050000002</v>
      </c>
      <c r="J859" s="11" cm="1">
        <f t="array" ref="J859">IF(D859="","",(G859*D859)*0.00075)</f>
        <v>3.0187822499999997</v>
      </c>
      <c r="K859" s="33" cm="1">
        <f t="array" ref="K859">IF(D859="","",J859+I859)</f>
        <v>6.0181946550000003</v>
      </c>
      <c r="L859" s="33" cm="1">
        <f t="array" ref="L859">IF(D859=0,0,(D859-C859)*G859)</f>
        <v>25.826459999999869</v>
      </c>
      <c r="M859" s="12">
        <v>3970.3712977499999</v>
      </c>
      <c r="N859" s="34" cm="1">
        <f t="array" ref="N859">IFERROR((K859-J859)/J859,"–")</f>
        <v>0.99358355674709598</v>
      </c>
      <c r="O859" s="33" cm="1">
        <f t="array" ref="O859">IF(D859=0,0,L859-K859)</f>
        <v>19.808265344999867</v>
      </c>
      <c r="P859" s="11"/>
      <c r="Q859" s="35"/>
    </row>
    <row r="860" spans="1:17" ht="22.5" customHeight="1">
      <c r="A860" s="16" t="s">
        <v>107</v>
      </c>
      <c r="B860" s="17">
        <v>44472</v>
      </c>
      <c r="C860" s="37">
        <v>0.35520000000000002</v>
      </c>
      <c r="D860" s="37">
        <v>0.35699999999999998</v>
      </c>
      <c r="E860" s="19" cm="1">
        <f t="array" ref="E860">IF(D860="","",D860-C860)</f>
        <v>1.7999999999999683E-3</v>
      </c>
      <c r="F860" s="20" cm="1">
        <f t="array" ref="F860">IF(D860=0,"",(D860-C860)/C860)</f>
        <v>5.0675675675674776E-3</v>
      </c>
      <c r="G860" s="21">
        <v>19444</v>
      </c>
      <c r="H860" s="22">
        <v>1</v>
      </c>
      <c r="I860" s="23" cm="1">
        <f t="array" ref="I860">IF(D860="","",(G860*C860)*0.00075)</f>
        <v>5.1798816000000008</v>
      </c>
      <c r="J860" s="23" cm="1">
        <f t="array" ref="J860">IF(D860="","",(G860*D860)*0.00075)</f>
        <v>5.2061310000000001</v>
      </c>
      <c r="K860" s="24" cm="1">
        <f t="array" ref="K860">IF(D860="","",J860+I860)</f>
        <v>10.386012600000001</v>
      </c>
      <c r="L860" s="24" cm="1">
        <f t="array" ref="L860">IF(D860=0,0,(D860-C860)*G860)</f>
        <v>34.999199999999384</v>
      </c>
      <c r="M860" s="25">
        <v>6866.3034690000004</v>
      </c>
      <c r="N860" s="26" cm="1">
        <f t="array" ref="N860">IFERROR((K860-J860)/J860,"–")</f>
        <v>0.99495798319327744</v>
      </c>
      <c r="O860" s="24" cm="1">
        <f t="array" ref="O860">IF(D860=0,0,L860-K860)</f>
        <v>24.613187399999383</v>
      </c>
      <c r="P860" s="23"/>
      <c r="Q860" s="27"/>
    </row>
    <row r="861" spans="1:17" ht="22.5" customHeight="1">
      <c r="A861" s="16" t="s">
        <v>107</v>
      </c>
      <c r="B861" s="28">
        <v>44472</v>
      </c>
      <c r="C861" s="36">
        <v>0.35520000000000002</v>
      </c>
      <c r="D861" s="36">
        <v>0.35649999999999998</v>
      </c>
      <c r="E861" s="30" cm="1">
        <f t="array" ref="E861">IF(D861="","",D861-C861)</f>
        <v>1.2999999999999678E-3</v>
      </c>
      <c r="F861" s="31" cm="1">
        <f t="array" ref="F861">IF(D861=0,"",(D861-C861)/C861)</f>
        <v>3.6599099099098192E-3</v>
      </c>
      <c r="G861" s="32">
        <v>10409</v>
      </c>
      <c r="H861" s="10">
        <v>1</v>
      </c>
      <c r="I861" s="11" cm="1">
        <f t="array" ref="I861">IF(D861="","",(G861*C861)*0.00075)</f>
        <v>2.7729576000000002</v>
      </c>
      <c r="J861" s="11" cm="1">
        <f t="array" ref="J861">IF(D861="","",(G861*D861)*0.00075)</f>
        <v>2.7831063749999996</v>
      </c>
      <c r="K861" s="33" cm="1">
        <f t="array" ref="K861">IF(D861="","",J861+I861)</f>
        <v>5.5560639749999998</v>
      </c>
      <c r="L861" s="33" cm="1">
        <f t="array" ref="L861">IF(D861=0,0,(D861-C861)*G861)</f>
        <v>13.531699999999665</v>
      </c>
      <c r="M861" s="12">
        <v>3680.9619936250001</v>
      </c>
      <c r="N861" s="34" cm="1">
        <f t="array" ref="N861">IFERROR((K861-J861)/J861,"–")</f>
        <v>0.9963534361851335</v>
      </c>
      <c r="O861" s="33" cm="1">
        <f t="array" ref="O861">IF(D861=0,0,L861-K861)</f>
        <v>7.9756360249996652</v>
      </c>
      <c r="P861" s="11"/>
      <c r="Q861" s="35"/>
    </row>
    <row r="862" spans="1:17" ht="22.5" customHeight="1">
      <c r="A862" s="16" t="s">
        <v>107</v>
      </c>
      <c r="B862" s="17">
        <v>44472</v>
      </c>
      <c r="C862" s="37">
        <v>0.35520000000000002</v>
      </c>
      <c r="D862" s="37">
        <v>0.35599999999999998</v>
      </c>
      <c r="E862" s="19" cm="1">
        <f t="array" ref="E862">IF(D862="","",D862-C862)</f>
        <v>7.999999999999674E-4</v>
      </c>
      <c r="F862" s="20" cm="1">
        <f t="array" ref="F862">IF(D862=0,"",(D862-C862)/C862)</f>
        <v>2.2522522522521603E-3</v>
      </c>
      <c r="G862" s="21">
        <v>18973</v>
      </c>
      <c r="H862" s="22">
        <v>1</v>
      </c>
      <c r="I862" s="23" cm="1">
        <f t="array" ref="I862">IF(D862="","",(G862*C862)*0.00075)</f>
        <v>5.0544072</v>
      </c>
      <c r="J862" s="23" cm="1">
        <f t="array" ref="J862">IF(D862="","",(G862*D862)*0.00075)</f>
        <v>5.0657909999999999</v>
      </c>
      <c r="K862" s="24" cm="1">
        <f t="array" ref="K862">IF(D862="","",J862+I862)</f>
        <v>10.120198200000001</v>
      </c>
      <c r="L862" s="24" cm="1">
        <f t="array" ref="L862">IF(D862=0,0,(D862-C862)*G862)</f>
        <v>15.178399999999382</v>
      </c>
      <c r="M862" s="25">
        <v>6718.9654090000004</v>
      </c>
      <c r="N862" s="26" cm="1">
        <f t="array" ref="N862">IFERROR((K862-J862)/J862,"–")</f>
        <v>0.99775280898876428</v>
      </c>
      <c r="O862" s="24" cm="1">
        <f t="array" ref="O862">IF(D862=0,0,L862-K862)</f>
        <v>5.0582017999993809</v>
      </c>
      <c r="P862" s="23"/>
      <c r="Q862" s="27"/>
    </row>
    <row r="863" spans="1:17" ht="22.5" customHeight="1">
      <c r="A863" s="16" t="s">
        <v>107</v>
      </c>
      <c r="B863" s="28">
        <v>44472</v>
      </c>
      <c r="C863" s="36">
        <v>0.35520000000000002</v>
      </c>
      <c r="D863" s="36">
        <v>0.35470000000000002</v>
      </c>
      <c r="E863" s="30" cm="1">
        <f t="array" ref="E863">IF(D863="","",D863-C863)</f>
        <v>-5.0000000000000044E-4</v>
      </c>
      <c r="F863" s="31" cm="1">
        <f t="array" ref="F863">IF(D863=0,"",(D863-C863)/C863)</f>
        <v>-1.4076576576576589E-3</v>
      </c>
      <c r="G863" s="32">
        <v>10762</v>
      </c>
      <c r="H863" s="10">
        <v>1</v>
      </c>
      <c r="I863" s="11" cm="1">
        <f t="array" ref="I863">IF(D863="","",(G863*C863)*0.00075)</f>
        <v>2.8669968000000003</v>
      </c>
      <c r="J863" s="11" cm="1">
        <f t="array" ref="J863">IF(D863="","",(G863*D863)*0.00075)</f>
        <v>2.8629610500000005</v>
      </c>
      <c r="K863" s="33" cm="1">
        <f t="array" ref="K863">IF(D863="","",J863+I863)</f>
        <v>5.7299578500000008</v>
      </c>
      <c r="L863" s="33" cm="1">
        <f t="array" ref="L863">IF(D863=0,0,(D863-C863)*G863)</f>
        <v>-5.3810000000000047</v>
      </c>
      <c r="M863" s="12">
        <v>3825.1804389499998</v>
      </c>
      <c r="N863" s="34" cm="1">
        <f t="array" ref="N863">IFERROR((K863-J863)/J863,"–")</f>
        <v>1.0014096419509444</v>
      </c>
      <c r="O863" s="33" cm="1">
        <f t="array" ref="O863">IF(D863=0,0,L863-K863)</f>
        <v>-11.110957850000005</v>
      </c>
      <c r="P863" s="11"/>
      <c r="Q863" s="35"/>
    </row>
    <row r="864" spans="1:17" ht="22.5" customHeight="1">
      <c r="A864" s="16" t="s">
        <v>107</v>
      </c>
      <c r="B864" s="17">
        <v>44472</v>
      </c>
      <c r="C864" s="37">
        <v>0.35520000000000002</v>
      </c>
      <c r="D864" s="37">
        <v>0.35439999999999999</v>
      </c>
      <c r="E864" s="19" cm="1">
        <f t="array" ref="E864">IF(D864="","",D864-C864)</f>
        <v>-8.0000000000002292E-4</v>
      </c>
      <c r="F864" s="20" cm="1">
        <f t="array" ref="F864">IF(D864=0,"",(D864-C864)/C864)</f>
        <v>-2.2522522522523169E-3</v>
      </c>
      <c r="G864" s="21">
        <v>3878</v>
      </c>
      <c r="H864" s="22">
        <v>1</v>
      </c>
      <c r="I864" s="23" cm="1">
        <f t="array" ref="I864">IF(D864="","",(G864*C864)*0.00075)</f>
        <v>1.0330992000000001</v>
      </c>
      <c r="J864" s="23" cm="1">
        <f t="array" ref="J864">IF(D864="","",(G864*D864)*0.00075)</f>
        <v>1.0307724</v>
      </c>
      <c r="K864" s="24" cm="1">
        <f t="array" ref="K864">IF(D864="","",J864+I864)</f>
        <v>2.0638716000000001</v>
      </c>
      <c r="L864" s="24" cm="1">
        <f t="array" ref="L864">IF(D864=0,0,(D864-C864)*G864)</f>
        <v>-3.1024000000000891</v>
      </c>
      <c r="M864" s="25">
        <v>1379.5372276000001</v>
      </c>
      <c r="N864" s="26" cm="1">
        <f t="array" ref="N864">IFERROR((K864-J864)/J864,"–")</f>
        <v>1.0022573363431151</v>
      </c>
      <c r="O864" s="24" cm="1">
        <f t="array" ref="O864">IF(D864=0,0,L864-K864)</f>
        <v>-5.1662716000000888</v>
      </c>
      <c r="P864" s="23"/>
      <c r="Q864" s="27"/>
    </row>
    <row r="865" spans="1:17" ht="22.5" customHeight="1">
      <c r="A865" s="16" t="s">
        <v>107</v>
      </c>
      <c r="B865" s="28">
        <v>44472</v>
      </c>
      <c r="C865" s="36">
        <v>0.35520000000000002</v>
      </c>
      <c r="D865" s="36">
        <v>0.35299999999999998</v>
      </c>
      <c r="E865" s="30" cm="1">
        <f t="array" ref="E865">IF(D865="","",D865-C865)</f>
        <v>-2.2000000000000353E-3</v>
      </c>
      <c r="F865" s="31" cm="1">
        <f t="array" ref="F865">IF(D865=0,"",(D865-C865)/C865)</f>
        <v>-6.1936936936937926E-3</v>
      </c>
      <c r="G865" s="32">
        <v>49133</v>
      </c>
      <c r="H865" s="10">
        <v>1</v>
      </c>
      <c r="I865" s="11" cm="1">
        <f t="array" ref="I865">IF(D865="","",(G865*C865)*0.00075)</f>
        <v>13.089031200000001</v>
      </c>
      <c r="J865" s="11" cm="1">
        <f t="array" ref="J865">IF(D865="","",(G865*D865)*0.00075)</f>
        <v>13.007961750000002</v>
      </c>
      <c r="K865" s="33" cm="1">
        <f t="array" ref="K865">IF(D865="","",J865+I865)</f>
        <v>26.096992950000001</v>
      </c>
      <c r="L865" s="33" cm="1">
        <f t="array" ref="L865">IF(D865=0,0,(D865-C865)*G865)</f>
        <v>-108.09260000000174</v>
      </c>
      <c r="M865" s="12">
        <v>17547.126238249999</v>
      </c>
      <c r="N865" s="34" cm="1">
        <f t="array" ref="N865">IFERROR((K865-J865)/J865,"–")</f>
        <v>1.0062322946175635</v>
      </c>
      <c r="O865" s="33" cm="1">
        <f t="array" ref="O865">IF(D865=0,0,L865-K865)</f>
        <v>-134.18959295000172</v>
      </c>
      <c r="P865" s="11"/>
      <c r="Q865" s="35"/>
    </row>
    <row r="866" spans="1:17" ht="22.5" customHeight="1">
      <c r="A866" s="16" t="s">
        <v>178</v>
      </c>
      <c r="B866" s="17">
        <v>44473</v>
      </c>
      <c r="C866" s="37">
        <v>4.4720000000000004</v>
      </c>
      <c r="D866" s="37">
        <v>4.4800000000000004</v>
      </c>
      <c r="E866" s="19" cm="1">
        <f t="array" ref="E866">IF(D866="","",D866-C866)</f>
        <v>8.0000000000000071E-3</v>
      </c>
      <c r="F866" s="20" cm="1">
        <f t="array" ref="F866">IF(D866=0,"",(D866-C866)/C866)</f>
        <v>1.7889087656529532E-3</v>
      </c>
      <c r="G866" s="21">
        <v>1000</v>
      </c>
      <c r="H866" s="22">
        <v>1</v>
      </c>
      <c r="I866" s="23" cm="1">
        <f t="array" ref="I866">IF(D866="","",(G866*C866)*0.00075)</f>
        <v>3.3540000000000001</v>
      </c>
      <c r="J866" s="23" cm="1">
        <f t="array" ref="J866">IF(D866="","",(G866*D866)*0.00075)</f>
        <v>3.36</v>
      </c>
      <c r="K866" s="24" cm="1">
        <f t="array" ref="K866">IF(D866="","",J866+I866)</f>
        <v>6.7140000000000004</v>
      </c>
      <c r="L866" s="24" cm="1">
        <f t="array" ref="L866">IF(D866=0,0,(D866-C866)*G866)</f>
        <v>8.0000000000000071</v>
      </c>
      <c r="M866" s="25">
        <v>4460.6400000000003</v>
      </c>
      <c r="N866" s="26" cm="1">
        <f t="array" ref="N866">IFERROR((K866-J866)/J866,"–")</f>
        <v>0.99821428571428594</v>
      </c>
      <c r="O866" s="24" cm="1">
        <f t="array" ref="O866">IF(D866=0,0,L866-K866)</f>
        <v>1.2860000000000067</v>
      </c>
      <c r="P866" s="23"/>
      <c r="Q866" s="27"/>
    </row>
    <row r="867" spans="1:17" ht="22.5" customHeight="1">
      <c r="A867" s="16" t="s">
        <v>178</v>
      </c>
      <c r="B867" s="28">
        <v>44473</v>
      </c>
      <c r="C867" s="36">
        <v>4.37</v>
      </c>
      <c r="D867" s="36">
        <v>4.8711000000000002</v>
      </c>
      <c r="E867" s="30" cm="1">
        <f t="array" ref="E867">IF(D867="","",D867-C867)</f>
        <v>0.5011000000000001</v>
      </c>
      <c r="F867" s="31" cm="1">
        <f t="array" ref="F867">IF(D867=0,"",(D867-C867)/C867)</f>
        <v>0.11466819221967965</v>
      </c>
      <c r="G867" s="32">
        <v>1000</v>
      </c>
      <c r="H867" s="10">
        <v>1</v>
      </c>
      <c r="I867" s="11" cm="1">
        <f t="array" ref="I867">IF(D867="","",(G867*C867)*0.00075)</f>
        <v>3.2774999999999999</v>
      </c>
      <c r="J867" s="11" cm="1">
        <f t="array" ref="J867">IF(D867="","",(G867*D867)*0.00075)</f>
        <v>3.6533250000000002</v>
      </c>
      <c r="K867" s="33" cm="1">
        <f t="array" ref="K867">IF(D867="","",J867+I867)</f>
        <v>6.9308250000000005</v>
      </c>
      <c r="L867" s="33" cm="1">
        <f t="array" ref="L867">IF(D867=0,0,(D867-C867)*G867)</f>
        <v>501.10000000000008</v>
      </c>
      <c r="M867" s="12">
        <v>3865.2466749999999</v>
      </c>
      <c r="N867" s="34" cm="1">
        <f t="array" ref="N867">IFERROR((K867-J867)/J867,"–")</f>
        <v>0.89712795877727824</v>
      </c>
      <c r="O867" s="33" cm="1">
        <f t="array" ref="O867">IF(D867=0,0,L867-K867)</f>
        <v>494.16917500000005</v>
      </c>
      <c r="P867" s="11"/>
      <c r="Q867" s="35"/>
    </row>
    <row r="868" spans="1:17" ht="22.5" customHeight="1">
      <c r="A868" s="16" t="s">
        <v>63</v>
      </c>
      <c r="B868" s="17">
        <v>44473</v>
      </c>
      <c r="C868" s="37">
        <v>0.23469999999999999</v>
      </c>
      <c r="D868" s="37">
        <v>0.2321</v>
      </c>
      <c r="E868" s="19" cm="1">
        <f t="array" ref="E868">IF(D868="","",D868-C868)</f>
        <v>-2.5999999999999912E-3</v>
      </c>
      <c r="F868" s="20" cm="1">
        <f t="array" ref="F868">IF(D868=0,"",(D868-C868)/C868)</f>
        <v>-1.1077971878994423E-2</v>
      </c>
      <c r="G868" s="21">
        <v>42600</v>
      </c>
      <c r="H868" s="22">
        <v>1</v>
      </c>
      <c r="I868" s="23" cm="1">
        <f t="array" ref="I868">IF(D868="","",(G868*C868)*0.00075)</f>
        <v>7.4986649999999999</v>
      </c>
      <c r="J868" s="23" cm="1">
        <f t="array" ref="J868">IF(D868="","",(G868*D868)*0.00075)</f>
        <v>7.4155949999999997</v>
      </c>
      <c r="K868" s="24" cm="1">
        <f t="array" ref="K868">IF(D868="","",J868+I868)</f>
        <v>14.914259999999999</v>
      </c>
      <c r="L868" s="24" cm="1">
        <f t="array" ref="L868">IF(D868=0,0,(D868-C868)*G868)</f>
        <v>-110.75999999999962</v>
      </c>
      <c r="M868" s="25">
        <v>10101.564404999999</v>
      </c>
      <c r="N868" s="26" cm="1">
        <f t="array" ref="N868">IFERROR((K868-J868)/J868,"–")</f>
        <v>1.0112020680741058</v>
      </c>
      <c r="O868" s="24" cm="1">
        <f t="array" ref="O868">IF(D868=0,0,L868-K868)</f>
        <v>-125.67425999999962</v>
      </c>
      <c r="P868" s="23"/>
      <c r="Q868" s="27"/>
    </row>
    <row r="869" spans="1:17" ht="22.5" customHeight="1">
      <c r="A869" s="16" t="s">
        <v>63</v>
      </c>
      <c r="B869" s="28">
        <v>44473</v>
      </c>
      <c r="C869" s="36">
        <v>0.23469999999999999</v>
      </c>
      <c r="D869" s="36">
        <v>0.23400000000000001</v>
      </c>
      <c r="E869" s="30" cm="1">
        <f t="array" ref="E869">IF(D869="","",D869-C869)</f>
        <v>-6.9999999999997842E-4</v>
      </c>
      <c r="F869" s="31" cm="1">
        <f t="array" ref="F869">IF(D869=0,"",(D869-C869)/C869)</f>
        <v>-2.9825308904984169E-3</v>
      </c>
      <c r="G869" s="32">
        <v>42600</v>
      </c>
      <c r="H869" s="10">
        <v>1</v>
      </c>
      <c r="I869" s="11" cm="1">
        <f t="array" ref="I869">IF(D869="","",(G869*C869)*0.00075)</f>
        <v>7.4986649999999999</v>
      </c>
      <c r="J869" s="11" cm="1">
        <f t="array" ref="J869">IF(D869="","",(G869*D869)*0.00075)</f>
        <v>7.4763000000000011</v>
      </c>
      <c r="K869" s="33" cm="1">
        <f t="array" ref="K869">IF(D869="","",J869+I869)</f>
        <v>14.974965000000001</v>
      </c>
      <c r="L869" s="33" cm="1">
        <f t="array" ref="L869">IF(D869=0,0,(D869-C869)*G869)</f>
        <v>-29.81999999999908</v>
      </c>
      <c r="M869" s="12">
        <v>10020.563700000001</v>
      </c>
      <c r="N869" s="34" cm="1">
        <f t="array" ref="N869">IFERROR((K869-J869)/J869,"–")</f>
        <v>1.0029914529914528</v>
      </c>
      <c r="O869" s="33" cm="1">
        <f t="array" ref="O869">IF(D869=0,0,L869-K869)</f>
        <v>-44.794964999999081</v>
      </c>
      <c r="P869" s="11"/>
      <c r="Q869" s="35"/>
    </row>
    <row r="870" spans="1:17" ht="22.5" customHeight="1">
      <c r="A870" s="16" t="s">
        <v>161</v>
      </c>
      <c r="B870" s="17">
        <v>44473</v>
      </c>
      <c r="C870" s="37">
        <v>9.2490000000000003E-3</v>
      </c>
      <c r="D870" s="37">
        <v>9.2499999999999995E-3</v>
      </c>
      <c r="E870" s="19" cm="1">
        <f t="array" ref="E870">IF(D870="","",D870-C870)</f>
        <v>9.9999999999926537E-7</v>
      </c>
      <c r="F870" s="20" cm="1">
        <f t="array" ref="F870">IF(D870=0,"",(D870-C870)/C870)</f>
        <v>1.0811979673470271E-4</v>
      </c>
      <c r="G870" s="21">
        <v>2162329</v>
      </c>
      <c r="H870" s="22">
        <v>1</v>
      </c>
      <c r="I870" s="23" cm="1">
        <f t="array" ref="I870">IF(D870="","",(G870*C870)*0.00075)</f>
        <v>14.999535690750001</v>
      </c>
      <c r="J870" s="23" cm="1">
        <f t="array" ref="J870">IF(D870="","",(G870*D870)*0.00075)</f>
        <v>15.0011574375</v>
      </c>
      <c r="K870" s="24" cm="1">
        <f t="array" ref="K870">IF(D870="","",J870+I870)</f>
        <v>30.000693128249999</v>
      </c>
      <c r="L870" s="24" cm="1">
        <f t="array" ref="L870">IF(D870=0,0,(D870-C870)*G870)</f>
        <v>2.1623289999984117</v>
      </c>
      <c r="M870" s="25">
        <v>19982.217434562499</v>
      </c>
      <c r="N870" s="26" cm="1">
        <f t="array" ref="N870">IFERROR((K870-J870)/J870,"–")</f>
        <v>0.99989189189189187</v>
      </c>
      <c r="O870" s="24" cm="1">
        <f t="array" ref="O870">IF(D870=0,0,L870-K870)</f>
        <v>-27.838364128251587</v>
      </c>
      <c r="P870" s="23"/>
      <c r="Q870" s="27"/>
    </row>
    <row r="871" spans="1:17" ht="22.5" customHeight="1">
      <c r="A871" s="16" t="s">
        <v>161</v>
      </c>
      <c r="B871" s="28">
        <v>44473</v>
      </c>
      <c r="C871" s="36">
        <v>9.2490000000000003E-3</v>
      </c>
      <c r="D871" s="36">
        <v>9.2519999999999998E-3</v>
      </c>
      <c r="E871" s="30" cm="1">
        <f t="array" ref="E871">IF(D871="","",D871-C871)</f>
        <v>2.9999999999995308E-6</v>
      </c>
      <c r="F871" s="31" cm="1">
        <f t="array" ref="F871">IF(D871=0,"",(D871-C871)/C871)</f>
        <v>3.2435939020429566E-4</v>
      </c>
      <c r="G871" s="32">
        <v>522241</v>
      </c>
      <c r="H871" s="10">
        <v>1</v>
      </c>
      <c r="I871" s="11" cm="1">
        <f t="array" ref="I871">IF(D871="","",(G871*C871)*0.00075)</f>
        <v>3.6226552567499999</v>
      </c>
      <c r="J871" s="11" cm="1">
        <f t="array" ref="J871">IF(D871="","",(G871*D871)*0.00075)</f>
        <v>3.6238302989999998</v>
      </c>
      <c r="K871" s="33" cm="1">
        <f t="array" ref="K871">IF(D871="","",J871+I871)</f>
        <v>7.2464855557499996</v>
      </c>
      <c r="L871" s="33" cm="1">
        <f t="array" ref="L871">IF(D871=0,0,(D871-C871)*G871)</f>
        <v>1.566722999999755</v>
      </c>
      <c r="M871" s="12">
        <v>4825.0164557010003</v>
      </c>
      <c r="N871" s="34" cm="1">
        <f t="array" ref="N871">IFERROR((K871-J871)/J871,"–")</f>
        <v>0.9996757457846952</v>
      </c>
      <c r="O871" s="33" cm="1">
        <f t="array" ref="O871">IF(D871=0,0,L871-K871)</f>
        <v>-5.6797625557502442</v>
      </c>
      <c r="P871" s="11"/>
      <c r="Q871" s="35"/>
    </row>
    <row r="872" spans="1:17" ht="22.5" customHeight="1">
      <c r="A872" s="16" t="s">
        <v>161</v>
      </c>
      <c r="B872" s="17">
        <v>44473</v>
      </c>
      <c r="C872" s="37">
        <v>9.2490000000000003E-3</v>
      </c>
      <c r="D872" s="37">
        <v>9.2499999999999995E-3</v>
      </c>
      <c r="E872" s="19" cm="1">
        <f t="array" ref="E872">IF(D872="","",D872-C872)</f>
        <v>9.9999999999926537E-7</v>
      </c>
      <c r="F872" s="20" cm="1">
        <f t="array" ref="F872">IF(D872=0,"",(D872-C872)/C872)</f>
        <v>1.0811979673470271E-4</v>
      </c>
      <c r="G872" s="21">
        <v>545950</v>
      </c>
      <c r="H872" s="22">
        <v>1</v>
      </c>
      <c r="I872" s="23" cm="1">
        <f t="array" ref="I872">IF(D872="","",(G872*C872)*0.00075)</f>
        <v>3.7871186624999997</v>
      </c>
      <c r="J872" s="23" cm="1">
        <f t="array" ref="J872">IF(D872="","",(G872*D872)*0.00075)</f>
        <v>3.7875281249999997</v>
      </c>
      <c r="K872" s="24" cm="1">
        <f t="array" ref="K872">IF(D872="","",J872+I872)</f>
        <v>7.574646787499999</v>
      </c>
      <c r="L872" s="24" cm="1">
        <f t="array" ref="L872">IF(D872=0,0,(D872-C872)*G872)</f>
        <v>0.54594999999959892</v>
      </c>
      <c r="M872" s="25">
        <v>5045.1580718750001</v>
      </c>
      <c r="N872" s="26" cm="1">
        <f t="array" ref="N872">IFERROR((K872-J872)/J872,"–")</f>
        <v>0.99989189189189176</v>
      </c>
      <c r="O872" s="24" cm="1">
        <f t="array" ref="O872">IF(D872=0,0,L872-K872)</f>
        <v>-7.0286967875004001</v>
      </c>
      <c r="P872" s="23"/>
      <c r="Q872" s="27"/>
    </row>
    <row r="873" spans="1:17" ht="22.5" customHeight="1">
      <c r="A873" s="16" t="s">
        <v>161</v>
      </c>
      <c r="B873" s="28">
        <v>44473</v>
      </c>
      <c r="C873" s="36">
        <v>9.2490000000000003E-3</v>
      </c>
      <c r="D873" s="36">
        <v>9.2309999999999996E-3</v>
      </c>
      <c r="E873" s="30" cm="1">
        <f t="array" ref="E873">IF(D873="","",D873-C873)</f>
        <v>-1.8000000000000654E-5</v>
      </c>
      <c r="F873" s="31" cm="1">
        <f t="array" ref="F873">IF(D873=0,"",(D873-C873)/C873)</f>
        <v>-1.9461563412261492E-3</v>
      </c>
      <c r="G873" s="32">
        <v>1094137</v>
      </c>
      <c r="H873" s="10">
        <v>1</v>
      </c>
      <c r="I873" s="11" cm="1">
        <f t="array" ref="I873">IF(D873="","",(G873*C873)*0.00075)</f>
        <v>7.5897548347500008</v>
      </c>
      <c r="J873" s="11" cm="1">
        <f t="array" ref="J873">IF(D873="","",(G873*D873)*0.00075)</f>
        <v>7.5749839852500003</v>
      </c>
      <c r="K873" s="33" cm="1">
        <f t="array" ref="K873">IF(D873="","",J873+I873)</f>
        <v>15.16473882</v>
      </c>
      <c r="L873" s="33" cm="1">
        <f t="array" ref="L873">IF(D873=0,0,(D873-C873)*G873)</f>
        <v>-19.694466000000716</v>
      </c>
      <c r="M873" s="12">
        <v>10131.7925950148</v>
      </c>
      <c r="N873" s="34" cm="1">
        <f t="array" ref="N873">IFERROR((K873-J873)/J873,"–")</f>
        <v>1.0019499512512187</v>
      </c>
      <c r="O873" s="33" cm="1">
        <f t="array" ref="O873">IF(D873=0,0,L873-K873)</f>
        <v>-34.859204820000713</v>
      </c>
      <c r="P873" s="11"/>
      <c r="Q873" s="35"/>
    </row>
    <row r="874" spans="1:17" ht="22.5" customHeight="1">
      <c r="A874" s="16" t="s">
        <v>194</v>
      </c>
      <c r="B874" s="17">
        <v>44474</v>
      </c>
      <c r="C874" s="37">
        <v>0.10637000000000001</v>
      </c>
      <c r="D874" s="37">
        <v>0.10553</v>
      </c>
      <c r="E874" s="19" cm="1">
        <f t="array" ref="E874">IF(D874="","",D874-C874)</f>
        <v>-8.4000000000000741E-4</v>
      </c>
      <c r="F874" s="20" cm="1">
        <f t="array" ref="F874">IF(D874=0,"",(D874-C874)/C874)</f>
        <v>-7.8969634295384724E-3</v>
      </c>
      <c r="G874" s="21">
        <v>188007.7</v>
      </c>
      <c r="H874" s="22">
        <v>1</v>
      </c>
      <c r="I874" s="23" cm="1">
        <f t="array" ref="I874">IF(D874="","",(G874*C874)*0.00075)</f>
        <v>14.998784286750002</v>
      </c>
      <c r="J874" s="23" cm="1">
        <f t="array" ref="J874">IF(D874="","",(G874*D874)*0.00075)</f>
        <v>14.880339435750001</v>
      </c>
      <c r="K874" s="24" cm="1">
        <f t="array" ref="K874">IF(D874="","",J874+I874)</f>
        <v>29.879123722500005</v>
      </c>
      <c r="L874" s="24" cm="1">
        <f t="array" ref="L874">IF(D874=0,0,(D874-C874)*G874)</f>
        <v>-157.92646800000139</v>
      </c>
      <c r="M874" s="25">
        <v>20141.425177564299</v>
      </c>
      <c r="N874" s="26" cm="1">
        <f t="array" ref="N874">IFERROR((K874-J874)/J874,"–")</f>
        <v>1.0079598218516064</v>
      </c>
      <c r="O874" s="24" cm="1">
        <f t="array" ref="O874">IF(D874=0,0,L874-K874)</f>
        <v>-187.80559172250139</v>
      </c>
      <c r="P874" s="23"/>
      <c r="Q874" s="27"/>
    </row>
    <row r="875" spans="1:17" ht="22.5" customHeight="1">
      <c r="A875" s="16" t="s">
        <v>194</v>
      </c>
      <c r="B875" s="28">
        <v>44474</v>
      </c>
      <c r="C875" s="36">
        <v>0.10637000000000001</v>
      </c>
      <c r="D875" s="36">
        <v>0.1065</v>
      </c>
      <c r="E875" s="30" cm="1">
        <f t="array" ref="E875">IF(D875="","",D875-C875)</f>
        <v>1.2999999999999123E-4</v>
      </c>
      <c r="F875" s="31" cm="1">
        <f t="array" ref="F875">IF(D875=0,"",(D875-C875)/C875)</f>
        <v>1.2221491021903847E-3</v>
      </c>
      <c r="G875" s="32">
        <v>186036.3</v>
      </c>
      <c r="H875" s="10">
        <v>1</v>
      </c>
      <c r="I875" s="11" cm="1">
        <f t="array" ref="I875">IF(D875="","",(G875*C875)*0.00075)</f>
        <v>14.841510923249999</v>
      </c>
      <c r="J875" s="11" cm="1">
        <f t="array" ref="J875">IF(D875="","",(G875*D875)*0.00075)</f>
        <v>14.8596494625</v>
      </c>
      <c r="K875" s="33" cm="1">
        <f t="array" ref="K875">IF(D875="","",J875+I875)</f>
        <v>29.701160385750001</v>
      </c>
      <c r="L875" s="33" cm="1">
        <f t="array" ref="L875">IF(D875=0,0,(D875-C875)*G875)</f>
        <v>24.184718999998367</v>
      </c>
      <c r="M875" s="12">
        <v>19749.6368625375</v>
      </c>
      <c r="N875" s="34" cm="1">
        <f t="array" ref="N875">IFERROR((K875-J875)/J875,"–")</f>
        <v>0.99877934272300473</v>
      </c>
      <c r="O875" s="33" cm="1">
        <f t="array" ref="O875">IF(D875=0,0,L875-K875)</f>
        <v>-5.5164413857516337</v>
      </c>
      <c r="P875" s="11"/>
      <c r="Q875" s="35"/>
    </row>
    <row r="876" spans="1:17" ht="22.5" customHeight="1">
      <c r="A876" s="16" t="s">
        <v>194</v>
      </c>
      <c r="B876" s="17">
        <v>44474</v>
      </c>
      <c r="C876" s="37">
        <v>0.10637000000000001</v>
      </c>
      <c r="D876" s="37">
        <v>0.1065</v>
      </c>
      <c r="E876" s="19" cm="1">
        <f t="array" ref="E876">IF(D876="","",D876-C876)</f>
        <v>1.2999999999999123E-4</v>
      </c>
      <c r="F876" s="20" cm="1">
        <f t="array" ref="F876">IF(D876=0,"",(D876-C876)/C876)</f>
        <v>1.2221491021903847E-3</v>
      </c>
      <c r="G876" s="21">
        <v>1971.3</v>
      </c>
      <c r="H876" s="22">
        <v>1</v>
      </c>
      <c r="I876" s="23" cm="1">
        <f t="array" ref="I876">IF(D876="","",(G876*C876)*0.00075)</f>
        <v>0.15726538575000001</v>
      </c>
      <c r="J876" s="23" cm="1">
        <f t="array" ref="J876">IF(D876="","",(G876*D876)*0.00075)</f>
        <v>0.1574575875</v>
      </c>
      <c r="K876" s="24" cm="1">
        <f t="array" ref="K876">IF(D876="","",J876+I876)</f>
        <v>0.31472297324999998</v>
      </c>
      <c r="L876" s="24" cm="1">
        <f t="array" ref="L876">IF(D876=0,0,(D876-C876)*G876)</f>
        <v>0.25626899999998271</v>
      </c>
      <c r="M876" s="25">
        <v>209.2734544125</v>
      </c>
      <c r="N876" s="26" cm="1">
        <f t="array" ref="N876">IFERROR((K876-J876)/J876,"–")</f>
        <v>0.99877934272300462</v>
      </c>
      <c r="O876" s="24" cm="1">
        <f t="array" ref="O876">IF(D876=0,0,L876-K876)</f>
        <v>-5.8453973250017277E-2</v>
      </c>
      <c r="P876" s="23"/>
      <c r="Q876" s="27"/>
    </row>
    <row r="877" spans="1:17" ht="22.5" customHeight="1">
      <c r="A877" s="16" t="s">
        <v>192</v>
      </c>
      <c r="B877" s="28">
        <v>44474</v>
      </c>
      <c r="C877" s="36">
        <v>0.24679999999999999</v>
      </c>
      <c r="D877" s="36">
        <v>0.25208000000000003</v>
      </c>
      <c r="E877" s="30" cm="1">
        <f t="array" ref="E877">IF(D877="","",D877-C877)</f>
        <v>5.2800000000000347E-3</v>
      </c>
      <c r="F877" s="31" cm="1">
        <f t="array" ref="F877">IF(D877=0,"",(D877-C877)/C877)</f>
        <v>2.1393841166936933E-2</v>
      </c>
      <c r="G877" s="32">
        <v>16207</v>
      </c>
      <c r="H877" s="10">
        <v>1</v>
      </c>
      <c r="I877" s="11" cm="1">
        <f t="array" ref="I877">IF(D877="","",(G877*C877)*0.00075)</f>
        <v>2.9999157000000003</v>
      </c>
      <c r="J877" s="11" cm="1">
        <f t="array" ref="J877">IF(D877="","",(G877*D877)*0.00075)</f>
        <v>3.0640954200000006</v>
      </c>
      <c r="K877" s="33" cm="1">
        <f t="array" ref="K877">IF(D877="","",J877+I877)</f>
        <v>6.0640111200000009</v>
      </c>
      <c r="L877" s="33" cm="1">
        <f t="array" ref="L877">IF(D877=0,0,(D877-C877)*G877)</f>
        <v>85.572960000000563</v>
      </c>
      <c r="M877" s="12">
        <v>3911.2505445800002</v>
      </c>
      <c r="N877" s="34" cm="1">
        <f t="array" ref="N877">IFERROR((K877-J877)/J877,"–")</f>
        <v>0.97905426848619481</v>
      </c>
      <c r="O877" s="33" cm="1">
        <f t="array" ref="O877">IF(D877=0,0,L877-K877)</f>
        <v>79.50894888000056</v>
      </c>
      <c r="P877" s="11"/>
      <c r="Q877" s="35"/>
    </row>
    <row r="878" spans="1:17" ht="22.5" customHeight="1">
      <c r="A878" s="16" t="s">
        <v>178</v>
      </c>
      <c r="B878" s="17">
        <v>44474</v>
      </c>
      <c r="C878" s="37">
        <v>4.7249999999999996</v>
      </c>
      <c r="D878" s="37">
        <v>4.843</v>
      </c>
      <c r="E878" s="19" cm="1">
        <f t="array" ref="E878">IF(D878="","",D878-C878)</f>
        <v>0.11800000000000033</v>
      </c>
      <c r="F878" s="20" cm="1">
        <f t="array" ref="F878">IF(D878=0,"",(D878-C878)/C878)</f>
        <v>2.4973544973545043E-2</v>
      </c>
      <c r="G878" s="21">
        <v>1000</v>
      </c>
      <c r="H878" s="22">
        <v>1</v>
      </c>
      <c r="I878" s="23" cm="1">
        <f t="array" ref="I878">IF(D878="","",(G878*C878)*0.00075)</f>
        <v>3.5437500000000002</v>
      </c>
      <c r="J878" s="23" cm="1">
        <f t="array" ref="J878">IF(D878="","",(G878*D878)*0.00075)</f>
        <v>3.63225</v>
      </c>
      <c r="K878" s="24" cm="1">
        <f t="array" ref="K878">IF(D878="","",J878+I878)</f>
        <v>7.1760000000000002</v>
      </c>
      <c r="L878" s="24" cm="1">
        <f t="array" ref="L878">IF(D878=0,0,(D878-C878)*G878)</f>
        <v>118.00000000000033</v>
      </c>
      <c r="M878" s="25">
        <v>4603.3677500000003</v>
      </c>
      <c r="N878" s="26" cm="1">
        <f t="array" ref="N878">IFERROR((K878-J878)/J878,"–")</f>
        <v>0.97563493702250681</v>
      </c>
      <c r="O878" s="24" cm="1">
        <f t="array" ref="O878">IF(D878=0,0,L878-K878)</f>
        <v>110.82400000000032</v>
      </c>
      <c r="P878" s="23"/>
      <c r="Q878" s="27"/>
    </row>
    <row r="879" spans="1:17" ht="22.5" customHeight="1">
      <c r="A879" s="16" t="s">
        <v>21</v>
      </c>
      <c r="B879" s="28">
        <v>44474</v>
      </c>
      <c r="C879" s="36">
        <v>4.5870000000000001E-2</v>
      </c>
      <c r="D879" s="36">
        <v>4.5900000000000003E-2</v>
      </c>
      <c r="E879" s="30" cm="1">
        <f t="array" ref="E879">IF(D879="","",D879-C879)</f>
        <v>3.0000000000002247E-5</v>
      </c>
      <c r="F879" s="31" cm="1">
        <f t="array" ref="F879">IF(D879=0,"",(D879-C879)/C879)</f>
        <v>6.5402223675609865E-4</v>
      </c>
      <c r="G879" s="32">
        <v>196182.3</v>
      </c>
      <c r="H879" s="10">
        <v>1</v>
      </c>
      <c r="I879" s="11" cm="1">
        <f t="array" ref="I879">IF(D879="","",(G879*C879)*0.00075)</f>
        <v>6.7491615757499996</v>
      </c>
      <c r="J879" s="11" cm="1">
        <f t="array" ref="J879">IF(D879="","",(G879*D879)*0.00075)</f>
        <v>6.7535756774999998</v>
      </c>
      <c r="K879" s="33" cm="1">
        <f t="array" ref="K879">IF(D879="","",J879+I879)</f>
        <v>13.50273725325</v>
      </c>
      <c r="L879" s="33" cm="1">
        <f t="array" ref="L879">IF(D879=0,0,(D879-C879)*G879)</f>
        <v>5.8854690000004402</v>
      </c>
      <c r="M879" s="12">
        <v>8986.2430563225007</v>
      </c>
      <c r="N879" s="34" cm="1">
        <f t="array" ref="N879">IFERROR((K879-J879)/J879,"–")</f>
        <v>0.99934640522875828</v>
      </c>
      <c r="O879" s="33" cm="1">
        <f t="array" ref="O879">IF(D879=0,0,L879-K879)</f>
        <v>-7.6172682532495601</v>
      </c>
      <c r="P879" s="11"/>
      <c r="Q879" s="35"/>
    </row>
    <row r="880" spans="1:17" ht="22.5" customHeight="1">
      <c r="A880" s="16" t="s">
        <v>21</v>
      </c>
      <c r="B880" s="17">
        <v>44474</v>
      </c>
      <c r="C880" s="37">
        <v>4.5870000000000001E-2</v>
      </c>
      <c r="D880" s="37">
        <v>4.5850000000000002E-2</v>
      </c>
      <c r="E880" s="19" cm="1">
        <f t="array" ref="E880">IF(D880="","",D880-C880)</f>
        <v>-1.9999999999999185E-5</v>
      </c>
      <c r="F880" s="20" cm="1">
        <f t="array" ref="F880">IF(D880=0,"",(D880-C880)/C880)</f>
        <v>-4.3601482450401539E-4</v>
      </c>
      <c r="G880" s="21">
        <v>196182.3</v>
      </c>
      <c r="H880" s="22">
        <v>1</v>
      </c>
      <c r="I880" s="23" cm="1">
        <f t="array" ref="I880">IF(D880="","",(G880*C880)*0.00075)</f>
        <v>6.7491615757499996</v>
      </c>
      <c r="J880" s="23" cm="1">
        <f t="array" ref="J880">IF(D880="","",(G880*D880)*0.00075)</f>
        <v>6.7462188412500002</v>
      </c>
      <c r="K880" s="24" cm="1">
        <f t="array" ref="K880">IF(D880="","",J880+I880)</f>
        <v>13.495380417</v>
      </c>
      <c r="L880" s="24" cm="1">
        <f t="array" ref="L880">IF(D880=0,0,(D880-C880)*G880)</f>
        <v>-3.9236459999998399</v>
      </c>
      <c r="M880" s="25">
        <v>8996.0595281587503</v>
      </c>
      <c r="N880" s="26" cm="1">
        <f t="array" ref="N880">IFERROR((K880-J880)/J880,"–")</f>
        <v>1.0004362050163575</v>
      </c>
      <c r="O880" s="24" cm="1">
        <f t="array" ref="O880">IF(D880=0,0,L880-K880)</f>
        <v>-17.419026416999841</v>
      </c>
      <c r="P880" s="23"/>
      <c r="Q880" s="27"/>
    </row>
    <row r="881" spans="1:17" ht="22.5" customHeight="1">
      <c r="A881" s="16" t="s">
        <v>76</v>
      </c>
      <c r="B881" s="28">
        <v>44474</v>
      </c>
      <c r="C881" s="36">
        <v>1.7609999999999999E-5</v>
      </c>
      <c r="D881" s="36">
        <v>1.7900000000000001E-5</v>
      </c>
      <c r="E881" s="30" cm="1">
        <f t="array" ref="E881">IF(D881="","",D881-C881)</f>
        <v>2.9000000000000231E-7</v>
      </c>
      <c r="F881" s="31" cm="1">
        <f t="array" ref="F881">IF(D881=0,"",(D881-C881)/C881)</f>
        <v>1.6467915956842834E-2</v>
      </c>
      <c r="G881" s="32">
        <v>59625212</v>
      </c>
      <c r="H881" s="10">
        <v>1</v>
      </c>
      <c r="I881" s="11" cm="1">
        <f t="array" ref="I881">IF(D881="","",(G881*C881)*0.00075)</f>
        <v>0.78749998748999994</v>
      </c>
      <c r="J881" s="11" cm="1">
        <f t="array" ref="J881">IF(D881="","",(G881*D881)*0.00075)</f>
        <v>0.80046847110000008</v>
      </c>
      <c r="K881" s="33" cm="1">
        <f t="array" ref="K881">IF(D881="","",J881+I881)</f>
        <v>1.58796845859</v>
      </c>
      <c r="L881" s="33" cm="1">
        <f t="array" ref="L881">IF(D881=0,0,(D881-C881)*G881)</f>
        <v>17.291311480000136</v>
      </c>
      <c r="M881" s="12">
        <v>1031.9082033689001</v>
      </c>
      <c r="N881" s="34" cm="1">
        <f t="array" ref="N881">IFERROR((K881-J881)/J881,"–")</f>
        <v>0.98379888268156412</v>
      </c>
      <c r="O881" s="33" cm="1">
        <f t="array" ref="O881">IF(D881=0,0,L881-K881)</f>
        <v>15.703343021410136</v>
      </c>
      <c r="P881" s="11"/>
      <c r="Q881" s="35"/>
    </row>
    <row r="882" spans="1:17" ht="22.5" customHeight="1">
      <c r="A882" s="16" t="s">
        <v>76</v>
      </c>
      <c r="B882" s="17">
        <v>44474</v>
      </c>
      <c r="C882" s="37">
        <v>1.7609999999999999E-5</v>
      </c>
      <c r="D882" s="37">
        <v>1.7989999999999999E-5</v>
      </c>
      <c r="E882" s="19" cm="1">
        <f t="array" ref="E882">IF(D882="","",D882-C882)</f>
        <v>3.7999999999999975E-7</v>
      </c>
      <c r="F882" s="20" cm="1">
        <f t="array" ref="F882">IF(D882=0,"",(D882-C882)/C882)</f>
        <v>2.1578648495173183E-2</v>
      </c>
      <c r="G882" s="21">
        <v>63321192</v>
      </c>
      <c r="H882" s="22">
        <v>1</v>
      </c>
      <c r="I882" s="23" cm="1">
        <f t="array" ref="I882">IF(D882="","",(G882*C882)*0.00075)</f>
        <v>0.83631464333999994</v>
      </c>
      <c r="J882" s="23" cm="1">
        <f t="array" ref="J882">IF(D882="","",(G882*D882)*0.00075)</f>
        <v>0.85436118306000008</v>
      </c>
      <c r="K882" s="24" cm="1">
        <f t="array" ref="K882">IF(D882="","",J882+I882)</f>
        <v>1.6906758264000001</v>
      </c>
      <c r="L882" s="24" cm="1">
        <f t="array" ref="L882">IF(D882=0,0,(D882-C882)*G882)</f>
        <v>24.062052959999985</v>
      </c>
      <c r="M882" s="25">
        <v>1090.1697769769401</v>
      </c>
      <c r="N882" s="26" cm="1">
        <f t="array" ref="N882">IFERROR((K882-J882)/J882,"–")</f>
        <v>0.9788771539744302</v>
      </c>
      <c r="O882" s="24" cm="1">
        <f t="array" ref="O882">IF(D882=0,0,L882-K882)</f>
        <v>22.371377133599985</v>
      </c>
      <c r="P882" s="23"/>
      <c r="Q882" s="27"/>
    </row>
    <row r="883" spans="1:17" ht="22.5" customHeight="1">
      <c r="A883" s="16" t="s">
        <v>76</v>
      </c>
      <c r="B883" s="28">
        <v>44474</v>
      </c>
      <c r="C883" s="36">
        <v>1.7609999999999999E-5</v>
      </c>
      <c r="D883" s="36">
        <v>1.7819999999999999E-5</v>
      </c>
      <c r="E883" s="30" cm="1">
        <f t="array" ref="E883">IF(D883="","",D883-C883)</f>
        <v>2.0999999999999968E-7</v>
      </c>
      <c r="F883" s="31" cm="1">
        <f t="array" ref="F883">IF(D883=0,"",(D883-C883)/C883)</f>
        <v>1.1925042589437803E-2</v>
      </c>
      <c r="G883" s="32">
        <v>115554447</v>
      </c>
      <c r="H883" s="10">
        <v>1</v>
      </c>
      <c r="I883" s="11" cm="1">
        <f t="array" ref="I883">IF(D883="","",(G883*C883)*0.00075)</f>
        <v>1.5261853587524998</v>
      </c>
      <c r="J883" s="11" cm="1">
        <f t="array" ref="J883">IF(D883="","",(G883*D883)*0.00075)</f>
        <v>1.5443851841549998</v>
      </c>
      <c r="K883" s="33" cm="1">
        <f t="array" ref="K883">IF(D883="","",J883+I883)</f>
        <v>3.0705705429074994</v>
      </c>
      <c r="L883" s="33" cm="1">
        <f t="array" ref="L883">IF(D883=0,0,(D883-C883)*G883)</f>
        <v>24.266433869999965</v>
      </c>
      <c r="M883" s="12">
        <v>2009.1029926158501</v>
      </c>
      <c r="N883" s="34" cm="1">
        <f t="array" ref="N883">IFERROR((K883-J883)/J883,"–")</f>
        <v>0.9882154882154881</v>
      </c>
      <c r="O883" s="33" cm="1">
        <f t="array" ref="O883">IF(D883=0,0,L883-K883)</f>
        <v>21.195863327092464</v>
      </c>
      <c r="P883" s="11"/>
      <c r="Q883" s="35"/>
    </row>
    <row r="884" spans="1:17" ht="22.5" customHeight="1">
      <c r="A884" s="16" t="s">
        <v>132</v>
      </c>
      <c r="B884" s="17">
        <v>44474</v>
      </c>
      <c r="C884" s="37">
        <v>8.7639999999999996E-2</v>
      </c>
      <c r="D884" s="37">
        <v>8.8499999999999995E-2</v>
      </c>
      <c r="E884" s="19" cm="1">
        <f t="array" ref="E884">IF(D884="","",D884-C884)</f>
        <v>8.5999999999999965E-4</v>
      </c>
      <c r="F884" s="20" cm="1">
        <f t="array" ref="F884">IF(D884=0,"",(D884-C884)/C884)</f>
        <v>9.8128708352350491E-3</v>
      </c>
      <c r="G884" s="21">
        <v>47800</v>
      </c>
      <c r="H884" s="22">
        <v>1</v>
      </c>
      <c r="I884" s="23" cm="1">
        <f t="array" ref="I884">IF(D884="","",(G884*C884)*0.00075)</f>
        <v>3.1418940000000002</v>
      </c>
      <c r="J884" s="23" cm="1">
        <f t="array" ref="J884">IF(D884="","",(G884*D884)*0.00075)</f>
        <v>3.1727250000000002</v>
      </c>
      <c r="K884" s="24" cm="1">
        <f t="array" ref="K884">IF(D884="","",J884+I884)</f>
        <v>6.3146190000000004</v>
      </c>
      <c r="L884" s="24" cm="1">
        <f t="array" ref="L884">IF(D884=0,0,(D884-C884)*G884)</f>
        <v>41.107999999999983</v>
      </c>
      <c r="M884" s="25">
        <v>4144.9112750000004</v>
      </c>
      <c r="N884" s="26" cm="1">
        <f t="array" ref="N884">IFERROR((K884-J884)/J884,"–")</f>
        <v>0.99028248587570622</v>
      </c>
      <c r="O884" s="24" cm="1">
        <f t="array" ref="O884">IF(D884=0,0,L884-K884)</f>
        <v>34.793380999999982</v>
      </c>
      <c r="P884" s="23"/>
      <c r="Q884" s="27"/>
    </row>
    <row r="885" spans="1:17" ht="22.5" customHeight="1">
      <c r="A885" s="16" t="s">
        <v>195</v>
      </c>
      <c r="B885" s="28">
        <v>44474</v>
      </c>
      <c r="C885" s="36">
        <v>0.31869999999999998</v>
      </c>
      <c r="D885" s="36">
        <v>0.31900000000000001</v>
      </c>
      <c r="E885" s="30" cm="1">
        <f t="array" ref="E885">IF(D885="","",D885-C885)</f>
        <v>3.0000000000002247E-4</v>
      </c>
      <c r="F885" s="31" cm="1">
        <f t="array" ref="F885">IF(D885=0,"",(D885-C885)/C885)</f>
        <v>9.4132412927525099E-4</v>
      </c>
      <c r="G885" s="32">
        <v>131753</v>
      </c>
      <c r="H885" s="10">
        <v>1</v>
      </c>
      <c r="I885" s="11" cm="1">
        <f t="array" ref="I885">IF(D885="","",(G885*C885)*0.00075)</f>
        <v>31.492260824999995</v>
      </c>
      <c r="J885" s="11" cm="1">
        <f t="array" ref="J885">IF(D885="","",(G885*D885)*0.00075)</f>
        <v>31.521905250000003</v>
      </c>
      <c r="K885" s="33" cm="1">
        <f t="array" ref="K885">IF(D885="","",J885+I885)</f>
        <v>63.014166074999999</v>
      </c>
      <c r="L885" s="33" cm="1">
        <f t="array" ref="L885">IF(D885=0,0,(D885-C885)*G885)</f>
        <v>39.525900000002963</v>
      </c>
      <c r="M885" s="12">
        <v>41918.633294749998</v>
      </c>
      <c r="N885" s="34" cm="1">
        <f t="array" ref="N885">IFERROR((K885-J885)/J885,"–")</f>
        <v>0.99905956112852645</v>
      </c>
      <c r="O885" s="33" cm="1">
        <f t="array" ref="O885">IF(D885=0,0,L885-K885)</f>
        <v>-23.488266074997036</v>
      </c>
      <c r="P885" s="11"/>
      <c r="Q885" s="35"/>
    </row>
    <row r="886" spans="1:17" ht="22.5" customHeight="1">
      <c r="A886" s="16" t="s">
        <v>82</v>
      </c>
      <c r="B886" s="17">
        <v>44474</v>
      </c>
      <c r="C886" s="37">
        <v>6.5299999999999997E-2</v>
      </c>
      <c r="D886" s="37">
        <v>6.565E-2</v>
      </c>
      <c r="E886" s="19" cm="1">
        <f t="array" ref="E886">IF(D886="","",D886-C886)</f>
        <v>3.5000000000000309E-4</v>
      </c>
      <c r="F886" s="20" cm="1">
        <f t="array" ref="F886">IF(D886=0,"",(D886-C886)/C886)</f>
        <v>5.3598774885145958E-3</v>
      </c>
      <c r="G886" s="21">
        <v>96332</v>
      </c>
      <c r="H886" s="22">
        <v>1</v>
      </c>
      <c r="I886" s="23" cm="1">
        <f t="array" ref="I886">IF(D886="","",(G886*C886)*0.00075)</f>
        <v>4.7178597</v>
      </c>
      <c r="J886" s="23" cm="1">
        <f t="array" ref="J886">IF(D886="","",(G886*D886)*0.00075)</f>
        <v>4.7431468500000005</v>
      </c>
      <c r="K886" s="24" cm="1">
        <f t="array" ref="K886">IF(D886="","",J886+I886)</f>
        <v>9.4610065500000005</v>
      </c>
      <c r="L886" s="24" cm="1">
        <f t="array" ref="L886">IF(D886=0,0,(D886-C886)*G886)</f>
        <v>33.716200000000299</v>
      </c>
      <c r="M886" s="25">
        <v>6252.0202531499999</v>
      </c>
      <c r="N886" s="26" cm="1">
        <f t="array" ref="N886">IFERROR((K886-J886)/J886,"–")</f>
        <v>0.99466869763899457</v>
      </c>
      <c r="O886" s="24" cm="1">
        <f t="array" ref="O886">IF(D886=0,0,L886-K886)</f>
        <v>24.255193450000299</v>
      </c>
      <c r="P886" s="23"/>
      <c r="Q886" s="27"/>
    </row>
    <row r="887" spans="1:17" ht="22.5" customHeight="1">
      <c r="A887" s="16" t="s">
        <v>82</v>
      </c>
      <c r="B887" s="28">
        <v>44474</v>
      </c>
      <c r="C887" s="36">
        <v>6.5299999999999997E-2</v>
      </c>
      <c r="D887" s="36">
        <v>6.565E-2</v>
      </c>
      <c r="E887" s="30" cm="1">
        <f t="array" ref="E887">IF(D887="","",D887-C887)</f>
        <v>3.5000000000000309E-4</v>
      </c>
      <c r="F887" s="31" cm="1">
        <f t="array" ref="F887">IF(D887=0,"",(D887-C887)/C887)</f>
        <v>5.3598774885145958E-3</v>
      </c>
      <c r="G887" s="32">
        <v>96332</v>
      </c>
      <c r="H887" s="10">
        <v>1</v>
      </c>
      <c r="I887" s="11" cm="1">
        <f t="array" ref="I887">IF(D887="","",(G887*C887)*0.00075)</f>
        <v>4.7178597</v>
      </c>
      <c r="J887" s="11" cm="1">
        <f t="array" ref="J887">IF(D887="","",(G887*D887)*0.00075)</f>
        <v>4.7431468500000005</v>
      </c>
      <c r="K887" s="33" cm="1">
        <f t="array" ref="K887">IF(D887="","",J887+I887)</f>
        <v>9.4610065500000005</v>
      </c>
      <c r="L887" s="33" cm="1">
        <f t="array" ref="L887">IF(D887=0,0,(D887-C887)*G887)</f>
        <v>33.716200000000299</v>
      </c>
      <c r="M887" s="12">
        <v>6252.0202531499999</v>
      </c>
      <c r="N887" s="34" cm="1">
        <f t="array" ref="N887">IFERROR((K887-J887)/J887,"–")</f>
        <v>0.99466869763899457</v>
      </c>
      <c r="O887" s="33" cm="1">
        <f t="array" ref="O887">IF(D887=0,0,L887-K887)</f>
        <v>24.255193450000299</v>
      </c>
      <c r="P887" s="11"/>
      <c r="Q887" s="35"/>
    </row>
    <row r="888" spans="1:17" ht="22.5" customHeight="1">
      <c r="A888" s="16" t="s">
        <v>178</v>
      </c>
      <c r="B888" s="17">
        <v>44475</v>
      </c>
      <c r="C888" s="37">
        <v>4.55</v>
      </c>
      <c r="D888" s="37">
        <v>4.62</v>
      </c>
      <c r="E888" s="19" cm="1">
        <f t="array" ref="E888">IF(D888="","",D888-C888)</f>
        <v>7.0000000000000284E-2</v>
      </c>
      <c r="F888" s="20" cm="1">
        <f t="array" ref="F888">IF(D888=0,"",(D888-C888)/C888)</f>
        <v>1.5384615384615448E-2</v>
      </c>
      <c r="G888" s="21">
        <v>1000</v>
      </c>
      <c r="H888" s="22">
        <v>1</v>
      </c>
      <c r="I888" s="23" cm="1">
        <f t="array" ref="I888">IF(D888="","",(G888*C888)*0.00075)</f>
        <v>3.4125000000000001</v>
      </c>
      <c r="J888" s="23" cm="1">
        <f t="array" ref="J888">IF(D888="","",(G888*D888)*0.00075)</f>
        <v>3.4649999999999999</v>
      </c>
      <c r="K888" s="24" cm="1">
        <f t="array" ref="K888">IF(D888="","",J888+I888)</f>
        <v>6.8774999999999995</v>
      </c>
      <c r="L888" s="24" cm="1">
        <f t="array" ref="L888">IF(D888=0,0,(D888-C888)*G888)</f>
        <v>70.000000000000284</v>
      </c>
      <c r="M888" s="25">
        <v>4476.5349999999999</v>
      </c>
      <c r="N888" s="26" cm="1">
        <f t="array" ref="N888">IFERROR((K888-J888)/J888,"–")</f>
        <v>0.98484848484848475</v>
      </c>
      <c r="O888" s="24" cm="1">
        <f t="array" ref="O888">IF(D888=0,0,L888-K888)</f>
        <v>63.122500000000286</v>
      </c>
      <c r="P888" s="23"/>
      <c r="Q888" s="27"/>
    </row>
    <row r="889" spans="1:17" ht="22.5" customHeight="1">
      <c r="A889" s="16" t="s">
        <v>47</v>
      </c>
      <c r="B889" s="28">
        <v>44475</v>
      </c>
      <c r="C889" s="36">
        <v>15.878500000000001</v>
      </c>
      <c r="D889" s="36">
        <v>15.574999999999999</v>
      </c>
      <c r="E889" s="30" cm="1">
        <f t="array" ref="E889">IF(D889="","",D889-C889)</f>
        <v>-0.30350000000000144</v>
      </c>
      <c r="F889" s="31" cm="1">
        <f t="array" ref="F889">IF(D889=0,"",(D889-C889)/C889)</f>
        <v>-1.9113896148880653E-2</v>
      </c>
      <c r="G889" s="32">
        <v>1070.6300000000001</v>
      </c>
      <c r="H889" s="10">
        <v>1</v>
      </c>
      <c r="I889" s="11" cm="1">
        <f t="array" ref="I889">IF(D889="","",(G889*C889)*0.00075)</f>
        <v>12.749998841250001</v>
      </c>
      <c r="J889" s="11" cm="1">
        <f t="array" ref="J889">IF(D889="","",(G889*D889)*0.00075)</f>
        <v>12.506296687500003</v>
      </c>
      <c r="K889" s="33" cm="1">
        <f t="array" ref="K889">IF(D889="","",J889+I889)</f>
        <v>25.256295528750002</v>
      </c>
      <c r="L889" s="33" cm="1">
        <f t="array" ref="L889">IF(D889=0,0,(D889-C889)*G889)</f>
        <v>-324.93620500000156</v>
      </c>
      <c r="M889" s="12">
        <v>17312.428363312501</v>
      </c>
      <c r="N889" s="34" cm="1">
        <f t="array" ref="N889">IFERROR((K889-J889)/J889,"–")</f>
        <v>1.0194863563402887</v>
      </c>
      <c r="O889" s="33" cm="1">
        <f t="array" ref="O889">IF(D889=0,0,L889-K889)</f>
        <v>-350.19250052875157</v>
      </c>
      <c r="P889" s="11"/>
      <c r="Q889" s="35"/>
    </row>
    <row r="890" spans="1:17" ht="22.5" customHeight="1">
      <c r="A890" s="16" t="s">
        <v>47</v>
      </c>
      <c r="B890" s="17">
        <v>44475</v>
      </c>
      <c r="C890" s="37">
        <v>15.878500000000001</v>
      </c>
      <c r="D890" s="37">
        <v>15.404</v>
      </c>
      <c r="E890" s="19" cm="1">
        <f t="array" ref="E890">IF(D890="","",D890-C890)</f>
        <v>-0.47450000000000081</v>
      </c>
      <c r="F890" s="20" cm="1">
        <f t="array" ref="F890">IF(D890=0,"",(D890-C890)/C890)</f>
        <v>-2.9883175362912164E-2</v>
      </c>
      <c r="G890" s="21">
        <v>1070.6199999999999</v>
      </c>
      <c r="H890" s="22">
        <v>1</v>
      </c>
      <c r="I890" s="23" cm="1">
        <f t="array" ref="I890">IF(D890="","",(G890*C890)*0.00075)</f>
        <v>12.749879752499998</v>
      </c>
      <c r="J890" s="23" cm="1">
        <f t="array" ref="J890">IF(D890="","",(G890*D890)*0.00075)</f>
        <v>12.368872859999998</v>
      </c>
      <c r="K890" s="24" cm="1">
        <f t="array" ref="K890">IF(D890="","",J890+I890)</f>
        <v>25.118752612499996</v>
      </c>
      <c r="L890" s="24" cm="1">
        <f t="array" ref="L890">IF(D890=0,0,(D890-C890)*G890)</f>
        <v>-508.00919000000084</v>
      </c>
      <c r="M890" s="25">
        <v>17495.479987139999</v>
      </c>
      <c r="N890" s="26" cm="1">
        <f t="array" ref="N890">IFERROR((K890-J890)/J890,"–")</f>
        <v>1.0308036873539341</v>
      </c>
      <c r="O890" s="24" cm="1">
        <f t="array" ref="O890">IF(D890=0,0,L890-K890)</f>
        <v>-533.12794261250087</v>
      </c>
      <c r="P890" s="23"/>
      <c r="Q890" s="27"/>
    </row>
    <row r="891" spans="1:17" ht="22.5" customHeight="1">
      <c r="A891" s="16" t="s">
        <v>59</v>
      </c>
      <c r="B891" s="28">
        <v>44475</v>
      </c>
      <c r="C891" s="36">
        <v>17.93</v>
      </c>
      <c r="D891" s="36">
        <v>17.850000000000001</v>
      </c>
      <c r="E891" s="30" cm="1">
        <f t="array" ref="E891">IF(D891="","",D891-C891)</f>
        <v>-7.9999999999998295E-2</v>
      </c>
      <c r="F891" s="31" cm="1">
        <f t="array" ref="F891">IF(D891=0,"",(D891-C891)/C891)</f>
        <v>-4.4617958728387225E-3</v>
      </c>
      <c r="G891" s="32">
        <v>510.3</v>
      </c>
      <c r="H891" s="10">
        <v>1</v>
      </c>
      <c r="I891" s="11" cm="1">
        <f t="array" ref="I891">IF(D891="","",(G891*C891)*0.00075)</f>
        <v>6.8622592500000001</v>
      </c>
      <c r="J891" s="11" cm="1">
        <f t="array" ref="J891">IF(D891="","",(G891*D891)*0.00075)</f>
        <v>6.8316412500000014</v>
      </c>
      <c r="K891" s="33" cm="1">
        <f t="array" ref="K891">IF(D891="","",J891+I891)</f>
        <v>13.693900500000002</v>
      </c>
      <c r="L891" s="33" cm="1">
        <f t="array" ref="L891">IF(D891=0,0,(D891-C891)*G891)</f>
        <v>-40.823999999999131</v>
      </c>
      <c r="M891" s="12">
        <v>9183.6713587499999</v>
      </c>
      <c r="N891" s="34" cm="1">
        <f t="array" ref="N891">IFERROR((K891-J891)/J891,"–")</f>
        <v>1.0044817927170866</v>
      </c>
      <c r="O891" s="33" cm="1">
        <f t="array" ref="O891">IF(D891=0,0,L891-K891)</f>
        <v>-54.517900499999129</v>
      </c>
      <c r="P891" s="11"/>
      <c r="Q891" s="35"/>
    </row>
    <row r="892" spans="1:17" ht="22.5" customHeight="1">
      <c r="A892" s="16" t="s">
        <v>20</v>
      </c>
      <c r="B892" s="17">
        <v>44475</v>
      </c>
      <c r="C892" s="37">
        <v>2.1690000000000001E-2</v>
      </c>
      <c r="D892" s="37">
        <v>2.2069999999999999E-2</v>
      </c>
      <c r="E892" s="19" cm="1">
        <f t="array" ref="E892">IF(D892="","",D892-C892)</f>
        <v>3.7999999999999839E-4</v>
      </c>
      <c r="F892" s="20" cm="1">
        <f t="array" ref="F892">IF(D892=0,"",(D892-C892)/C892)</f>
        <v>1.7519594283079684E-2</v>
      </c>
      <c r="G892" s="21">
        <v>115207</v>
      </c>
      <c r="H892" s="22">
        <v>1</v>
      </c>
      <c r="I892" s="23" cm="1">
        <f t="array" ref="I892">IF(D892="","",(G892*C892)*0.00075)</f>
        <v>1.8741298725</v>
      </c>
      <c r="J892" s="23" cm="1">
        <f t="array" ref="J892">IF(D892="","",(G892*D892)*0.00075)</f>
        <v>1.9069638675</v>
      </c>
      <c r="K892" s="24" cm="1">
        <f t="array" ref="K892">IF(D892="","",J892+I892)</f>
        <v>3.7810937400000002</v>
      </c>
      <c r="L892" s="24" cm="1">
        <f t="array" ref="L892">IF(D892=0,0,(D892-C892)*G892)</f>
        <v>43.778659999999817</v>
      </c>
      <c r="M892" s="25">
        <v>2453.1542061324999</v>
      </c>
      <c r="N892" s="26" cm="1">
        <f t="array" ref="N892">IFERROR((K892-J892)/J892,"–")</f>
        <v>0.98278205709107391</v>
      </c>
      <c r="O892" s="24" cm="1">
        <f t="array" ref="O892">IF(D892=0,0,L892-K892)</f>
        <v>39.997566259999815</v>
      </c>
      <c r="P892" s="23"/>
      <c r="Q892" s="27"/>
    </row>
    <row r="893" spans="1:17" ht="22.5" customHeight="1">
      <c r="A893" s="16" t="s">
        <v>196</v>
      </c>
      <c r="B893" s="28">
        <v>44475</v>
      </c>
      <c r="C893" s="36">
        <v>178.73</v>
      </c>
      <c r="D893" s="36">
        <v>182.5</v>
      </c>
      <c r="E893" s="30" cm="1">
        <f t="array" ref="E893">IF(D893="","",D893-C893)</f>
        <v>3.7700000000000102</v>
      </c>
      <c r="F893" s="31" cm="1">
        <f t="array" ref="F893">IF(D893=0,"",(D893-C893)/C893)</f>
        <v>2.1093269176970908E-2</v>
      </c>
      <c r="G893" s="32">
        <v>19.021999999999998</v>
      </c>
      <c r="H893" s="10">
        <v>1</v>
      </c>
      <c r="I893" s="11" cm="1">
        <f t="array" ref="I893">IF(D893="","",(G893*C893)*0.00075)</f>
        <v>2.5498515449999997</v>
      </c>
      <c r="J893" s="11" cm="1">
        <f t="array" ref="J893">IF(D893="","",(G893*D893)*0.00075)</f>
        <v>2.6036362500000001</v>
      </c>
      <c r="K893" s="33" cm="1">
        <f t="array" ref="K893">IF(D893="","",J893+I893)</f>
        <v>5.1534877950000002</v>
      </c>
      <c r="L893" s="33" cm="1">
        <f t="array" ref="L893">IF(D893=0,0,(D893-C893)*G893)</f>
        <v>71.712940000000188</v>
      </c>
      <c r="M893" s="12">
        <v>3325.4854837500002</v>
      </c>
      <c r="N893" s="34" cm="1">
        <f t="array" ref="N893">IFERROR((K893-J893)/J893,"–")</f>
        <v>0.97934246575342465</v>
      </c>
      <c r="O893" s="33" cm="1">
        <f t="array" ref="O893">IF(D893=0,0,L893-K893)</f>
        <v>66.559452205000184</v>
      </c>
      <c r="P893" s="11"/>
      <c r="Q893" s="35"/>
    </row>
    <row r="894" spans="1:17" ht="22.5" customHeight="1">
      <c r="A894" s="16" t="s">
        <v>196</v>
      </c>
      <c r="B894" s="17">
        <v>44475</v>
      </c>
      <c r="C894" s="37">
        <v>178.73</v>
      </c>
      <c r="D894" s="37">
        <v>182.1</v>
      </c>
      <c r="E894" s="19" cm="1">
        <f t="array" ref="E894">IF(D894="","",D894-C894)</f>
        <v>3.3700000000000045</v>
      </c>
      <c r="F894" s="20" cm="1">
        <f t="array" ref="F894">IF(D894=0,"",(D894-C894)/C894)</f>
        <v>1.8855256532199435E-2</v>
      </c>
      <c r="G894" s="21">
        <v>1.0449999999999999</v>
      </c>
      <c r="H894" s="22">
        <v>1</v>
      </c>
      <c r="I894" s="23" cm="1">
        <f t="array" ref="I894">IF(D894="","",(G894*C894)*0.00075)</f>
        <v>0.14007963749999999</v>
      </c>
      <c r="J894" s="23" cm="1">
        <f t="array" ref="J894">IF(D894="","",(G894*D894)*0.00075)</f>
        <v>0.14272087499999997</v>
      </c>
      <c r="K894" s="24" cm="1">
        <f t="array" ref="K894">IF(D894="","",J894+I894)</f>
        <v>0.28280051249999993</v>
      </c>
      <c r="L894" s="24" cm="1">
        <f t="array" ref="L894">IF(D894=0,0,(D894-C894)*G894)</f>
        <v>3.5216500000000046</v>
      </c>
      <c r="M894" s="25">
        <v>183.108479125</v>
      </c>
      <c r="N894" s="26" cm="1">
        <f t="array" ref="N894">IFERROR((K894-J894)/J894,"–")</f>
        <v>0.98149368478857768</v>
      </c>
      <c r="O894" s="24" cm="1">
        <f t="array" ref="O894">IF(D894=0,0,L894-K894)</f>
        <v>3.2388494875000049</v>
      </c>
      <c r="P894" s="23"/>
      <c r="Q894" s="27"/>
    </row>
    <row r="895" spans="1:17" ht="22.5" customHeight="1">
      <c r="A895" s="16" t="s">
        <v>196</v>
      </c>
      <c r="B895" s="28">
        <v>44475</v>
      </c>
      <c r="C895" s="36">
        <v>178.73</v>
      </c>
      <c r="D895" s="36">
        <v>181.11</v>
      </c>
      <c r="E895" s="30" cm="1">
        <f t="array" ref="E895">IF(D895="","",D895-C895)</f>
        <v>2.3800000000000239</v>
      </c>
      <c r="F895" s="31" cm="1">
        <f t="array" ref="F895">IF(D895=0,"",(D895-C895)/C895)</f>
        <v>1.3316175236390219E-2</v>
      </c>
      <c r="G895" s="32">
        <v>17.978000000000002</v>
      </c>
      <c r="H895" s="10">
        <v>1</v>
      </c>
      <c r="I895" s="11" cm="1">
        <f t="array" ref="I895">IF(D895="","",(G895*C895)*0.00075)</f>
        <v>2.4099059550000002</v>
      </c>
      <c r="J895" s="11" cm="1">
        <f t="array" ref="J895">IF(D895="","",(G895*D895)*0.00075)</f>
        <v>2.4419966850000008</v>
      </c>
      <c r="K895" s="33" cm="1">
        <f t="array" ref="K895">IF(D895="","",J895+I895)</f>
        <v>4.8519026400000005</v>
      </c>
      <c r="L895" s="33" cm="1">
        <f t="array" ref="L895">IF(D895=0,0,(D895-C895)*G895)</f>
        <v>42.78764000000043</v>
      </c>
      <c r="M895" s="12">
        <v>3167.9783033150002</v>
      </c>
      <c r="N895" s="34" cm="1">
        <f t="array" ref="N895">IFERROR((K895-J895)/J895,"–")</f>
        <v>0.9868588150847547</v>
      </c>
      <c r="O895" s="33" cm="1">
        <f t="array" ref="O895">IF(D895=0,0,L895-K895)</f>
        <v>37.935737360000431</v>
      </c>
      <c r="P895" s="11"/>
      <c r="Q895" s="35"/>
    </row>
    <row r="896" spans="1:17" ht="22.5" customHeight="1">
      <c r="A896" s="16" t="s">
        <v>142</v>
      </c>
      <c r="B896" s="17">
        <v>44475</v>
      </c>
      <c r="C896" s="37">
        <v>1.8775999999999999</v>
      </c>
      <c r="D896" s="37">
        <v>1.889</v>
      </c>
      <c r="E896" s="19" cm="1">
        <f t="array" ref="E896">IF(D896="","",D896-C896)</f>
        <v>1.1400000000000077E-2</v>
      </c>
      <c r="F896" s="20" cm="1">
        <f t="array" ref="F896">IF(D896=0,"",(D896-C896)/C896)</f>
        <v>6.0715807413720055E-3</v>
      </c>
      <c r="G896" s="21">
        <v>10385.200000000001</v>
      </c>
      <c r="H896" s="22">
        <v>1</v>
      </c>
      <c r="I896" s="23" cm="1">
        <f t="array" ref="I896">IF(D896="","",(G896*C896)*0.00075)</f>
        <v>14.624438640000001</v>
      </c>
      <c r="J896" s="23" cm="1">
        <f t="array" ref="J896">IF(D896="","",(G896*D896)*0.00075)</f>
        <v>14.713232100000001</v>
      </c>
      <c r="K896" s="24" cm="1">
        <f t="array" ref="K896">IF(D896="","",J896+I896)</f>
        <v>29.33767074</v>
      </c>
      <c r="L896" s="24" cm="1">
        <f t="array" ref="L896">IF(D896=0,0,(D896-C896)*G896)</f>
        <v>118.3912800000008</v>
      </c>
      <c r="M896" s="25">
        <v>19366.147007899999</v>
      </c>
      <c r="N896" s="26" cm="1">
        <f t="array" ref="N896">IFERROR((K896-J896)/J896,"–")</f>
        <v>0.99396506087877168</v>
      </c>
      <c r="O896" s="24" cm="1">
        <f t="array" ref="O896">IF(D896=0,0,L896-K896)</f>
        <v>89.053609260000798</v>
      </c>
      <c r="P896" s="23"/>
      <c r="Q896" s="27"/>
    </row>
    <row r="897" spans="1:17" ht="22.5" customHeight="1">
      <c r="A897" s="16" t="s">
        <v>142</v>
      </c>
      <c r="B897" s="28">
        <v>44475</v>
      </c>
      <c r="C897" s="36">
        <v>1.8775999999999999</v>
      </c>
      <c r="D897" s="36">
        <v>1.885</v>
      </c>
      <c r="E897" s="30" cm="1">
        <f t="array" ref="E897">IF(D897="","",D897-C897)</f>
        <v>7.4000000000000732E-3</v>
      </c>
      <c r="F897" s="31" cm="1">
        <f t="array" ref="F897">IF(D897=0,"",(D897-C897)/C897)</f>
        <v>3.9412015338730682E-3</v>
      </c>
      <c r="G897" s="32">
        <v>6315</v>
      </c>
      <c r="H897" s="10">
        <v>1</v>
      </c>
      <c r="I897" s="11" cm="1">
        <f t="array" ref="I897">IF(D897="","",(G897*C897)*0.00075)</f>
        <v>8.8927829999999997</v>
      </c>
      <c r="J897" s="11" cm="1">
        <f t="array" ref="J897">IF(D897="","",(G897*D897)*0.00075)</f>
        <v>8.9278312500000006</v>
      </c>
      <c r="K897" s="33" cm="1">
        <f t="array" ref="K897">IF(D897="","",J897+I897)</f>
        <v>17.820614249999998</v>
      </c>
      <c r="L897" s="33" cm="1">
        <f t="array" ref="L897">IF(D897=0,0,(D897-C897)*G897)</f>
        <v>46.731000000000464</v>
      </c>
      <c r="M897" s="12">
        <v>11801.385168749999</v>
      </c>
      <c r="N897" s="34" cm="1">
        <f t="array" ref="N897">IFERROR((K897-J897)/J897,"–")</f>
        <v>0.99607427055702891</v>
      </c>
      <c r="O897" s="33" cm="1">
        <f t="array" ref="O897">IF(D897=0,0,L897-K897)</f>
        <v>28.910385750000465</v>
      </c>
      <c r="P897" s="11"/>
      <c r="Q897" s="35"/>
    </row>
    <row r="898" spans="1:17" ht="22.5" customHeight="1">
      <c r="A898" s="16" t="s">
        <v>142</v>
      </c>
      <c r="B898" s="17">
        <v>44475</v>
      </c>
      <c r="C898" s="37">
        <v>1.8775999999999999</v>
      </c>
      <c r="D898" s="37">
        <v>1.88</v>
      </c>
      <c r="E898" s="19" cm="1">
        <f t="array" ref="E898">IF(D898="","",D898-C898)</f>
        <v>2.3999999999999577E-3</v>
      </c>
      <c r="F898" s="20" cm="1">
        <f t="array" ref="F898">IF(D898=0,"",(D898-C898)/C898)</f>
        <v>1.2782275244993383E-3</v>
      </c>
      <c r="G898" s="21">
        <v>4070.3</v>
      </c>
      <c r="H898" s="22">
        <v>1</v>
      </c>
      <c r="I898" s="23" cm="1">
        <f t="array" ref="I898">IF(D898="","",(G898*C898)*0.00075)</f>
        <v>5.73179646</v>
      </c>
      <c r="J898" s="23" cm="1">
        <f t="array" ref="J898">IF(D898="","",(G898*D898)*0.00075)</f>
        <v>5.7391230000000002</v>
      </c>
      <c r="K898" s="24" cm="1">
        <f t="array" ref="K898">IF(D898="","",J898+I898)</f>
        <v>11.470919460000001</v>
      </c>
      <c r="L898" s="24" cm="1">
        <f t="array" ref="L898">IF(D898=0,0,(D898-C898)*G898)</f>
        <v>9.7687199999998278</v>
      </c>
      <c r="M898" s="25">
        <v>7626.8874370000003</v>
      </c>
      <c r="N898" s="26" cm="1">
        <f t="array" ref="N898">IFERROR((K898-J898)/J898,"–")</f>
        <v>0.99872340425531925</v>
      </c>
      <c r="O898" s="24" cm="1">
        <f t="array" ref="O898">IF(D898=0,0,L898-K898)</f>
        <v>-1.7021994600001733</v>
      </c>
      <c r="P898" s="23"/>
      <c r="Q898" s="27"/>
    </row>
    <row r="899" spans="1:17" ht="22.5" customHeight="1">
      <c r="A899" s="16" t="s">
        <v>195</v>
      </c>
      <c r="B899" s="28">
        <v>44475</v>
      </c>
      <c r="C899" s="36">
        <v>0.33600000000000002</v>
      </c>
      <c r="D899" s="36">
        <v>0.34399999999999997</v>
      </c>
      <c r="E899" s="30" cm="1">
        <f t="array" ref="E899">IF(D899="","",D899-C899)</f>
        <v>7.9999999999999516E-3</v>
      </c>
      <c r="F899" s="31" cm="1">
        <f t="array" ref="F899">IF(D899=0,"",(D899-C899)/C899)</f>
        <v>2.3809523809523662E-2</v>
      </c>
      <c r="G899" s="32">
        <v>10119</v>
      </c>
      <c r="H899" s="10">
        <v>1</v>
      </c>
      <c r="I899" s="11" cm="1">
        <f t="array" ref="I899">IF(D899="","",(G899*C899)*0.00075)</f>
        <v>2.5499880000000004</v>
      </c>
      <c r="J899" s="11" cm="1">
        <f t="array" ref="J899">IF(D899="","",(G899*D899)*0.00075)</f>
        <v>2.6107019999999999</v>
      </c>
      <c r="K899" s="33" cm="1">
        <f t="array" ref="K899">IF(D899="","",J899+I899)</f>
        <v>5.1606900000000007</v>
      </c>
      <c r="L899" s="33" cm="1">
        <f t="array" ref="L899">IF(D899=0,0,(D899-C899)*G899)</f>
        <v>80.951999999999515</v>
      </c>
      <c r="M899" s="12">
        <v>3316.4212980000002</v>
      </c>
      <c r="N899" s="34" cm="1">
        <f t="array" ref="N899">IFERROR((K899-J899)/J899,"–")</f>
        <v>0.97674418604651203</v>
      </c>
      <c r="O899" s="33" cm="1">
        <f t="array" ref="O899">IF(D899=0,0,L899-K899)</f>
        <v>75.791309999999513</v>
      </c>
      <c r="P899" s="11"/>
      <c r="Q899" s="35"/>
    </row>
    <row r="900" spans="1:17" ht="22.5" customHeight="1">
      <c r="A900" s="16" t="s">
        <v>195</v>
      </c>
      <c r="B900" s="17">
        <v>44475</v>
      </c>
      <c r="C900" s="37">
        <v>0.33600000000000002</v>
      </c>
      <c r="D900" s="37">
        <v>0.3417</v>
      </c>
      <c r="E900" s="19" cm="1">
        <f t="array" ref="E900">IF(D900="","",D900-C900)</f>
        <v>5.6999999999999829E-3</v>
      </c>
      <c r="F900" s="20" cm="1">
        <f t="array" ref="F900">IF(D900=0,"",(D900-C900)/C900)</f>
        <v>1.6964285714285661E-2</v>
      </c>
      <c r="G900" s="21">
        <v>15180</v>
      </c>
      <c r="H900" s="22">
        <v>1</v>
      </c>
      <c r="I900" s="23" cm="1">
        <f t="array" ref="I900">IF(D900="","",(G900*C900)*0.00075)</f>
        <v>3.8253600000000003</v>
      </c>
      <c r="J900" s="23" cm="1">
        <f t="array" ref="J900">IF(D900="","",(G900*D900)*0.00075)</f>
        <v>3.8902545000000002</v>
      </c>
      <c r="K900" s="24" cm="1">
        <f t="array" ref="K900">IF(D900="","",J900+I900)</f>
        <v>7.7156145000000009</v>
      </c>
      <c r="L900" s="24" cm="1">
        <f t="array" ref="L900">IF(D900=0,0,(D900-C900)*G900)</f>
        <v>86.52599999999974</v>
      </c>
      <c r="M900" s="25">
        <v>5010.0637454999996</v>
      </c>
      <c r="N900" s="26" cm="1">
        <f t="array" ref="N900">IFERROR((K900-J900)/J900,"–")</f>
        <v>0.98331870061457438</v>
      </c>
      <c r="O900" s="24" cm="1">
        <f t="array" ref="O900">IF(D900=0,0,L900-K900)</f>
        <v>78.81038549999974</v>
      </c>
      <c r="P900" s="23"/>
      <c r="Q900" s="27"/>
    </row>
    <row r="901" spans="1:17" ht="22.5" customHeight="1">
      <c r="A901" s="16" t="s">
        <v>195</v>
      </c>
      <c r="B901" s="28">
        <v>44475</v>
      </c>
      <c r="C901" s="36">
        <v>0.33600000000000002</v>
      </c>
      <c r="D901" s="36">
        <v>0.34100000000000003</v>
      </c>
      <c r="E901" s="30" cm="1">
        <f t="array" ref="E901">IF(D901="","",D901-C901)</f>
        <v>5.0000000000000044E-3</v>
      </c>
      <c r="F901" s="31" cm="1">
        <f t="array" ref="F901">IF(D901=0,"",(D901-C901)/C901)</f>
        <v>1.4880952380952394E-2</v>
      </c>
      <c r="G901" s="32">
        <v>15179</v>
      </c>
      <c r="H901" s="10">
        <v>1</v>
      </c>
      <c r="I901" s="11" cm="1">
        <f t="array" ref="I901">IF(D901="","",(G901*C901)*0.00075)</f>
        <v>3.8251080000000002</v>
      </c>
      <c r="J901" s="11" cm="1">
        <f t="array" ref="J901">IF(D901="","",(G901*D901)*0.00075)</f>
        <v>3.8820292500000004</v>
      </c>
      <c r="K901" s="33" cm="1">
        <f t="array" ref="K901">IF(D901="","",J901+I901)</f>
        <v>7.7071372500000006</v>
      </c>
      <c r="L901" s="33" cm="1">
        <f t="array" ref="L901">IF(D901=0,0,(D901-C901)*G901)</f>
        <v>75.895000000000067</v>
      </c>
      <c r="M901" s="12">
        <v>5020.3669707500003</v>
      </c>
      <c r="N901" s="34" cm="1">
        <f t="array" ref="N901">IFERROR((K901-J901)/J901,"–")</f>
        <v>0.98533724340175943</v>
      </c>
      <c r="O901" s="33" cm="1">
        <f t="array" ref="O901">IF(D901=0,0,L901-K901)</f>
        <v>68.187862750000065</v>
      </c>
      <c r="P901" s="11"/>
      <c r="Q901" s="35"/>
    </row>
    <row r="902" spans="1:17" ht="22.5" customHeight="1">
      <c r="A902" s="16" t="s">
        <v>174</v>
      </c>
      <c r="B902" s="17">
        <v>44475</v>
      </c>
      <c r="C902" s="37">
        <v>0.70220000000000005</v>
      </c>
      <c r="D902" s="37">
        <v>0.70699999999999996</v>
      </c>
      <c r="E902" s="19" cm="1">
        <f t="array" ref="E902">IF(D902="","",D902-C902)</f>
        <v>4.7999999999999154E-3</v>
      </c>
      <c r="F902" s="20" cm="1">
        <f t="array" ref="F902">IF(D902=0,"",(D902-C902)/C902)</f>
        <v>6.8356593563086232E-3</v>
      </c>
      <c r="G902" s="21">
        <v>8900</v>
      </c>
      <c r="H902" s="22">
        <v>1</v>
      </c>
      <c r="I902" s="23" cm="1">
        <f t="array" ref="I902">IF(D902="","",(G902*C902)*0.00075)</f>
        <v>4.6871850000000004</v>
      </c>
      <c r="J902" s="23" cm="1">
        <f t="array" ref="J902">IF(D902="","",(G902*D902)*0.00075)</f>
        <v>4.7192249999999998</v>
      </c>
      <c r="K902" s="24" cm="1">
        <f t="array" ref="K902">IF(D902="","",J902+I902)</f>
        <v>9.406410000000001</v>
      </c>
      <c r="L902" s="24" cm="1">
        <f t="array" ref="L902">IF(D902=0,0,(D902-C902)*G902)</f>
        <v>42.719999999999246</v>
      </c>
      <c r="M902" s="25">
        <v>6202.1407749999998</v>
      </c>
      <c r="N902" s="26" cm="1">
        <f t="array" ref="N902">IFERROR((K902-J902)/J902,"–")</f>
        <v>0.99321074964639355</v>
      </c>
      <c r="O902" s="24" cm="1">
        <f t="array" ref="O902">IF(D902=0,0,L902-K902)</f>
        <v>33.313589999999245</v>
      </c>
      <c r="P902" s="23"/>
      <c r="Q902" s="27"/>
    </row>
    <row r="903" spans="1:17" ht="22.5" customHeight="1">
      <c r="A903" s="16" t="s">
        <v>174</v>
      </c>
      <c r="B903" s="28">
        <v>44475</v>
      </c>
      <c r="C903" s="36">
        <v>0.70220000000000005</v>
      </c>
      <c r="D903" s="36">
        <v>0.70979999999999999</v>
      </c>
      <c r="E903" s="30" cm="1">
        <f t="array" ref="E903">IF(D903="","",D903-C903)</f>
        <v>7.5999999999999401E-3</v>
      </c>
      <c r="F903" s="31" cm="1">
        <f t="array" ref="F903">IF(D903=0,"",(D903-C903)/C903)</f>
        <v>1.0823127314155426E-2</v>
      </c>
      <c r="G903" s="32">
        <v>6675</v>
      </c>
      <c r="H903" s="10">
        <v>1</v>
      </c>
      <c r="I903" s="11" cm="1">
        <f t="array" ref="I903">IF(D903="","",(G903*C903)*0.00075)</f>
        <v>3.5153887500000005</v>
      </c>
      <c r="J903" s="11" cm="1">
        <f t="array" ref="J903">IF(D903="","",(G903*D903)*0.00075)</f>
        <v>3.5534362499999999</v>
      </c>
      <c r="K903" s="33" cm="1">
        <f t="array" ref="K903">IF(D903="","",J903+I903)</f>
        <v>7.0688250000000004</v>
      </c>
      <c r="L903" s="33" cm="1">
        <f t="array" ref="L903">IF(D903=0,0,(D903-C903)*G903)</f>
        <v>50.729999999999599</v>
      </c>
      <c r="M903" s="12">
        <v>4632.9015637499997</v>
      </c>
      <c r="N903" s="34" cm="1">
        <f t="array" ref="N903">IFERROR((K903-J903)/J903,"–")</f>
        <v>0.98929275852352794</v>
      </c>
      <c r="O903" s="33" cm="1">
        <f t="array" ref="O903">IF(D903=0,0,L903-K903)</f>
        <v>43.661174999999602</v>
      </c>
      <c r="P903" s="11"/>
      <c r="Q903" s="35"/>
    </row>
    <row r="904" spans="1:17" ht="22.5" customHeight="1">
      <c r="A904" s="16" t="s">
        <v>174</v>
      </c>
      <c r="B904" s="17">
        <v>44475</v>
      </c>
      <c r="C904" s="37">
        <v>0.70220000000000005</v>
      </c>
      <c r="D904" s="37">
        <v>0.71</v>
      </c>
      <c r="E904" s="19" cm="1">
        <f t="array" ref="E904">IF(D904="","",D904-C904)</f>
        <v>7.7999999999999181E-3</v>
      </c>
      <c r="F904" s="20" cm="1">
        <f t="array" ref="F904">IF(D904=0,"",(D904-C904)/C904)</f>
        <v>1.1107946454001592E-2</v>
      </c>
      <c r="G904" s="21">
        <v>10012.5</v>
      </c>
      <c r="H904" s="22">
        <v>1</v>
      </c>
      <c r="I904" s="23" cm="1">
        <f t="array" ref="I904">IF(D904="","",(G904*C904)*0.00075)</f>
        <v>5.2730831250000003</v>
      </c>
      <c r="J904" s="23" cm="1">
        <f t="array" ref="J904">IF(D904="","",(G904*D904)*0.00075)</f>
        <v>5.33165625</v>
      </c>
      <c r="K904" s="24" cm="1">
        <f t="array" ref="K904">IF(D904="","",J904+I904)</f>
        <v>10.604739375000001</v>
      </c>
      <c r="L904" s="24" cm="1">
        <f t="array" ref="L904">IF(D904=0,0,(D904-C904)*G904)</f>
        <v>78.097499999999187</v>
      </c>
      <c r="M904" s="25">
        <v>6947.3483437499999</v>
      </c>
      <c r="N904" s="26" cm="1">
        <f t="array" ref="N904">IFERROR((K904-J904)/J904,"–")</f>
        <v>0.98901408450704253</v>
      </c>
      <c r="O904" s="24" cm="1">
        <f t="array" ref="O904">IF(D904=0,0,L904-K904)</f>
        <v>67.492760624999192</v>
      </c>
      <c r="P904" s="23"/>
      <c r="Q904" s="27"/>
    </row>
    <row r="905" spans="1:17" ht="22.5" customHeight="1">
      <c r="A905" s="16" t="s">
        <v>174</v>
      </c>
      <c r="B905" s="28">
        <v>44475</v>
      </c>
      <c r="C905" s="36">
        <v>0.70220000000000005</v>
      </c>
      <c r="D905" s="36">
        <v>0.71499999999999997</v>
      </c>
      <c r="E905" s="30" cm="1">
        <f t="array" ref="E905">IF(D905="","",D905-C905)</f>
        <v>1.2799999999999923E-2</v>
      </c>
      <c r="F905" s="31" cm="1">
        <f t="array" ref="F905">IF(D905=0,"",(D905-C905)/C905)</f>
        <v>1.822842495015654E-2</v>
      </c>
      <c r="G905" s="32">
        <v>8381.2000000000007</v>
      </c>
      <c r="H905" s="10">
        <v>1</v>
      </c>
      <c r="I905" s="11" cm="1">
        <f t="array" ref="I905">IF(D905="","",(G905*C905)*0.00075)</f>
        <v>4.4139589800000003</v>
      </c>
      <c r="J905" s="11" cm="1">
        <f t="array" ref="J905">IF(D905="","",(G905*D905)*0.00075)</f>
        <v>4.4944185000000001</v>
      </c>
      <c r="K905" s="33" cm="1">
        <f t="array" ref="K905">IF(D905="","",J905+I905)</f>
        <v>8.9083774800000004</v>
      </c>
      <c r="L905" s="33" cm="1">
        <f t="array" ref="L905">IF(D905=0,0,(D905-C905)*G905)</f>
        <v>107.27935999999936</v>
      </c>
      <c r="M905" s="12">
        <v>5773.5048614999996</v>
      </c>
      <c r="N905" s="34" cm="1">
        <f t="array" ref="N905">IFERROR((K905-J905)/J905,"–")</f>
        <v>0.98209790209790215</v>
      </c>
      <c r="O905" s="33" cm="1">
        <f t="array" ref="O905">IF(D905=0,0,L905-K905)</f>
        <v>98.370982519999359</v>
      </c>
      <c r="P905" s="11"/>
      <c r="Q905" s="35"/>
    </row>
    <row r="906" spans="1:17" ht="22.5" customHeight="1">
      <c r="A906" s="16" t="s">
        <v>174</v>
      </c>
      <c r="B906" s="17">
        <v>44475</v>
      </c>
      <c r="C906" s="37">
        <v>0.70220000000000005</v>
      </c>
      <c r="D906" s="37">
        <v>0.71099999999999997</v>
      </c>
      <c r="E906" s="19" cm="1">
        <f t="array" ref="E906">IF(D906="","",D906-C906)</f>
        <v>8.799999999999919E-3</v>
      </c>
      <c r="F906" s="20" cm="1">
        <f t="array" ref="F906">IF(D906=0,"",(D906-C906)/C906)</f>
        <v>1.2532042153232581E-2</v>
      </c>
      <c r="G906" s="21">
        <v>1631.3</v>
      </c>
      <c r="H906" s="22">
        <v>1</v>
      </c>
      <c r="I906" s="23" cm="1">
        <f t="array" ref="I906">IF(D906="","",(G906*C906)*0.00075)</f>
        <v>0.85912414500000012</v>
      </c>
      <c r="J906" s="23" cm="1">
        <f t="array" ref="J906">IF(D906="","",(G906*D906)*0.00075)</f>
        <v>0.86989072499999998</v>
      </c>
      <c r="K906" s="24" cm="1">
        <f t="array" ref="K906">IF(D906="","",J906+I906)</f>
        <v>1.7290148700000001</v>
      </c>
      <c r="L906" s="24" cm="1">
        <f t="array" ref="L906">IF(D906=0,0,(D906-C906)*G906)</f>
        <v>14.355439999999868</v>
      </c>
      <c r="M906" s="25">
        <v>1130.2735292750001</v>
      </c>
      <c r="N906" s="26" cm="1">
        <f t="array" ref="N906">IFERROR((K906-J906)/J906,"–")</f>
        <v>0.98762306610407891</v>
      </c>
      <c r="O906" s="24" cm="1">
        <f t="array" ref="O906">IF(D906=0,0,L906-K906)</f>
        <v>12.626425129999868</v>
      </c>
      <c r="P906" s="23"/>
      <c r="Q906" s="27"/>
    </row>
    <row r="907" spans="1:17" ht="22.5" customHeight="1">
      <c r="A907" s="16" t="s">
        <v>146</v>
      </c>
      <c r="B907" s="28">
        <v>44475</v>
      </c>
      <c r="C907" s="36">
        <v>1.9210000000000001E-2</v>
      </c>
      <c r="D907" s="36">
        <v>1.9699999999999999E-2</v>
      </c>
      <c r="E907" s="30" cm="1">
        <f t="array" ref="E907">IF(D907="","",D907-C907)</f>
        <v>4.8999999999999738E-4</v>
      </c>
      <c r="F907" s="31" cm="1">
        <f t="array" ref="F907">IF(D907=0,"",(D907-C907)/C907)</f>
        <v>2.5507548152004025E-2</v>
      </c>
      <c r="G907" s="32">
        <v>351274.2</v>
      </c>
      <c r="H907" s="10">
        <v>1</v>
      </c>
      <c r="I907" s="11" cm="1">
        <f t="array" ref="I907">IF(D907="","",(G907*C907)*0.00075)</f>
        <v>5.0609830365000006</v>
      </c>
      <c r="J907" s="11" cm="1">
        <f t="array" ref="J907">IF(D907="","",(G907*D907)*0.00075)</f>
        <v>5.1900763049999998</v>
      </c>
      <c r="K907" s="33" cm="1">
        <f t="array" ref="K907">IF(D907="","",J907+I907)</f>
        <v>10.2510593415</v>
      </c>
      <c r="L907" s="33" cm="1">
        <f t="array" ref="L907">IF(D907=0,0,(D907-C907)*G907)</f>
        <v>172.12435799999909</v>
      </c>
      <c r="M907" s="12">
        <v>6570.6629476950002</v>
      </c>
      <c r="N907" s="34" cm="1">
        <f t="array" ref="N907">IFERROR((K907-J907)/J907,"–")</f>
        <v>0.97512690355329945</v>
      </c>
      <c r="O907" s="33" cm="1">
        <f t="array" ref="O907">IF(D907=0,0,L907-K907)</f>
        <v>161.8732986584991</v>
      </c>
      <c r="P907" s="11"/>
      <c r="Q907" s="35"/>
    </row>
    <row r="908" spans="1:17" ht="22.5" customHeight="1">
      <c r="A908" s="16" t="s">
        <v>146</v>
      </c>
      <c r="B908" s="17">
        <v>44475</v>
      </c>
      <c r="C908" s="37">
        <v>1.9210000000000001E-2</v>
      </c>
      <c r="D908" s="37">
        <v>1.9599999999999999E-2</v>
      </c>
      <c r="E908" s="19" cm="1">
        <f t="array" ref="E908">IF(D908="","",D908-C908)</f>
        <v>3.8999999999999799E-4</v>
      </c>
      <c r="F908" s="20" cm="1">
        <f t="array" ref="F908">IF(D908=0,"",(D908-C908)/C908)</f>
        <v>2.0301926080166472E-2</v>
      </c>
      <c r="G908" s="21">
        <v>737101</v>
      </c>
      <c r="H908" s="22">
        <v>1</v>
      </c>
      <c r="I908" s="23" cm="1">
        <f t="array" ref="I908">IF(D908="","",(G908*C908)*0.00075)</f>
        <v>10.619782657500002</v>
      </c>
      <c r="J908" s="23" cm="1">
        <f t="array" ref="J908">IF(D908="","",(G908*D908)*0.00075)</f>
        <v>10.835384700000001</v>
      </c>
      <c r="K908" s="24" cm="1">
        <f t="array" ref="K908">IF(D908="","",J908+I908)</f>
        <v>21.455167357500002</v>
      </c>
      <c r="L908" s="24" cm="1">
        <f t="array" ref="L908">IF(D908=0,0,(D908-C908)*G908)</f>
        <v>287.4693899999985</v>
      </c>
      <c r="M908" s="25">
        <v>13861.405435299999</v>
      </c>
      <c r="N908" s="26" cm="1">
        <f t="array" ref="N908">IFERROR((K908-J908)/J908,"–")</f>
        <v>0.98010204081632668</v>
      </c>
      <c r="O908" s="24" cm="1">
        <f t="array" ref="O908">IF(D908=0,0,L908-K908)</f>
        <v>266.01422264249851</v>
      </c>
      <c r="P908" s="23"/>
      <c r="Q908" s="27"/>
    </row>
    <row r="909" spans="1:17" ht="22.5" customHeight="1">
      <c r="A909" s="16" t="s">
        <v>146</v>
      </c>
      <c r="B909" s="28">
        <v>44475</v>
      </c>
      <c r="C909" s="36">
        <v>1.9210000000000001E-2</v>
      </c>
      <c r="D909" s="36">
        <v>1.9650000000000001E-2</v>
      </c>
      <c r="E909" s="30" cm="1">
        <f t="array" ref="E909">IF(D909="","",D909-C909)</f>
        <v>4.3999999999999942E-4</v>
      </c>
      <c r="F909" s="31" cm="1">
        <f t="array" ref="F909">IF(D909=0,"",(D909-C909)/C909)</f>
        <v>2.2904737116085341E-2</v>
      </c>
      <c r="G909" s="32">
        <v>316721.59999999998</v>
      </c>
      <c r="H909" s="10">
        <v>1</v>
      </c>
      <c r="I909" s="11" cm="1">
        <f t="array" ref="I909">IF(D909="","",(G909*C909)*0.00075)</f>
        <v>4.5631664519999999</v>
      </c>
      <c r="J909" s="11" cm="1">
        <f t="array" ref="J909">IF(D909="","",(G909*D909)*0.00075)</f>
        <v>4.6676845799999995</v>
      </c>
      <c r="K909" s="33" cm="1">
        <f t="array" ref="K909">IF(D909="","",J909+I909)</f>
        <v>9.2308510320000003</v>
      </c>
      <c r="L909" s="33" cm="1">
        <f t="array" ref="L909">IF(D909=0,0,(D909-C909)*G909)</f>
        <v>139.35750399999981</v>
      </c>
      <c r="M909" s="12">
        <v>5940.1967474200001</v>
      </c>
      <c r="N909" s="34" cm="1">
        <f t="array" ref="N909">IFERROR((K909-J909)/J909,"–")</f>
        <v>0.97760814249363892</v>
      </c>
      <c r="O909" s="33" cm="1">
        <f t="array" ref="O909">IF(D909=0,0,L909-K909)</f>
        <v>130.1266529679998</v>
      </c>
      <c r="P909" s="11"/>
      <c r="Q909" s="35"/>
    </row>
    <row r="910" spans="1:17" ht="22.5" customHeight="1">
      <c r="A910" s="16" t="s">
        <v>77</v>
      </c>
      <c r="B910" s="17">
        <v>44475</v>
      </c>
      <c r="C910" s="37">
        <v>0.64870000000000005</v>
      </c>
      <c r="D910" s="37">
        <v>0.64900000000000002</v>
      </c>
      <c r="E910" s="19" cm="1">
        <f t="array" ref="E910">IF(D910="","",D910-C910)</f>
        <v>2.9999999999996696E-4</v>
      </c>
      <c r="F910" s="20" cm="1">
        <f t="array" ref="F910">IF(D910=0,"",(D910-C910)/C910)</f>
        <v>4.6246338831504075E-4</v>
      </c>
      <c r="G910" s="21">
        <v>42976</v>
      </c>
      <c r="H910" s="22">
        <v>1</v>
      </c>
      <c r="I910" s="23" cm="1">
        <f t="array" ref="I910">IF(D910="","",(G910*C910)*0.00075)</f>
        <v>20.908898400000002</v>
      </c>
      <c r="J910" s="23" cm="1">
        <f t="array" ref="J910">IF(D910="","",(G910*D910)*0.00075)</f>
        <v>20.918568000000004</v>
      </c>
      <c r="K910" s="24" cm="1">
        <f t="array" ref="K910">IF(D910="","",J910+I910)</f>
        <v>41.827466400000006</v>
      </c>
      <c r="L910" s="24" cm="1">
        <f t="array" ref="L910">IF(D910=0,0,(D910-C910)*G910)</f>
        <v>12.89279999999858</v>
      </c>
      <c r="M910" s="25">
        <v>27844.719831999999</v>
      </c>
      <c r="N910" s="26" cm="1">
        <f t="array" ref="N910">IFERROR((K910-J910)/J910,"–")</f>
        <v>0.99953775038520787</v>
      </c>
      <c r="O910" s="24" cm="1">
        <f t="array" ref="O910">IF(D910=0,0,L910-K910)</f>
        <v>-28.934666400001426</v>
      </c>
      <c r="P910" s="23"/>
      <c r="Q910" s="27"/>
    </row>
    <row r="911" spans="1:17" ht="22.5" customHeight="1">
      <c r="A911" s="16" t="s">
        <v>77</v>
      </c>
      <c r="B911" s="28">
        <v>44475</v>
      </c>
      <c r="C911" s="36">
        <v>0.64870000000000005</v>
      </c>
      <c r="D911" s="36">
        <v>0.64500000000000002</v>
      </c>
      <c r="E911" s="30" cm="1">
        <f t="array" ref="E911">IF(D911="","",D911-C911)</f>
        <v>-3.7000000000000366E-3</v>
      </c>
      <c r="F911" s="31" cm="1">
        <f t="array" ref="F911">IF(D911=0,"",(D911-C911)/C911)</f>
        <v>-5.703715122552854E-3</v>
      </c>
      <c r="G911" s="32">
        <v>7893</v>
      </c>
      <c r="H911" s="10">
        <v>1</v>
      </c>
      <c r="I911" s="11" cm="1">
        <f t="array" ref="I911">IF(D911="","",(G911*C911)*0.00075)</f>
        <v>3.8401418250000003</v>
      </c>
      <c r="J911" s="11" cm="1">
        <f t="array" ref="J911">IF(D911="","",(G911*D911)*0.00075)</f>
        <v>3.8182387500000003</v>
      </c>
      <c r="K911" s="33" cm="1">
        <f t="array" ref="K911">IF(D911="","",J911+I911)</f>
        <v>7.6583805750000007</v>
      </c>
      <c r="L911" s="33" cm="1">
        <f t="array" ref="L911">IF(D911=0,0,(D911-C911)*G911)</f>
        <v>-29.204100000000288</v>
      </c>
      <c r="M911" s="12">
        <v>5145.5749612500003</v>
      </c>
      <c r="N911" s="34" cm="1">
        <f t="array" ref="N911">IFERROR((K911-J911)/J911,"–")</f>
        <v>1.0057364341085271</v>
      </c>
      <c r="O911" s="33" cm="1">
        <f t="array" ref="O911">IF(D911=0,0,L911-K911)</f>
        <v>-36.862480575000291</v>
      </c>
      <c r="P911" s="11"/>
      <c r="Q911" s="35"/>
    </row>
    <row r="912" spans="1:17" ht="22.5" customHeight="1">
      <c r="A912" s="16" t="s">
        <v>197</v>
      </c>
      <c r="B912" s="17">
        <v>44475</v>
      </c>
      <c r="C912" s="37">
        <v>1.05</v>
      </c>
      <c r="D912" s="37">
        <v>1.048</v>
      </c>
      <c r="E912" s="19" cm="1">
        <f t="array" ref="E912">IF(D912="","",D912-C912)</f>
        <v>-2.0000000000000018E-3</v>
      </c>
      <c r="F912" s="20" cm="1">
        <f t="array" ref="F912">IF(D912=0,"",(D912-C912)/C912)</f>
        <v>-1.9047619047619063E-3</v>
      </c>
      <c r="G912" s="21">
        <v>21358</v>
      </c>
      <c r="H912" s="22">
        <v>1</v>
      </c>
      <c r="I912" s="23" cm="1">
        <f t="array" ref="I912">IF(D912="","",(G912*C912)*0.00075)</f>
        <v>16.819425000000003</v>
      </c>
      <c r="J912" s="23" cm="1">
        <f t="array" ref="J912">IF(D912="","",(G912*D912)*0.00075)</f>
        <v>16.787388</v>
      </c>
      <c r="K912" s="24" cm="1">
        <f t="array" ref="K912">IF(D912="","",J912+I912)</f>
        <v>33.606813000000002</v>
      </c>
      <c r="L912" s="24" cm="1">
        <f t="array" ref="L912">IF(D912=0,0,(D912-C912)*G912)</f>
        <v>-42.716000000000037</v>
      </c>
      <c r="M912" s="25">
        <v>22451.828612000001</v>
      </c>
      <c r="N912" s="26" cm="1">
        <f t="array" ref="N912">IFERROR((K912-J912)/J912,"–")</f>
        <v>1.001908396946565</v>
      </c>
      <c r="O912" s="24" cm="1">
        <f t="array" ref="O912">IF(D912=0,0,L912-K912)</f>
        <v>-76.322813000000039</v>
      </c>
      <c r="P912" s="23"/>
      <c r="Q912" s="27"/>
    </row>
    <row r="913" spans="1:17" ht="22.5" customHeight="1">
      <c r="A913" s="16" t="s">
        <v>197</v>
      </c>
      <c r="B913" s="28">
        <v>44475</v>
      </c>
      <c r="C913" s="36">
        <v>1.05</v>
      </c>
      <c r="D913" s="36">
        <v>1.05</v>
      </c>
      <c r="E913" s="30" cm="1">
        <f t="array" ref="E913">IF(D913="","",D913-C913)</f>
        <v>0</v>
      </c>
      <c r="F913" s="31" cm="1">
        <f t="array" ref="F913">IF(D913=0,"",(D913-C913)/C913)</f>
        <v>0</v>
      </c>
      <c r="G913" s="32">
        <v>2446</v>
      </c>
      <c r="H913" s="10">
        <v>1</v>
      </c>
      <c r="I913" s="11" cm="1">
        <f t="array" ref="I913">IF(D913="","",(G913*C913)*0.00075)</f>
        <v>1.9262250000000001</v>
      </c>
      <c r="J913" s="11" cm="1">
        <f t="array" ref="J913">IF(D913="","",(G913*D913)*0.00075)</f>
        <v>1.9262250000000001</v>
      </c>
      <c r="K913" s="33" cm="1">
        <f t="array" ref="K913">IF(D913="","",J913+I913)</f>
        <v>3.8524500000000002</v>
      </c>
      <c r="L913" s="33" cm="1">
        <f t="array" ref="L913">IF(D913=0,0,(D913-C913)*G913)</f>
        <v>0</v>
      </c>
      <c r="M913" s="12">
        <v>2566.373775</v>
      </c>
      <c r="N913" s="34" cm="1">
        <f t="array" ref="N913">IFERROR((K913-J913)/J913,"–")</f>
        <v>1</v>
      </c>
      <c r="O913" s="33" cm="1">
        <f t="array" ref="O913">IF(D913=0,0,L913-K913)</f>
        <v>-3.8524500000000002</v>
      </c>
      <c r="P913" s="11"/>
      <c r="Q913" s="35"/>
    </row>
    <row r="914" spans="1:17" ht="22.5" customHeight="1">
      <c r="A914" s="16" t="s">
        <v>151</v>
      </c>
      <c r="B914" s="17">
        <v>44476</v>
      </c>
      <c r="C914" s="37">
        <v>1.224</v>
      </c>
      <c r="D914" s="37">
        <v>1.21</v>
      </c>
      <c r="E914" s="19" cm="1">
        <f t="array" ref="E914">IF(D914="","",D914-C914)</f>
        <v>-1.4000000000000012E-2</v>
      </c>
      <c r="F914" s="20" cm="1">
        <f t="array" ref="F914">IF(D914=0,"",(D914-C914)/C914)</f>
        <v>-1.1437908496732036E-2</v>
      </c>
      <c r="G914" s="21">
        <v>2287.5</v>
      </c>
      <c r="H914" s="22">
        <v>1</v>
      </c>
      <c r="I914" s="23" cm="1">
        <f t="array" ref="I914">IF(D914="","",(G914*C914)*0.00075)</f>
        <v>2.0999250000000003</v>
      </c>
      <c r="J914" s="23" cm="1">
        <f t="array" ref="J914">IF(D914="","",(G914*D914)*0.00075)</f>
        <v>2.0759062500000001</v>
      </c>
      <c r="K914" s="24" cm="1">
        <f t="array" ref="K914">IF(D914="","",J914+I914)</f>
        <v>4.1758312499999999</v>
      </c>
      <c r="L914" s="24" cm="1">
        <f t="array" ref="L914">IF(D914=0,0,(D914-C914)*G914)</f>
        <v>-32.025000000000027</v>
      </c>
      <c r="M914" s="25">
        <v>2829.8490937500001</v>
      </c>
      <c r="N914" s="26" cm="1">
        <f t="array" ref="N914">IFERROR((K914-J914)/J914,"–")</f>
        <v>1.0115702479338842</v>
      </c>
      <c r="O914" s="24" cm="1">
        <f t="array" ref="O914">IF(D914=0,0,L914-K914)</f>
        <v>-36.200831250000029</v>
      </c>
      <c r="P914" s="23"/>
      <c r="Q914" s="27"/>
    </row>
    <row r="915" spans="1:17" ht="22.5" customHeight="1">
      <c r="A915" s="16" t="s">
        <v>62</v>
      </c>
      <c r="B915" s="28">
        <v>44476</v>
      </c>
      <c r="C915" s="36">
        <v>0.1908</v>
      </c>
      <c r="D915" s="36">
        <v>0.19070000000000001</v>
      </c>
      <c r="E915" s="30" cm="1">
        <f t="array" ref="E915">IF(D915="","",D915-C915)</f>
        <v>-9.9999999999988987E-5</v>
      </c>
      <c r="F915" s="31" cm="1">
        <f t="array" ref="F915">IF(D915=0,"",(D915-C915)/C915)</f>
        <v>-5.2410901467499465E-4</v>
      </c>
      <c r="G915" s="32">
        <v>29240</v>
      </c>
      <c r="H915" s="10">
        <v>1</v>
      </c>
      <c r="I915" s="11" cm="1">
        <f t="array" ref="I915">IF(D915="","",(G915*C915)*0.00075)</f>
        <v>4.1842440000000005</v>
      </c>
      <c r="J915" s="11" cm="1">
        <f t="array" ref="J915">IF(D915="","",(G915*D915)*0.00075)</f>
        <v>4.1820510000000004</v>
      </c>
      <c r="K915" s="33" cm="1">
        <f t="array" ref="K915">IF(D915="","",J915+I915)</f>
        <v>8.3662950000000009</v>
      </c>
      <c r="L915" s="33" cm="1">
        <f t="array" ref="L915">IF(D915=0,0,(D915-C915)*G915)</f>
        <v>-2.923999999999678</v>
      </c>
      <c r="M915" s="12">
        <v>5577.7339490000004</v>
      </c>
      <c r="N915" s="34" cm="1">
        <f t="array" ref="N915">IFERROR((K915-J915)/J915,"–")</f>
        <v>1.0005243838489775</v>
      </c>
      <c r="O915" s="33" cm="1">
        <f t="array" ref="O915">IF(D915=0,0,L915-K915)</f>
        <v>-11.290294999999679</v>
      </c>
      <c r="P915" s="11"/>
      <c r="Q915" s="35"/>
    </row>
    <row r="916" spans="1:17" ht="22.5" customHeight="1">
      <c r="A916" s="16" t="s">
        <v>54</v>
      </c>
      <c r="B916" s="52">
        <v>44477</v>
      </c>
      <c r="C916" s="37">
        <v>0.77869999999999995</v>
      </c>
      <c r="D916" s="37">
        <v>0.78120000000000001</v>
      </c>
      <c r="E916" s="19" cm="1">
        <f t="array" ref="E916">IF(D916="","",D916-C916)</f>
        <v>2.5000000000000577E-3</v>
      </c>
      <c r="F916" s="20" cm="1">
        <f t="array" ref="F916">IF(D916=0,"",(D916-C916)/C916)</f>
        <v>3.2104790034673918E-3</v>
      </c>
      <c r="G916" s="21">
        <v>17976</v>
      </c>
      <c r="H916" s="22">
        <v>1</v>
      </c>
      <c r="I916" s="23" cm="1">
        <f t="array" ref="I916">IF(D916="","",(G916*C916)*0.00075)</f>
        <v>10.4984334</v>
      </c>
      <c r="J916" s="23" cm="1">
        <f t="array" ref="J916">IF(D916="","",(G916*D916)*0.00075)</f>
        <v>10.532138400000001</v>
      </c>
      <c r="K916" s="24" cm="1">
        <f t="array" ref="K916">IF(D916="","",J916+I916)</f>
        <v>21.030571800000001</v>
      </c>
      <c r="L916" s="24" cm="1">
        <f t="array" ref="L916">IF(D916=0,0,(D916-C916)*G916)</f>
        <v>44.940000000001035</v>
      </c>
      <c r="M916" s="25">
        <v>13942.4390616</v>
      </c>
      <c r="N916" s="26" cm="1">
        <f t="array" ref="N916">IFERROR((K916-J916)/J916,"–")</f>
        <v>0.99679979518689188</v>
      </c>
      <c r="O916" s="24" cm="1">
        <f t="array" ref="O916">IF(D916=0,0,L916-K916)</f>
        <v>23.909428200001035</v>
      </c>
      <c r="P916" s="23"/>
      <c r="Q916" s="27"/>
    </row>
    <row r="917" spans="1:17" ht="22.5" customHeight="1">
      <c r="A917" s="16" t="s">
        <v>54</v>
      </c>
      <c r="B917" s="53">
        <v>44477</v>
      </c>
      <c r="C917" s="36">
        <v>0.77869999999999995</v>
      </c>
      <c r="D917" s="36">
        <v>0.78169999999999995</v>
      </c>
      <c r="E917" s="30" cm="1">
        <f t="array" ref="E917">IF(D917="","",D917-C917)</f>
        <v>3.0000000000000027E-3</v>
      </c>
      <c r="F917" s="31" cm="1">
        <f t="array" ref="F917">IF(D917=0,"",(D917-C917)/C917)</f>
        <v>3.8525748041607845E-3</v>
      </c>
      <c r="G917" s="32">
        <v>17976</v>
      </c>
      <c r="H917" s="10">
        <v>1</v>
      </c>
      <c r="I917" s="11" cm="1">
        <f t="array" ref="I917">IF(D917="","",(G917*C917)*0.00075)</f>
        <v>10.4984334</v>
      </c>
      <c r="J917" s="11" cm="1">
        <f t="array" ref="J917">IF(D917="","",(G917*D917)*0.00075)</f>
        <v>10.538879399999999</v>
      </c>
      <c r="K917" s="33" cm="1">
        <f t="array" ref="K917">IF(D917="","",J917+I917)</f>
        <v>21.037312799999999</v>
      </c>
      <c r="L917" s="33" cm="1">
        <f t="array" ref="L917">IF(D917=0,0,(D917-C917)*G917)</f>
        <v>53.928000000000047</v>
      </c>
      <c r="M917" s="12">
        <v>13933.4443206</v>
      </c>
      <c r="N917" s="34" cm="1">
        <f t="array" ref="N917">IFERROR((K917-J917)/J917,"–")</f>
        <v>0.99616221056671361</v>
      </c>
      <c r="O917" s="33" cm="1">
        <f t="array" ref="O917">IF(D917=0,0,L917-K917)</f>
        <v>32.890687200000045</v>
      </c>
      <c r="P917" s="11"/>
      <c r="Q917" s="35"/>
    </row>
    <row r="918" spans="1:17" ht="22.5" customHeight="1">
      <c r="A918" s="16" t="s">
        <v>187</v>
      </c>
      <c r="B918" s="52">
        <v>44477</v>
      </c>
      <c r="C918" s="37">
        <v>81.84</v>
      </c>
      <c r="D918" s="37">
        <v>82.27</v>
      </c>
      <c r="E918" s="19" cm="1">
        <f t="array" ref="E918">IF(D918="","",D918-C918)</f>
        <v>0.42999999999999261</v>
      </c>
      <c r="F918" s="20" cm="1">
        <f t="array" ref="F918">IF(D918=0,"",(D918-C918)/C918)</f>
        <v>5.2541544477027443E-3</v>
      </c>
      <c r="G918" s="21">
        <v>171.05</v>
      </c>
      <c r="H918" s="22">
        <v>1</v>
      </c>
      <c r="I918" s="23" cm="1">
        <f t="array" ref="I918">IF(D918="","",(G918*C918)*0.00075)</f>
        <v>10.499049000000001</v>
      </c>
      <c r="J918" s="23" cm="1">
        <f t="array" ref="J918">IF(D918="","",(G918*D918)*0.00075)</f>
        <v>10.554212625</v>
      </c>
      <c r="K918" s="24" cm="1">
        <f t="array" ref="K918">IF(D918="","",J918+I918)</f>
        <v>21.053261625000001</v>
      </c>
      <c r="L918" s="24" cm="1">
        <f t="array" ref="L918">IF(D918=0,0,(D918-C918)*G918)</f>
        <v>73.55149999999874</v>
      </c>
      <c r="M918" s="25">
        <v>13914.626287375</v>
      </c>
      <c r="N918" s="26" cm="1">
        <f t="array" ref="N918">IFERROR((K918-J918)/J918,"–")</f>
        <v>0.9947733074024554</v>
      </c>
      <c r="O918" s="24" cm="1">
        <f t="array" ref="O918">IF(D918=0,0,L918-K918)</f>
        <v>52.498238374998735</v>
      </c>
      <c r="P918" s="23"/>
      <c r="Q918" s="27"/>
    </row>
    <row r="919" spans="1:17" ht="22.5" customHeight="1">
      <c r="A919" s="16" t="s">
        <v>187</v>
      </c>
      <c r="B919" s="53">
        <v>44477</v>
      </c>
      <c r="C919" s="36">
        <v>81.84</v>
      </c>
      <c r="D919" s="36">
        <v>82.65</v>
      </c>
      <c r="E919" s="30" cm="1">
        <f t="array" ref="E919">IF(D919="","",D919-C919)</f>
        <v>0.81000000000000227</v>
      </c>
      <c r="F919" s="31" cm="1">
        <f t="array" ref="F919">IF(D919=0,"",(D919-C919)/C919)</f>
        <v>9.8973607038123444E-3</v>
      </c>
      <c r="G919" s="32">
        <v>171.06</v>
      </c>
      <c r="H919" s="10">
        <v>1</v>
      </c>
      <c r="I919" s="11" cm="1">
        <f t="array" ref="I919">IF(D919="","",(G919*C919)*0.00075)</f>
        <v>10.499662799999999</v>
      </c>
      <c r="J919" s="11" cm="1">
        <f t="array" ref="J919">IF(D919="","",(G919*D919)*0.00075)</f>
        <v>10.60358175</v>
      </c>
      <c r="K919" s="33" cm="1">
        <f t="array" ref="K919">IF(D919="","",J919+I919)</f>
        <v>21.103244549999999</v>
      </c>
      <c r="L919" s="33" cm="1">
        <f t="array" ref="L919">IF(D919=0,0,(D919-C919)*G919)</f>
        <v>138.55860000000038</v>
      </c>
      <c r="M919" s="12">
        <v>13850.38821825</v>
      </c>
      <c r="N919" s="34" cm="1">
        <f t="array" ref="N919">IFERROR((K919-J919)/J919,"–")</f>
        <v>0.99019963702359337</v>
      </c>
      <c r="O919" s="33" cm="1">
        <f t="array" ref="O919">IF(D919=0,0,L919-K919)</f>
        <v>117.45535545000038</v>
      </c>
      <c r="P919" s="11"/>
      <c r="Q919" s="35"/>
    </row>
    <row r="920" spans="1:17" ht="22.5" customHeight="1">
      <c r="A920" s="16" t="s">
        <v>47</v>
      </c>
      <c r="B920" s="52">
        <v>44478</v>
      </c>
      <c r="C920" s="37">
        <v>16.45</v>
      </c>
      <c r="D920" s="37">
        <v>17.02</v>
      </c>
      <c r="E920" s="19" cm="1">
        <f t="array" ref="E920">IF(D920="","",D920-C920)</f>
        <v>0.57000000000000028</v>
      </c>
      <c r="F920" s="20" cm="1">
        <f t="array" ref="F920">IF(D920=0,"",(D920-C920)/C920)</f>
        <v>3.4650455927051689E-2</v>
      </c>
      <c r="G920" s="21">
        <v>175</v>
      </c>
      <c r="H920" s="22">
        <v>1</v>
      </c>
      <c r="I920" s="23" cm="1">
        <f t="array" ref="I920">IF(D920="","",(G920*C920)*0.00075)</f>
        <v>2.1590625000000001</v>
      </c>
      <c r="J920" s="23" cm="1">
        <f t="array" ref="J920">IF(D920="","",(G920*D920)*0.00075)</f>
        <v>2.2338749999999998</v>
      </c>
      <c r="K920" s="24" cm="1">
        <f t="array" ref="K920">IF(D920="","",J920+I920)</f>
        <v>4.3929375000000004</v>
      </c>
      <c r="L920" s="24" cm="1">
        <f t="array" ref="L920">IF(D920=0,0,(D920-C920)*G920)</f>
        <v>99.750000000000057</v>
      </c>
      <c r="M920" s="25">
        <v>2776.7661250000001</v>
      </c>
      <c r="N920" s="26" cm="1">
        <f t="array" ref="N920">IFERROR((K920-J920)/J920,"–")</f>
        <v>0.96650998824911905</v>
      </c>
      <c r="O920" s="24" cm="1">
        <f t="array" ref="O920">IF(D920=0,0,L920-K920)</f>
        <v>95.357062500000055</v>
      </c>
      <c r="P920" s="23"/>
      <c r="Q920" s="27"/>
    </row>
    <row r="921" spans="1:17" ht="22.5" customHeight="1">
      <c r="A921" s="16" t="s">
        <v>18</v>
      </c>
      <c r="B921" s="53">
        <v>44478</v>
      </c>
      <c r="C921" s="36">
        <v>10.5</v>
      </c>
      <c r="D921" s="36">
        <v>10.58</v>
      </c>
      <c r="E921" s="30" cm="1">
        <f t="array" ref="E921">IF(D921="","",D921-C921)</f>
        <v>8.0000000000000071E-2</v>
      </c>
      <c r="F921" s="31" cm="1">
        <f t="array" ref="F921">IF(D921=0,"",(D921-C921)/C921)</f>
        <v>7.619047619047626E-3</v>
      </c>
      <c r="G921" s="32">
        <v>1333.3</v>
      </c>
      <c r="H921" s="10">
        <v>1</v>
      </c>
      <c r="I921" s="11" cm="1">
        <f t="array" ref="I921">IF(D921="","",(G921*C921)*0.00075)</f>
        <v>10.4997375</v>
      </c>
      <c r="J921" s="11" cm="1">
        <f t="array" ref="J921">IF(D921="","",(G921*D921)*0.00075)</f>
        <v>10.5797355</v>
      </c>
      <c r="K921" s="33" cm="1">
        <f t="array" ref="K921">IF(D921="","",J921+I921)</f>
        <v>21.079473</v>
      </c>
      <c r="L921" s="33" cm="1">
        <f t="array" ref="L921">IF(D921=0,0,(D921-C921)*G921)</f>
        <v>106.66400000000009</v>
      </c>
      <c r="M921" s="12">
        <v>13882.406264499999</v>
      </c>
      <c r="N921" s="34" cm="1">
        <f t="array" ref="N921">IFERROR((K921-J921)/J921,"–")</f>
        <v>0.99243856332703217</v>
      </c>
      <c r="O921" s="33" cm="1">
        <f t="array" ref="O921">IF(D921=0,0,L921-K921)</f>
        <v>85.584527000000094</v>
      </c>
      <c r="P921" s="11"/>
      <c r="Q921" s="35"/>
    </row>
    <row r="922" spans="1:17" ht="22.5" customHeight="1">
      <c r="A922" s="16" t="s">
        <v>18</v>
      </c>
      <c r="B922" s="52">
        <v>44478</v>
      </c>
      <c r="C922" s="37">
        <v>10.5</v>
      </c>
      <c r="D922" s="37">
        <v>10.6</v>
      </c>
      <c r="E922" s="19" cm="1">
        <f t="array" ref="E922">IF(D922="","",D922-C922)</f>
        <v>9.9999999999999645E-2</v>
      </c>
      <c r="F922" s="20" cm="1">
        <f t="array" ref="F922">IF(D922=0,"",(D922-C922)/C922)</f>
        <v>9.52380952380949E-3</v>
      </c>
      <c r="G922" s="21">
        <v>217.1</v>
      </c>
      <c r="H922" s="22">
        <v>1</v>
      </c>
      <c r="I922" s="23" cm="1">
        <f t="array" ref="I922">IF(D922="","",(G922*C922)*0.00075)</f>
        <v>1.7096624999999999</v>
      </c>
      <c r="J922" s="23" cm="1">
        <f t="array" ref="J922">IF(D922="","",(G922*D922)*0.00075)</f>
        <v>1.7259449999999998</v>
      </c>
      <c r="K922" s="24" cm="1">
        <f t="array" ref="K922">IF(D922="","",J922+I922)</f>
        <v>3.4356074999999997</v>
      </c>
      <c r="L922" s="24" cm="1">
        <f t="array" ref="L922">IF(D922=0,0,(D922-C922)*G922)</f>
        <v>21.709999999999923</v>
      </c>
      <c r="M922" s="25">
        <v>2256.114055</v>
      </c>
      <c r="N922" s="26" cm="1">
        <f t="array" ref="N922">IFERROR((K922-J922)/J922,"–")</f>
        <v>0.99056603773584906</v>
      </c>
      <c r="O922" s="24" cm="1">
        <f t="array" ref="O922">IF(D922=0,0,L922-K922)</f>
        <v>18.274392499999923</v>
      </c>
      <c r="P922" s="23"/>
      <c r="Q922" s="27"/>
    </row>
    <row r="923" spans="1:17" ht="22.5" customHeight="1">
      <c r="A923" s="16" t="s">
        <v>18</v>
      </c>
      <c r="B923" s="53">
        <v>44478</v>
      </c>
      <c r="C923" s="36">
        <v>10.5</v>
      </c>
      <c r="D923" s="36">
        <v>10.5</v>
      </c>
      <c r="E923" s="30" cm="1">
        <f t="array" ref="E923">IF(D923="","",D923-C923)</f>
        <v>0</v>
      </c>
      <c r="F923" s="31" cm="1">
        <f t="array" ref="F923">IF(D923=0,"",(D923-C923)/C923)</f>
        <v>0</v>
      </c>
      <c r="G923" s="32">
        <v>558.70000000000005</v>
      </c>
      <c r="H923" s="10">
        <v>1</v>
      </c>
      <c r="I923" s="11" cm="1">
        <f t="array" ref="I923">IF(D923="","",(G923*C923)*0.00075)</f>
        <v>4.3997625000000005</v>
      </c>
      <c r="J923" s="11" cm="1">
        <f t="array" ref="J923">IF(D923="","",(G923*D923)*0.00075)</f>
        <v>4.3997625000000005</v>
      </c>
      <c r="K923" s="33" cm="1">
        <f t="array" ref="K923">IF(D923="","",J923+I923)</f>
        <v>8.7995250000000009</v>
      </c>
      <c r="L923" s="33" cm="1">
        <f t="array" ref="L923">IF(D923=0,0,(D923-C923)*G923)</f>
        <v>0</v>
      </c>
      <c r="M923" s="12">
        <v>5861.9502375000002</v>
      </c>
      <c r="N923" s="34" cm="1">
        <f t="array" ref="N923">IFERROR((K923-J923)/J923,"–")</f>
        <v>1</v>
      </c>
      <c r="O923" s="33" cm="1">
        <f t="array" ref="O923">IF(D923=0,0,L923-K923)</f>
        <v>-8.7995250000000009</v>
      </c>
      <c r="P923" s="11"/>
      <c r="Q923" s="35"/>
    </row>
    <row r="924" spans="1:17" ht="22.5" customHeight="1">
      <c r="A924" s="16" t="s">
        <v>18</v>
      </c>
      <c r="B924" s="52">
        <v>44478</v>
      </c>
      <c r="C924" s="37">
        <v>10.5</v>
      </c>
      <c r="D924" s="37">
        <v>10.776300000000001</v>
      </c>
      <c r="E924" s="19" cm="1">
        <f t="array" ref="E924">IF(D924="","",D924-C924)</f>
        <v>0.27630000000000088</v>
      </c>
      <c r="F924" s="20" cm="1">
        <f t="array" ref="F924">IF(D924=0,"",(D924-C924)/C924)</f>
        <v>2.6314285714285797E-2</v>
      </c>
      <c r="G924" s="21">
        <v>558.1</v>
      </c>
      <c r="H924" s="22">
        <v>1</v>
      </c>
      <c r="I924" s="23" cm="1">
        <f t="array" ref="I924">IF(D924="","",(G924*C924)*0.00075)</f>
        <v>4.3950374999999999</v>
      </c>
      <c r="J924" s="23" cm="1">
        <f t="array" ref="J924">IF(D924="","",(G924*D924)*0.00075)</f>
        <v>4.510689772500001</v>
      </c>
      <c r="K924" s="24" cm="1">
        <f t="array" ref="K924">IF(D924="","",J924+I924)</f>
        <v>8.9057272725000018</v>
      </c>
      <c r="L924" s="24" cm="1">
        <f t="array" ref="L924">IF(D924=0,0,(D924-C924)*G924)</f>
        <v>154.2030300000005</v>
      </c>
      <c r="M924" s="25">
        <v>5701.3362802274996</v>
      </c>
      <c r="N924" s="26" cm="1">
        <f t="array" ref="N924">IFERROR((K924-J924)/J924,"–")</f>
        <v>0.9743604019932629</v>
      </c>
      <c r="O924" s="24" cm="1">
        <f t="array" ref="O924">IF(D924=0,0,L924-K924)</f>
        <v>145.29730272750049</v>
      </c>
      <c r="P924" s="23"/>
      <c r="Q924" s="27"/>
    </row>
    <row r="925" spans="1:17" ht="22.5" customHeight="1">
      <c r="A925" s="16" t="s">
        <v>18</v>
      </c>
      <c r="B925" s="53">
        <v>44478</v>
      </c>
      <c r="C925" s="36">
        <v>10.71</v>
      </c>
      <c r="D925" s="36">
        <v>10.885</v>
      </c>
      <c r="E925" s="30" cm="1">
        <f t="array" ref="E925">IF(D925="","",D925-C925)</f>
        <v>0.17499999999999893</v>
      </c>
      <c r="F925" s="31" cm="1">
        <f t="array" ref="F925">IF(D925=0,"",(D925-C925)/C925)</f>
        <v>1.6339869281045652E-2</v>
      </c>
      <c r="G925" s="32">
        <v>349.9</v>
      </c>
      <c r="H925" s="10">
        <v>1</v>
      </c>
      <c r="I925" s="11" cm="1">
        <f t="array" ref="I925">IF(D925="","",(G925*C925)*0.00075)</f>
        <v>2.8105717500000003</v>
      </c>
      <c r="J925" s="11" cm="1">
        <f t="array" ref="J925">IF(D925="","",(G925*D925)*0.00075)</f>
        <v>2.8564961250000001</v>
      </c>
      <c r="K925" s="33" cm="1">
        <f t="array" ref="K925">IF(D925="","",J925+I925)</f>
        <v>5.6670678750000008</v>
      </c>
      <c r="L925" s="33" cm="1">
        <f t="array" ref="L925">IF(D925=0,0,(D925-C925)*G925)</f>
        <v>61.232499999999625</v>
      </c>
      <c r="M925" s="12">
        <v>3683.3400038750001</v>
      </c>
      <c r="N925" s="34" cm="1">
        <f t="array" ref="N925">IFERROR((K925-J925)/J925,"–")</f>
        <v>0.98392282958199384</v>
      </c>
      <c r="O925" s="33" cm="1">
        <f t="array" ref="O925">IF(D925=0,0,L925-K925)</f>
        <v>55.565432124999624</v>
      </c>
      <c r="P925" s="11"/>
      <c r="Q925" s="35"/>
    </row>
    <row r="926" spans="1:17" ht="22.5" customHeight="1">
      <c r="A926" s="16" t="s">
        <v>100</v>
      </c>
      <c r="B926" s="52">
        <v>44479</v>
      </c>
      <c r="C926" s="37">
        <v>0.97040000000000004</v>
      </c>
      <c r="D926" s="37">
        <v>0.97399999999999998</v>
      </c>
      <c r="E926" s="19" cm="1">
        <f t="array" ref="E926">IF(D926="","",D926-C926)</f>
        <v>3.5999999999999366E-3</v>
      </c>
      <c r="F926" s="20" cm="1">
        <f t="array" ref="F926">IF(D926=0,"",(D926-C926)/C926)</f>
        <v>3.7098103874690196E-3</v>
      </c>
      <c r="G926" s="21">
        <v>4122</v>
      </c>
      <c r="H926" s="22">
        <v>1</v>
      </c>
      <c r="I926" s="23" cm="1">
        <f t="array" ref="I926">IF(D926="","",(G926*C926)*0.00075)</f>
        <v>2.9999916</v>
      </c>
      <c r="J926" s="23" cm="1">
        <f t="array" ref="J926">IF(D926="","",(G926*D926)*0.00075)</f>
        <v>3.0111210000000002</v>
      </c>
      <c r="K926" s="24" cm="1">
        <f t="array" ref="K926">IF(D926="","",J926+I926)</f>
        <v>6.0111126000000006</v>
      </c>
      <c r="L926" s="24" cm="1">
        <f t="array" ref="L926">IF(D926=0,0,(D926-C926)*G926)</f>
        <v>14.839199999999739</v>
      </c>
      <c r="M926" s="25">
        <v>3982.1384790000002</v>
      </c>
      <c r="N926" s="26" cm="1">
        <f t="array" ref="N926">IFERROR((K926-J926)/J926,"–")</f>
        <v>0.9963039014373718</v>
      </c>
      <c r="O926" s="24" cm="1">
        <f t="array" ref="O926">IF(D926=0,0,L926-K926)</f>
        <v>8.8280873999997382</v>
      </c>
      <c r="P926" s="23"/>
      <c r="Q926" s="27"/>
    </row>
    <row r="927" spans="1:17" ht="22.5" customHeight="1">
      <c r="A927" s="16" t="s">
        <v>100</v>
      </c>
      <c r="B927" s="53">
        <v>44479</v>
      </c>
      <c r="C927" s="36">
        <v>0.97040000000000004</v>
      </c>
      <c r="D927" s="36">
        <v>0.98199999999999998</v>
      </c>
      <c r="E927" s="30" cm="1">
        <f t="array" ref="E927">IF(D927="","",D927-C927)</f>
        <v>1.1599999999999944E-2</v>
      </c>
      <c r="F927" s="31" cm="1">
        <f t="array" ref="F927">IF(D927=0,"",(D927-C927)/C927)</f>
        <v>1.1953833470733659E-2</v>
      </c>
      <c r="G927" s="32">
        <v>4122</v>
      </c>
      <c r="H927" s="10">
        <v>1</v>
      </c>
      <c r="I927" s="11" cm="1">
        <f t="array" ref="I927">IF(D927="","",(G927*C927)*0.00075)</f>
        <v>2.9999916</v>
      </c>
      <c r="J927" s="11" cm="1">
        <f t="array" ref="J927">IF(D927="","",(G927*D927)*0.00075)</f>
        <v>3.0358529999999999</v>
      </c>
      <c r="K927" s="33" cm="1">
        <f t="array" ref="K927">IF(D927="","",J927+I927)</f>
        <v>6.0358445999999999</v>
      </c>
      <c r="L927" s="33" cm="1">
        <f t="array" ref="L927">IF(D927=0,0,(D927-C927)*G927)</f>
        <v>47.81519999999977</v>
      </c>
      <c r="M927" s="12">
        <v>3949.1377470000002</v>
      </c>
      <c r="N927" s="34" cm="1">
        <f t="array" ref="N927">IFERROR((K927-J927)/J927,"–")</f>
        <v>0.98818737270875767</v>
      </c>
      <c r="O927" s="33" cm="1">
        <f t="array" ref="O927">IF(D927=0,0,L927-K927)</f>
        <v>41.779355399999773</v>
      </c>
      <c r="P927" s="11"/>
      <c r="Q927" s="35"/>
    </row>
    <row r="928" spans="1:17" ht="22.5" customHeight="1">
      <c r="A928" s="16" t="s">
        <v>191</v>
      </c>
      <c r="B928" s="52">
        <v>44479</v>
      </c>
      <c r="C928" s="37">
        <v>10.59</v>
      </c>
      <c r="D928" s="37">
        <v>10.27</v>
      </c>
      <c r="E928" s="19" cm="1">
        <f t="array" ref="E928">IF(D928="","",D928-C928)</f>
        <v>-0.32000000000000028</v>
      </c>
      <c r="F928" s="20" cm="1">
        <f t="array" ref="F928">IF(D928=0,"",(D928-C928)/C928)</f>
        <v>-3.0217186024551489E-2</v>
      </c>
      <c r="G928" s="21">
        <v>528.6</v>
      </c>
      <c r="H928" s="22">
        <v>1</v>
      </c>
      <c r="I928" s="23" cm="1">
        <f t="array" ref="I928">IF(D928="","",(G928*C928)*0.00075)</f>
        <v>4.1984054999999998</v>
      </c>
      <c r="J928" s="23" cm="1">
        <f t="array" ref="J928">IF(D928="","",(G928*D928)*0.00075)</f>
        <v>4.0715414999999995</v>
      </c>
      <c r="K928" s="24" cm="1">
        <f t="array" ref="K928">IF(D928="","",J928+I928)</f>
        <v>8.2699469999999984</v>
      </c>
      <c r="L928" s="24" cm="1">
        <f t="array" ref="L928">IF(D928=0,0,(D928-C928)*G928)</f>
        <v>-169.15200000000016</v>
      </c>
      <c r="M928" s="25">
        <v>5762.9544585000003</v>
      </c>
      <c r="N928" s="26" cm="1">
        <f t="array" ref="N928">IFERROR((K928-J928)/J928,"–")</f>
        <v>1.0311587147030183</v>
      </c>
      <c r="O928" s="24" cm="1">
        <f t="array" ref="O928">IF(D928=0,0,L928-K928)</f>
        <v>-177.42194700000016</v>
      </c>
      <c r="P928" s="23"/>
      <c r="Q928" s="27"/>
    </row>
    <row r="929" spans="1:17" ht="22.5" customHeight="1">
      <c r="A929" s="16" t="s">
        <v>143</v>
      </c>
      <c r="B929" s="53">
        <v>44480</v>
      </c>
      <c r="C929" s="36">
        <v>4.5</v>
      </c>
      <c r="D929" s="36">
        <v>4.5599999999999996</v>
      </c>
      <c r="E929" s="30" cm="1">
        <f t="array" ref="E929">IF(D929="","",D929-C929)</f>
        <v>5.9999999999999609E-2</v>
      </c>
      <c r="F929" s="31" cm="1">
        <f t="array" ref="F929">IF(D929=0,"",(D929-C929)/C929)</f>
        <v>1.3333333333333246E-2</v>
      </c>
      <c r="G929" s="32">
        <v>1666.2</v>
      </c>
      <c r="H929" s="10">
        <v>1</v>
      </c>
      <c r="I929" s="11" cm="1">
        <f t="array" ref="I929">IF(D929="","",(G929*C929)*0.00075)</f>
        <v>5.6234250000000001</v>
      </c>
      <c r="J929" s="11" cm="1">
        <f t="array" ref="J929">IF(D929="","",(G929*D929)*0.00075)</f>
        <v>5.698404</v>
      </c>
      <c r="K929" s="33" cm="1">
        <f t="array" ref="K929">IF(D929="","",J929+I929)</f>
        <v>11.321829000000001</v>
      </c>
      <c r="L929" s="33" cm="1">
        <f t="array" ref="L929">IF(D929=0,0,(D929-C929)*G929)</f>
        <v>99.971999999999355</v>
      </c>
      <c r="M929" s="12">
        <v>7392.2295960000001</v>
      </c>
      <c r="N929" s="34" cm="1">
        <f t="array" ref="N929">IFERROR((K929-J929)/J929,"–")</f>
        <v>0.98684210526315808</v>
      </c>
      <c r="O929" s="33" cm="1">
        <f t="array" ref="O929">IF(D929=0,0,L929-K929)</f>
        <v>88.650170999999347</v>
      </c>
      <c r="P929" s="11"/>
      <c r="Q929" s="35"/>
    </row>
    <row r="930" spans="1:17" ht="22.5" customHeight="1">
      <c r="A930" s="16" t="s">
        <v>143</v>
      </c>
      <c r="B930" s="52">
        <v>44480</v>
      </c>
      <c r="C930" s="37">
        <v>4.5</v>
      </c>
      <c r="D930" s="37">
        <v>4.5780000000000003</v>
      </c>
      <c r="E930" s="19" cm="1">
        <f t="array" ref="E930">IF(D930="","",D930-C930)</f>
        <v>7.8000000000000291E-2</v>
      </c>
      <c r="F930" s="20" cm="1">
        <f t="array" ref="F930">IF(D930=0,"",(D930-C930)/C930)</f>
        <v>1.7333333333333398E-2</v>
      </c>
      <c r="G930" s="21">
        <v>1249.5999999999999</v>
      </c>
      <c r="H930" s="22">
        <v>1</v>
      </c>
      <c r="I930" s="23" cm="1">
        <f t="array" ref="I930">IF(D930="","",(G930*C930)*0.00075)</f>
        <v>4.2173999999999996</v>
      </c>
      <c r="J930" s="23" cm="1">
        <f t="array" ref="J930">IF(D930="","",(G930*D930)*0.00075)</f>
        <v>4.2905016000000007</v>
      </c>
      <c r="K930" s="24" cm="1">
        <f t="array" ref="K930">IF(D930="","",J930+I930)</f>
        <v>8.5079016000000003</v>
      </c>
      <c r="L930" s="24" cm="1">
        <f t="array" ref="L930">IF(D930=0,0,(D930-C930)*G930)</f>
        <v>97.468800000000357</v>
      </c>
      <c r="M930" s="25">
        <v>5521.4406983999997</v>
      </c>
      <c r="N930" s="26" cm="1">
        <f t="array" ref="N930">IFERROR((K930-J930)/J930,"–")</f>
        <v>0.98296199213630386</v>
      </c>
      <c r="O930" s="24" cm="1">
        <f t="array" ref="O930">IF(D930=0,0,L930-K930)</f>
        <v>88.96089840000036</v>
      </c>
      <c r="P930" s="23"/>
      <c r="Q930" s="27"/>
    </row>
    <row r="931" spans="1:17" ht="22.5" customHeight="1">
      <c r="A931" s="16" t="s">
        <v>143</v>
      </c>
      <c r="B931" s="53">
        <v>44480</v>
      </c>
      <c r="C931" s="36">
        <v>4.5</v>
      </c>
      <c r="D931" s="36">
        <v>4.5869999999999997</v>
      </c>
      <c r="E931" s="30" cm="1">
        <f t="array" ref="E931">IF(D931="","",D931-C931)</f>
        <v>8.6999999999999744E-2</v>
      </c>
      <c r="F931" s="31" cm="1">
        <f t="array" ref="F931">IF(D931=0,"",(D931-C931)/C931)</f>
        <v>1.9333333333333275E-2</v>
      </c>
      <c r="G931" s="32">
        <v>1874.5</v>
      </c>
      <c r="H931" s="10">
        <v>1</v>
      </c>
      <c r="I931" s="11" cm="1">
        <f t="array" ref="I931">IF(D931="","",(G931*C931)*0.00075)</f>
        <v>6.3264374999999999</v>
      </c>
      <c r="J931" s="11" cm="1">
        <f t="array" ref="J931">IF(D931="","",(G931*D931)*0.00075)</f>
        <v>6.4487486250000003</v>
      </c>
      <c r="K931" s="33" cm="1">
        <f t="array" ref="K931">IF(D931="","",J931+I931)</f>
        <v>12.775186125000001</v>
      </c>
      <c r="L931" s="33" cm="1">
        <f t="array" ref="L931">IF(D931=0,0,(D931-C931)*G931)</f>
        <v>163.08149999999952</v>
      </c>
      <c r="M931" s="12">
        <v>8265.7197513749998</v>
      </c>
      <c r="N931" s="34" cm="1">
        <f t="array" ref="N931">IFERROR((K931-J931)/J931,"–")</f>
        <v>0.98103335513407464</v>
      </c>
      <c r="O931" s="33" cm="1">
        <f t="array" ref="O931">IF(D931=0,0,L931-K931)</f>
        <v>150.30631387499952</v>
      </c>
      <c r="P931" s="11"/>
      <c r="Q931" s="35"/>
    </row>
    <row r="932" spans="1:17" ht="22.5" customHeight="1">
      <c r="A932" s="16" t="s">
        <v>143</v>
      </c>
      <c r="B932" s="52">
        <v>44480</v>
      </c>
      <c r="C932" s="37">
        <v>4.5</v>
      </c>
      <c r="D932" s="37">
        <v>4.58</v>
      </c>
      <c r="E932" s="19" cm="1">
        <f t="array" ref="E932">IF(D932="","",D932-C932)</f>
        <v>8.0000000000000071E-2</v>
      </c>
      <c r="F932" s="20" cm="1">
        <f t="array" ref="F932">IF(D932=0,"",(D932-C932)/C932)</f>
        <v>1.7777777777777795E-2</v>
      </c>
      <c r="G932" s="21">
        <v>1874.5</v>
      </c>
      <c r="H932" s="22">
        <v>1</v>
      </c>
      <c r="I932" s="23" cm="1">
        <f t="array" ref="I932">IF(D932="","",(G932*C932)*0.00075)</f>
        <v>6.3264374999999999</v>
      </c>
      <c r="J932" s="23" cm="1">
        <f t="array" ref="J932">IF(D932="","",(G932*D932)*0.00075)</f>
        <v>6.4389075000000009</v>
      </c>
      <c r="K932" s="24" cm="1">
        <f t="array" ref="K932">IF(D932="","",J932+I932)</f>
        <v>12.765345</v>
      </c>
      <c r="L932" s="24" cm="1">
        <f t="array" ref="L932">IF(D932=0,0,(D932-C932)*G932)</f>
        <v>149.96000000000012</v>
      </c>
      <c r="M932" s="25">
        <v>8278.8510924999991</v>
      </c>
      <c r="N932" s="26" cm="1">
        <f t="array" ref="N932">IFERROR((K932-J932)/J932,"–")</f>
        <v>0.98253275109170279</v>
      </c>
      <c r="O932" s="24" cm="1">
        <f t="array" ref="O932">IF(D932=0,0,L932-K932)</f>
        <v>137.19465500000013</v>
      </c>
      <c r="P932" s="23"/>
      <c r="Q932" s="27"/>
    </row>
    <row r="933" spans="1:17" ht="22.5" customHeight="1">
      <c r="A933" s="16" t="s">
        <v>198</v>
      </c>
      <c r="B933" s="53">
        <v>44481</v>
      </c>
      <c r="C933" s="36">
        <v>5.3</v>
      </c>
      <c r="D933" s="36">
        <v>5.319</v>
      </c>
      <c r="E933" s="30" cm="1">
        <f t="array" ref="E933">IF(D933="","",D933-C933)</f>
        <v>1.9000000000000128E-2</v>
      </c>
      <c r="F933" s="31" cm="1">
        <f t="array" ref="F933">IF(D933=0,"",(D933-C933)/C933)</f>
        <v>3.5849056603773828E-3</v>
      </c>
      <c r="G933" s="32">
        <v>2829.2</v>
      </c>
      <c r="H933" s="10">
        <v>1</v>
      </c>
      <c r="I933" s="11" cm="1">
        <f t="array" ref="I933">IF(D933="","",(G933*C933)*0.00075)</f>
        <v>11.24607</v>
      </c>
      <c r="J933" s="11" cm="1">
        <f t="array" ref="J933">IF(D933="","",(G933*D933)*0.00075)</f>
        <v>11.2863861</v>
      </c>
      <c r="K933" s="33" cm="1">
        <f t="array" ref="K933">IF(D933="","",J933+I933)</f>
        <v>22.532456099999997</v>
      </c>
      <c r="L933" s="33" cm="1">
        <f t="array" ref="L933">IF(D933=0,0,(D933-C933)*G933)</f>
        <v>53.754800000000358</v>
      </c>
      <c r="M933" s="12">
        <v>14929.718813900001</v>
      </c>
      <c r="N933" s="34" cm="1">
        <f t="array" ref="N933">IFERROR((K933-J933)/J933,"–")</f>
        <v>0.99642789998119929</v>
      </c>
      <c r="O933" s="33" cm="1">
        <f t="array" ref="O933">IF(D933=0,0,L933-K933)</f>
        <v>31.222343900000361</v>
      </c>
      <c r="P933" s="11"/>
      <c r="Q933" s="35"/>
    </row>
    <row r="934" spans="1:17" ht="22.5" customHeight="1">
      <c r="A934" s="16" t="s">
        <v>198</v>
      </c>
      <c r="B934" s="52">
        <v>44481</v>
      </c>
      <c r="C934" s="37">
        <v>5.3</v>
      </c>
      <c r="D934" s="37">
        <v>5.31</v>
      </c>
      <c r="E934" s="19" cm="1">
        <f t="array" ref="E934">IF(D934="","",D934-C934)</f>
        <v>9.9999999999997868E-3</v>
      </c>
      <c r="F934" s="20" cm="1">
        <f t="array" ref="F934">IF(D934=0,"",(D934-C934)/C934)</f>
        <v>1.8867924528301486E-3</v>
      </c>
      <c r="G934" s="21">
        <v>2829.3</v>
      </c>
      <c r="H934" s="22">
        <v>1</v>
      </c>
      <c r="I934" s="23" cm="1">
        <f t="array" ref="I934">IF(D934="","",(G934*C934)*0.00075)</f>
        <v>11.246467500000001</v>
      </c>
      <c r="J934" s="23" cm="1">
        <f t="array" ref="J934">IF(D934="","",(G934*D934)*0.00075)</f>
        <v>11.26768725</v>
      </c>
      <c r="K934" s="24" cm="1">
        <f t="array" ref="K934">IF(D934="","",J934+I934)</f>
        <v>22.514154750000003</v>
      </c>
      <c r="L934" s="24" cm="1">
        <f t="array" ref="L934">IF(D934=0,0,(D934-C934)*G934)</f>
        <v>28.292999999999399</v>
      </c>
      <c r="M934" s="25">
        <v>14955.72931275</v>
      </c>
      <c r="N934" s="26" cm="1">
        <f t="array" ref="N934">IFERROR((K934-J934)/J934,"–")</f>
        <v>0.99811676082862555</v>
      </c>
      <c r="O934" s="24" cm="1">
        <f t="array" ref="O934">IF(D934=0,0,L934-K934)</f>
        <v>5.7788452499993959</v>
      </c>
      <c r="P934" s="23"/>
      <c r="Q934" s="27"/>
    </row>
    <row r="935" spans="1:17" ht="22.5" customHeight="1">
      <c r="A935" s="16" t="s">
        <v>79</v>
      </c>
      <c r="B935" s="53">
        <v>44481</v>
      </c>
      <c r="C935" s="36">
        <v>1032.789</v>
      </c>
      <c r="D935" s="36">
        <v>1058.1500000000001</v>
      </c>
      <c r="E935" s="30" cm="1">
        <f t="array" ref="E935">IF(D935="","",D935-C935)</f>
        <v>25.361000000000104</v>
      </c>
      <c r="F935" s="31" cm="1">
        <f t="array" ref="F935">IF(D935=0,"",(D935-C935)/C935)</f>
        <v>2.4555838607886127E-2</v>
      </c>
      <c r="G935" s="32">
        <v>7.4790000000000001</v>
      </c>
      <c r="H935" s="10">
        <v>1</v>
      </c>
      <c r="I935" s="11" cm="1">
        <f t="array" ref="I935">IF(D935="","",(G935*C935)*0.00075)</f>
        <v>5.7931716982500001</v>
      </c>
      <c r="J935" s="11" cm="1">
        <f t="array" ref="J935">IF(D935="","",(G935*D935)*0.00075)</f>
        <v>5.9354278875000004</v>
      </c>
      <c r="K935" s="33" cm="1">
        <f t="array" ref="K935">IF(D935="","",J935+I935)</f>
        <v>11.728599585750001</v>
      </c>
      <c r="L935" s="33" cm="1">
        <f t="array" ref="L935">IF(D935=0,0,(D935-C935)*G935)</f>
        <v>189.67491900000078</v>
      </c>
      <c r="M935" s="12">
        <v>7528.6185841124998</v>
      </c>
      <c r="N935" s="34" cm="1">
        <f t="array" ref="N935">IFERROR((K935-J935)/J935,"–")</f>
        <v>0.97603269857770636</v>
      </c>
      <c r="O935" s="33" cm="1">
        <f t="array" ref="O935">IF(D935=0,0,L935-K935)</f>
        <v>177.94631941425078</v>
      </c>
      <c r="P935" s="11"/>
      <c r="Q935" s="35"/>
    </row>
    <row r="936" spans="1:17" ht="22.5" customHeight="1">
      <c r="A936" s="16" t="s">
        <v>199</v>
      </c>
      <c r="B936" s="52">
        <v>44481</v>
      </c>
      <c r="C936" s="37">
        <v>124.86</v>
      </c>
      <c r="D936" s="37">
        <v>125.1</v>
      </c>
      <c r="E936" s="19" cm="1">
        <f t="array" ref="E936">IF(D936="","",D936-C936)</f>
        <v>0.23999999999999488</v>
      </c>
      <c r="F936" s="20" cm="1">
        <f t="array" ref="F936">IF(D936=0,"",(D936-C936)/C936)</f>
        <v>1.9221528111484454E-3</v>
      </c>
      <c r="G936" s="21">
        <v>120.12</v>
      </c>
      <c r="H936" s="22">
        <v>1</v>
      </c>
      <c r="I936" s="23" cm="1">
        <f t="array" ref="I936">IF(D936="","",(G936*C936)*0.00075)</f>
        <v>11.248637400000002</v>
      </c>
      <c r="J936" s="23" cm="1">
        <f t="array" ref="J936">IF(D936="","",(G936*D936)*0.00075)</f>
        <v>11.270259000000001</v>
      </c>
      <c r="K936" s="24" cm="1">
        <f t="array" ref="K936">IF(D936="","",J936+I936)</f>
        <v>22.518896400000003</v>
      </c>
      <c r="L936" s="24" cm="1">
        <f t="array" ref="L936">IF(D936=0,0,(D936-C936)*G936)</f>
        <v>28.828799999999386</v>
      </c>
      <c r="M936" s="25">
        <v>14958.084140999999</v>
      </c>
      <c r="N936" s="26" cm="1">
        <f t="array" ref="N936">IFERROR((K936-J936)/J936,"–")</f>
        <v>0.99808153477218231</v>
      </c>
      <c r="O936" s="24" cm="1">
        <f t="array" ref="O936">IF(D936=0,0,L936-K936)</f>
        <v>6.3099035999993838</v>
      </c>
      <c r="P936" s="23"/>
      <c r="Q936" s="27"/>
    </row>
    <row r="937" spans="1:17" ht="22.5" customHeight="1">
      <c r="A937" s="16" t="s">
        <v>199</v>
      </c>
      <c r="B937" s="53">
        <v>44481</v>
      </c>
      <c r="C937" s="36">
        <v>124.86</v>
      </c>
      <c r="D937" s="36">
        <v>125.1</v>
      </c>
      <c r="E937" s="30" cm="1">
        <f t="array" ref="E937">IF(D937="","",D937-C937)</f>
        <v>0.23999999999999488</v>
      </c>
      <c r="F937" s="31" cm="1">
        <f t="array" ref="F937">IF(D937=0,"",(D937-C937)/C937)</f>
        <v>1.9221528111484454E-3</v>
      </c>
      <c r="G937" s="32">
        <v>120.13</v>
      </c>
      <c r="H937" s="10">
        <v>1</v>
      </c>
      <c r="I937" s="11" cm="1">
        <f t="array" ref="I937">IF(D937="","",(G937*C937)*0.00075)</f>
        <v>11.249573849999999</v>
      </c>
      <c r="J937" s="11" cm="1">
        <f t="array" ref="J937">IF(D937="","",(G937*D937)*0.00075)</f>
        <v>11.27119725</v>
      </c>
      <c r="K937" s="33" cm="1">
        <f t="array" ref="K937">IF(D937="","",J937+I937)</f>
        <v>22.520771099999997</v>
      </c>
      <c r="L937" s="33" cm="1">
        <f t="array" ref="L937">IF(D937=0,0,(D937-C937)*G937)</f>
        <v>28.831199999999384</v>
      </c>
      <c r="M937" s="12">
        <v>14959.32940275</v>
      </c>
      <c r="N937" s="34" cm="1">
        <f t="array" ref="N937">IFERROR((K937-J937)/J937,"–")</f>
        <v>0.99808153477218198</v>
      </c>
      <c r="O937" s="33" cm="1">
        <f t="array" ref="O937">IF(D937=0,0,L937-K937)</f>
        <v>6.3104288999993869</v>
      </c>
      <c r="P937" s="11"/>
      <c r="Q937" s="35"/>
    </row>
    <row r="938" spans="1:17" ht="22.5" customHeight="1">
      <c r="A938" s="16" t="s">
        <v>86</v>
      </c>
      <c r="B938" s="52">
        <v>44481</v>
      </c>
      <c r="C938" s="37">
        <v>0.37</v>
      </c>
      <c r="D938" s="37">
        <v>0.3775</v>
      </c>
      <c r="E938" s="19" cm="1">
        <f t="array" ref="E938">IF(D938="","",D938-C938)</f>
        <v>7.5000000000000067E-3</v>
      </c>
      <c r="F938" s="20" cm="1">
        <f t="array" ref="F938">IF(D938=0,"",(D938-C938)/C938)</f>
        <v>2.0270270270270289E-2</v>
      </c>
      <c r="G938" s="21">
        <v>40503</v>
      </c>
      <c r="H938" s="22">
        <v>1</v>
      </c>
      <c r="I938" s="23" cm="1">
        <f t="array" ref="I938">IF(D938="","",(G938*C938)*0.00075)</f>
        <v>11.239582500000001</v>
      </c>
      <c r="J938" s="23" cm="1">
        <f t="array" ref="J938">IF(D938="","",(G938*D938)*0.00075)</f>
        <v>11.467411875</v>
      </c>
      <c r="K938" s="24" cm="1">
        <f t="array" ref="K938">IF(D938="","",J938+I938)</f>
        <v>22.706994375000001</v>
      </c>
      <c r="L938" s="24" cm="1">
        <f t="array" ref="L938">IF(D938=0,0,(D938-C938)*G938)</f>
        <v>303.77250000000026</v>
      </c>
      <c r="M938" s="25">
        <v>14670.870088125001</v>
      </c>
      <c r="N938" s="26" cm="1">
        <f t="array" ref="N938">IFERROR((K938-J938)/J938,"–")</f>
        <v>0.98013245033112595</v>
      </c>
      <c r="O938" s="24" cm="1">
        <f t="array" ref="O938">IF(D938=0,0,L938-K938)</f>
        <v>281.06550562500024</v>
      </c>
      <c r="P938" s="23"/>
      <c r="Q938" s="27"/>
    </row>
    <row r="939" spans="1:17" ht="22.5" customHeight="1">
      <c r="A939" s="16" t="s">
        <v>86</v>
      </c>
      <c r="B939" s="53">
        <v>44481</v>
      </c>
      <c r="C939" s="36">
        <v>0.37</v>
      </c>
      <c r="D939" s="36">
        <v>0.38</v>
      </c>
      <c r="E939" s="30" cm="1">
        <f t="array" ref="E939">IF(D939="","",D939-C939)</f>
        <v>1.0000000000000009E-2</v>
      </c>
      <c r="F939" s="31" cm="1">
        <f t="array" ref="F939">IF(D939=0,"",(D939-C939)/C939)</f>
        <v>2.7027027027027053E-2</v>
      </c>
      <c r="G939" s="32">
        <v>40503</v>
      </c>
      <c r="H939" s="10">
        <v>1</v>
      </c>
      <c r="I939" s="11" cm="1">
        <f t="array" ref="I939">IF(D939="","",(G939*C939)*0.00075)</f>
        <v>11.239582500000001</v>
      </c>
      <c r="J939" s="11" cm="1">
        <f t="array" ref="J939">IF(D939="","",(G939*D939)*0.00075)</f>
        <v>11.543355</v>
      </c>
      <c r="K939" s="33" cm="1">
        <f t="array" ref="K939">IF(D939="","",J939+I939)</f>
        <v>22.782937500000003</v>
      </c>
      <c r="L939" s="33" cm="1">
        <f t="array" ref="L939">IF(D939=0,0,(D939-C939)*G939)</f>
        <v>405.03000000000037</v>
      </c>
      <c r="M939" s="12">
        <v>14569.536645</v>
      </c>
      <c r="N939" s="34" cm="1">
        <f t="array" ref="N939">IFERROR((K939-J939)/J939,"–")</f>
        <v>0.97368421052631604</v>
      </c>
      <c r="O939" s="33" cm="1">
        <f t="array" ref="O939">IF(D939=0,0,L939-K939)</f>
        <v>382.24706250000037</v>
      </c>
      <c r="P939" s="11"/>
      <c r="Q939" s="35"/>
    </row>
    <row r="940" spans="1:17" ht="22.5" customHeight="1">
      <c r="A940" s="16" t="s">
        <v>15</v>
      </c>
      <c r="B940" s="52">
        <v>44481</v>
      </c>
      <c r="C940" s="37">
        <v>4.7989999999999998E-2</v>
      </c>
      <c r="D940" s="37">
        <v>4.8219999999999999E-2</v>
      </c>
      <c r="E940" s="19" cm="1">
        <f t="array" ref="E940">IF(D940="","",D940-C940)</f>
        <v>2.3000000000000104E-4</v>
      </c>
      <c r="F940" s="20" cm="1">
        <f t="array" ref="F940">IF(D940=0,"",(D940-C940)/C940)</f>
        <v>4.7926651385705576E-3</v>
      </c>
      <c r="G940" s="21">
        <v>242212.2</v>
      </c>
      <c r="H940" s="22">
        <v>1</v>
      </c>
      <c r="I940" s="23" cm="1">
        <f t="array" ref="I940">IF(D940="","",(G940*C940)*0.00075)</f>
        <v>8.7178226085000006</v>
      </c>
      <c r="J940" s="23" cm="1">
        <f t="array" ref="J940">IF(D940="","",(G940*D940)*0.00075)</f>
        <v>8.7596042129999994</v>
      </c>
      <c r="K940" s="24" cm="1">
        <f t="array" ref="K940">IF(D940="","",J940+I940)</f>
        <v>17.4774268215</v>
      </c>
      <c r="L940" s="24" cm="1">
        <f t="array" ref="L940">IF(D940=0,0,(D940-C940)*G940)</f>
        <v>55.708806000000251</v>
      </c>
      <c r="M940" s="25">
        <v>11559.295067786999</v>
      </c>
      <c r="N940" s="26" cm="1">
        <f t="array" ref="N940">IFERROR((K940-J940)/J940,"–")</f>
        <v>0.99523019493985909</v>
      </c>
      <c r="O940" s="24" cm="1">
        <f t="array" ref="O940">IF(D940=0,0,L940-K940)</f>
        <v>38.231379178500248</v>
      </c>
      <c r="P940" s="23"/>
      <c r="Q940" s="27"/>
    </row>
    <row r="941" spans="1:17" ht="22.5" customHeight="1">
      <c r="A941" s="16" t="s">
        <v>15</v>
      </c>
      <c r="B941" s="53">
        <v>44481</v>
      </c>
      <c r="C941" s="36">
        <v>4.7989999999999998E-2</v>
      </c>
      <c r="D941" s="36">
        <v>4.8309999999999999E-2</v>
      </c>
      <c r="E941" s="30" cm="1">
        <f t="array" ref="E941">IF(D941="","",D941-C941)</f>
        <v>3.2000000000000084E-4</v>
      </c>
      <c r="F941" s="31" cm="1">
        <f t="array" ref="F941">IF(D941=0,"",(D941-C941)/C941)</f>
        <v>6.668055844967719E-3</v>
      </c>
      <c r="G941" s="32">
        <v>242212.3</v>
      </c>
      <c r="H941" s="10">
        <v>1</v>
      </c>
      <c r="I941" s="11" cm="1">
        <f t="array" ref="I941">IF(D941="","",(G941*C941)*0.00075)</f>
        <v>8.7178262077499991</v>
      </c>
      <c r="J941" s="11" cm="1">
        <f t="array" ref="J941">IF(D941="","",(G941*D941)*0.00075)</f>
        <v>8.7759571597499999</v>
      </c>
      <c r="K941" s="33" cm="1">
        <f t="array" ref="K941">IF(D941="","",J941+I941)</f>
        <v>17.493783367500001</v>
      </c>
      <c r="L941" s="33" cm="1">
        <f t="array" ref="L941">IF(D941=0,0,(D941-C941)*G941)</f>
        <v>77.5079360000002</v>
      </c>
      <c r="M941" s="12">
        <v>11537.484383840299</v>
      </c>
      <c r="N941" s="34" cm="1">
        <f t="array" ref="N941">IFERROR((K941-J941)/J941,"–")</f>
        <v>0.99337611260608583</v>
      </c>
      <c r="O941" s="33" cm="1">
        <f t="array" ref="O941">IF(D941=0,0,L941-K941)</f>
        <v>60.014152632500199</v>
      </c>
      <c r="P941" s="11"/>
      <c r="Q941" s="35"/>
    </row>
    <row r="942" spans="1:17" ht="22.5" customHeight="1">
      <c r="A942" s="16" t="s">
        <v>15</v>
      </c>
      <c r="B942" s="52">
        <v>44481</v>
      </c>
      <c r="C942" s="37">
        <v>4.7989999999999998E-2</v>
      </c>
      <c r="D942" s="37">
        <v>4.8739999999999999E-2</v>
      </c>
      <c r="E942" s="19" cm="1">
        <f t="array" ref="E942">IF(D942="","",D942-C942)</f>
        <v>7.5000000000000067E-4</v>
      </c>
      <c r="F942" s="20" cm="1">
        <f t="array" ref="F942">IF(D942=0,"",(D942-C942)/C942)</f>
        <v>1.5628255886643065E-2</v>
      </c>
      <c r="G942" s="21">
        <v>161474.79999999999</v>
      </c>
      <c r="H942" s="22">
        <v>1</v>
      </c>
      <c r="I942" s="23" cm="1">
        <f t="array" ref="I942">IF(D942="","",(G942*C942)*0.00075)</f>
        <v>5.8118817389999995</v>
      </c>
      <c r="J942" s="23" cm="1">
        <f t="array" ref="J942">IF(D942="","",(G942*D942)*0.00075)</f>
        <v>5.9027113139999994</v>
      </c>
      <c r="K942" s="24" cm="1">
        <f t="array" ref="K942">IF(D942="","",J942+I942)</f>
        <v>11.714593052999998</v>
      </c>
      <c r="L942" s="24" cm="1">
        <f t="array" ref="L942">IF(D942=0,0,(D942-C942)*G942)</f>
        <v>121.1061000000001</v>
      </c>
      <c r="M942" s="25">
        <v>7622.1668406859999</v>
      </c>
      <c r="N942" s="26" cm="1">
        <f t="array" ref="N942">IFERROR((K942-J942)/J942,"–")</f>
        <v>0.98461222814936389</v>
      </c>
      <c r="O942" s="24" cm="1">
        <f t="array" ref="O942">IF(D942=0,0,L942-K942)</f>
        <v>109.3915069470001</v>
      </c>
      <c r="P942" s="23"/>
      <c r="Q942" s="27"/>
    </row>
    <row r="943" spans="1:17" ht="22.5" customHeight="1">
      <c r="A943" s="16" t="s">
        <v>20</v>
      </c>
      <c r="B943" s="53">
        <v>44481</v>
      </c>
      <c r="C943" s="36">
        <v>2.232E-2</v>
      </c>
      <c r="D943" s="36">
        <v>2.1999999999999999E-2</v>
      </c>
      <c r="E943" s="30" cm="1">
        <f t="array" ref="E943">IF(D943="","",D943-C943)</f>
        <v>-3.2000000000000084E-4</v>
      </c>
      <c r="F943" s="31" cm="1">
        <f t="array" ref="F943">IF(D943=0,"",(D943-C943)/C943)</f>
        <v>-1.4336917562724052E-2</v>
      </c>
      <c r="G943" s="32">
        <v>840043</v>
      </c>
      <c r="H943" s="10">
        <v>1</v>
      </c>
      <c r="I943" s="11" cm="1">
        <f t="array" ref="I943">IF(D943="","",(G943*C943)*0.00075)</f>
        <v>14.062319820000001</v>
      </c>
      <c r="J943" s="11" cm="1">
        <f t="array" ref="J943">IF(D943="","",(G943*D943)*0.00075)</f>
        <v>13.8607095</v>
      </c>
      <c r="K943" s="33" cm="1">
        <f t="array" ref="K943">IF(D943="","",J943+I943)</f>
        <v>27.923029320000001</v>
      </c>
      <c r="L943" s="33" cm="1">
        <f t="array" ref="L943">IF(D943=0,0,(D943-C943)*G943)</f>
        <v>-268.81376000000068</v>
      </c>
      <c r="M943" s="12">
        <v>19004.712810500001</v>
      </c>
      <c r="N943" s="34" cm="1">
        <f t="array" ref="N943">IFERROR((K943-J943)/J943,"–")</f>
        <v>1.0145454545454546</v>
      </c>
      <c r="O943" s="33" cm="1">
        <f t="array" ref="O943">IF(D943=0,0,L943-K943)</f>
        <v>-296.7367893200007</v>
      </c>
      <c r="P943" s="11"/>
      <c r="Q943" s="35"/>
    </row>
    <row r="944" spans="1:17" ht="22.5" customHeight="1">
      <c r="A944" s="16" t="s">
        <v>20</v>
      </c>
      <c r="B944" s="52">
        <v>44481</v>
      </c>
      <c r="C944" s="37">
        <v>2.232E-2</v>
      </c>
      <c r="D944" s="37">
        <v>2.1899999999999999E-2</v>
      </c>
      <c r="E944" s="19" cm="1">
        <f t="array" ref="E944">IF(D944="","",D944-C944)</f>
        <v>-4.2000000000000023E-4</v>
      </c>
      <c r="F944" s="20" cm="1">
        <f t="array" ref="F944">IF(D944=0,"",(D944-C944)/C944)</f>
        <v>-1.881720430107528E-2</v>
      </c>
      <c r="G944" s="21">
        <v>689932</v>
      </c>
      <c r="H944" s="22">
        <v>1</v>
      </c>
      <c r="I944" s="23" cm="1">
        <f t="array" ref="I944">IF(D944="","",(G944*C944)*0.00075)</f>
        <v>11.54946168</v>
      </c>
      <c r="J944" s="23" cm="1">
        <f t="array" ref="J944">IF(D944="","",(G944*D944)*0.00075)</f>
        <v>11.3321331</v>
      </c>
      <c r="K944" s="24" cm="1">
        <f t="array" ref="K944">IF(D944="","",J944+I944)</f>
        <v>22.88159478</v>
      </c>
      <c r="L944" s="24" cm="1">
        <f t="array" ref="L944">IF(D944=0,0,(D944-C944)*G944)</f>
        <v>-289.77144000000015</v>
      </c>
      <c r="M944" s="25">
        <v>15677.7215469</v>
      </c>
      <c r="N944" s="26" cm="1">
        <f t="array" ref="N944">IFERROR((K944-J944)/J944,"–")</f>
        <v>1.0191780821917809</v>
      </c>
      <c r="O944" s="24" cm="1">
        <f t="array" ref="O944">IF(D944=0,0,L944-K944)</f>
        <v>-312.65303478000016</v>
      </c>
      <c r="P944" s="23"/>
      <c r="Q944" s="27"/>
    </row>
    <row r="945" spans="1:17" ht="22.5" customHeight="1">
      <c r="A945" s="16" t="s">
        <v>20</v>
      </c>
      <c r="B945" s="53">
        <v>44481</v>
      </c>
      <c r="C945" s="36">
        <v>2.232E-2</v>
      </c>
      <c r="D945" s="36">
        <v>2.1829999999999999E-2</v>
      </c>
      <c r="E945" s="30" cm="1">
        <f t="array" ref="E945">IF(D945="","",D945-C945)</f>
        <v>-4.9000000000000085E-4</v>
      </c>
      <c r="F945" s="31" cm="1">
        <f t="array" ref="F945">IF(D945=0,"",(D945-C945)/C945)</f>
        <v>-2.1953405017921184E-2</v>
      </c>
      <c r="G945" s="32">
        <v>150112</v>
      </c>
      <c r="H945" s="10">
        <v>1</v>
      </c>
      <c r="I945" s="11" cm="1">
        <f t="array" ref="I945">IF(D945="","",(G945*C945)*0.00075)</f>
        <v>2.51287488</v>
      </c>
      <c r="J945" s="11" cm="1">
        <f t="array" ref="J945">IF(D945="","",(G945*D945)*0.00075)</f>
        <v>2.4577087199999998</v>
      </c>
      <c r="K945" s="33" cm="1">
        <f t="array" ref="K945">IF(D945="","",J945+I945)</f>
        <v>4.9705835999999994</v>
      </c>
      <c r="L945" s="33" cm="1">
        <f t="array" ref="L945">IF(D945=0,0,(D945-C945)*G945)</f>
        <v>-73.554880000000125</v>
      </c>
      <c r="M945" s="12">
        <v>3421.5970112800001</v>
      </c>
      <c r="N945" s="34" cm="1">
        <f t="array" ref="N945">IFERROR((K945-J945)/J945,"–")</f>
        <v>1.0224461749885478</v>
      </c>
      <c r="O945" s="33" cm="1">
        <f t="array" ref="O945">IF(D945=0,0,L945-K945)</f>
        <v>-78.525463600000123</v>
      </c>
      <c r="P945" s="11"/>
      <c r="Q945" s="35"/>
    </row>
    <row r="946" spans="1:17" ht="22.5" customHeight="1">
      <c r="A946" s="16" t="s">
        <v>66</v>
      </c>
      <c r="B946" s="52">
        <v>44481</v>
      </c>
      <c r="C946" s="37">
        <v>0.32390000000000002</v>
      </c>
      <c r="D946" s="37">
        <v>0.32402999999999998</v>
      </c>
      <c r="E946" s="19" cm="1">
        <f t="array" ref="E946">IF(D946="","",D946-C946)</f>
        <v>1.2999999999996348E-4</v>
      </c>
      <c r="F946" s="20" cm="1">
        <f t="array" ref="F946">IF(D946=0,"",(D946-C946)/C946)</f>
        <v>4.0135844396407372E-4</v>
      </c>
      <c r="G946" s="21">
        <v>92624</v>
      </c>
      <c r="H946" s="22">
        <v>1</v>
      </c>
      <c r="I946" s="23" cm="1">
        <f t="array" ref="I946">IF(D946="","",(G946*C946)*0.00075)</f>
        <v>22.500685200000003</v>
      </c>
      <c r="J946" s="23" cm="1">
        <f t="array" ref="J946">IF(D946="","",(G946*D946)*0.00075)</f>
        <v>22.509716039999997</v>
      </c>
      <c r="K946" s="24" cm="1">
        <f t="array" ref="K946">IF(D946="","",J946+I946)</f>
        <v>45.01040124</v>
      </c>
      <c r="L946" s="24" cm="1">
        <f t="array" ref="L946">IF(D946=0,0,(D946-C946)*G946)</f>
        <v>12.041119999996617</v>
      </c>
      <c r="M946" s="25">
        <v>29966.362763960002</v>
      </c>
      <c r="N946" s="26" cm="1">
        <f t="array" ref="N946">IFERROR((K946-J946)/J946,"–")</f>
        <v>0.99959880258000833</v>
      </c>
      <c r="O946" s="24" cm="1">
        <f t="array" ref="O946">IF(D946=0,0,L946-K946)</f>
        <v>-32.969281240003383</v>
      </c>
      <c r="P946" s="23"/>
      <c r="Q946" s="27"/>
    </row>
    <row r="947" spans="1:17" ht="22.5" customHeight="1">
      <c r="A947" s="16" t="s">
        <v>178</v>
      </c>
      <c r="B947" s="53">
        <v>44482</v>
      </c>
      <c r="C947" s="36">
        <v>4.1100000000000003</v>
      </c>
      <c r="D947" s="36">
        <v>4.1349999999999998</v>
      </c>
      <c r="E947" s="30" cm="1">
        <f t="array" ref="E947">IF(D947="","",D947-C947)</f>
        <v>2.4999999999999467E-2</v>
      </c>
      <c r="F947" s="31" cm="1">
        <f t="array" ref="F947">IF(D947=0,"",(D947-C947)/C947)</f>
        <v>6.0827250608271209E-3</v>
      </c>
      <c r="G947" s="32">
        <v>1500</v>
      </c>
      <c r="H947" s="10">
        <v>1</v>
      </c>
      <c r="I947" s="11" cm="1">
        <f t="array" ref="I947">IF(D947="","",(G947*C947)*0.00075)</f>
        <v>4.6237500000000011</v>
      </c>
      <c r="J947" s="11" cm="1">
        <f t="array" ref="J947">IF(D947="","",(G947*D947)*0.00075)</f>
        <v>4.6518750000000004</v>
      </c>
      <c r="K947" s="33" cm="1">
        <f t="array" ref="K947">IF(D947="","",J947+I947)</f>
        <v>9.2756250000000016</v>
      </c>
      <c r="L947" s="33" cm="1">
        <f t="array" ref="L947">IF(D947=0,0,(D947-C947)*G947)</f>
        <v>37.499999999999204</v>
      </c>
      <c r="M947" s="12">
        <v>6122.8481250000004</v>
      </c>
      <c r="N947" s="34" cm="1">
        <f t="array" ref="N947">IFERROR((K947-J947)/J947,"–")</f>
        <v>0.99395405078597354</v>
      </c>
      <c r="O947" s="33" cm="1">
        <f t="array" ref="O947">IF(D947=0,0,L947-K947)</f>
        <v>28.224374999999203</v>
      </c>
      <c r="P947" s="11"/>
      <c r="Q947" s="35"/>
    </row>
    <row r="948" spans="1:17" ht="22.5" customHeight="1">
      <c r="A948" s="16" t="s">
        <v>85</v>
      </c>
      <c r="B948" s="52">
        <v>44482</v>
      </c>
      <c r="C948" s="37">
        <v>1.762</v>
      </c>
      <c r="D948" s="37">
        <v>1.776</v>
      </c>
      <c r="E948" s="19" cm="1">
        <f t="array" ref="E948">IF(D948="","",D948-C948)</f>
        <v>1.4000000000000012E-2</v>
      </c>
      <c r="F948" s="20" cm="1">
        <f t="array" ref="F948">IF(D948=0,"",(D948-C948)/C948)</f>
        <v>7.9455164585698138E-3</v>
      </c>
      <c r="G948" s="21">
        <v>17594.5</v>
      </c>
      <c r="H948" s="22">
        <v>1</v>
      </c>
      <c r="I948" s="23" cm="1">
        <f t="array" ref="I948">IF(D948="","",(G948*C948)*0.00075)</f>
        <v>23.251131750000003</v>
      </c>
      <c r="J948" s="23" cm="1">
        <f t="array" ref="J948">IF(D948="","",(G948*D948)*0.00075)</f>
        <v>23.435874000000002</v>
      </c>
      <c r="K948" s="24" cm="1">
        <f t="array" ref="K948">IF(D948="","",J948+I948)</f>
        <v>46.687005750000004</v>
      </c>
      <c r="L948" s="24" cm="1">
        <f t="array" ref="L948">IF(D948=0,0,(D948-C948)*G948)</f>
        <v>246.32300000000021</v>
      </c>
      <c r="M948" s="25">
        <v>30731.750125999999</v>
      </c>
      <c r="N948" s="26" cm="1">
        <f t="array" ref="N948">IFERROR((K948-J948)/J948,"–")</f>
        <v>0.99211711711711714</v>
      </c>
      <c r="O948" s="24" cm="1">
        <f t="array" ref="O948">IF(D948=0,0,L948-K948)</f>
        <v>199.63599425000021</v>
      </c>
      <c r="P948" s="23"/>
      <c r="Q948" s="27"/>
    </row>
    <row r="949" spans="1:17" ht="22.5" customHeight="1">
      <c r="A949" s="16" t="s">
        <v>59</v>
      </c>
      <c r="B949" s="53">
        <v>44482</v>
      </c>
      <c r="C949" s="36">
        <v>17.64</v>
      </c>
      <c r="D949" s="36">
        <v>18.059999999999999</v>
      </c>
      <c r="E949" s="30" cm="1">
        <f t="array" ref="E949">IF(D949="","",D949-C949)</f>
        <v>0.41999999999999815</v>
      </c>
      <c r="F949" s="31" cm="1">
        <f t="array" ref="F949">IF(D949=0,"",(D949-C949)/C949)</f>
        <v>2.3809523809523704E-2</v>
      </c>
      <c r="G949" s="32">
        <v>439.24</v>
      </c>
      <c r="H949" s="10">
        <v>1</v>
      </c>
      <c r="I949" s="11" cm="1">
        <f t="array" ref="I949">IF(D949="","",(G949*C949)*0.00075)</f>
        <v>5.8111452000000003</v>
      </c>
      <c r="J949" s="11" cm="1">
        <f t="array" ref="J949">IF(D949="","",(G949*D949)*0.00075)</f>
        <v>5.9495057999999998</v>
      </c>
      <c r="K949" s="33" cm="1">
        <f t="array" ref="K949">IF(D949="","",J949+I949)</f>
        <v>11.760650999999999</v>
      </c>
      <c r="L949" s="33" cm="1">
        <f t="array" ref="L949">IF(D949=0,0,(D949-C949)*G949)</f>
        <v>184.48079999999919</v>
      </c>
      <c r="M949" s="12">
        <v>7557.7632942</v>
      </c>
      <c r="N949" s="34" cm="1">
        <f t="array" ref="N949">IFERROR((K949-J949)/J949,"–")</f>
        <v>0.97674418604651159</v>
      </c>
      <c r="O949" s="33" cm="1">
        <f t="array" ref="O949">IF(D949=0,0,L949-K949)</f>
        <v>172.7201489999992</v>
      </c>
      <c r="P949" s="11"/>
      <c r="Q949" s="35"/>
    </row>
    <row r="950" spans="1:17" ht="22.5" customHeight="1">
      <c r="A950" s="16" t="s">
        <v>59</v>
      </c>
      <c r="B950" s="52">
        <v>44482</v>
      </c>
      <c r="C950" s="37">
        <v>17.64</v>
      </c>
      <c r="D950" s="37">
        <v>17.8</v>
      </c>
      <c r="E950" s="19" cm="1">
        <f t="array" ref="E950">IF(D950="","",D950-C950)</f>
        <v>0.16000000000000014</v>
      </c>
      <c r="F950" s="20" cm="1">
        <f t="array" ref="F950">IF(D950=0,"",(D950-C950)/C950)</f>
        <v>9.070294784580506E-3</v>
      </c>
      <c r="G950" s="21">
        <v>329.51</v>
      </c>
      <c r="H950" s="22">
        <v>1</v>
      </c>
      <c r="I950" s="23" cm="1">
        <f t="array" ref="I950">IF(D950="","",(G950*C950)*0.00075)</f>
        <v>4.3594173000000005</v>
      </c>
      <c r="J950" s="23" cm="1">
        <f t="array" ref="J950">IF(D950="","",(G950*D950)*0.00075)</f>
        <v>4.3989585</v>
      </c>
      <c r="K950" s="24" cm="1">
        <f t="array" ref="K950">IF(D950="","",J950+I950)</f>
        <v>8.7583757999999996</v>
      </c>
      <c r="L950" s="24" cm="1">
        <f t="array" ref="L950">IF(D950=0,0,(D950-C950)*G950)</f>
        <v>52.721600000000045</v>
      </c>
      <c r="M950" s="25">
        <v>5755.4358414999997</v>
      </c>
      <c r="N950" s="26" cm="1">
        <f t="array" ref="N950">IFERROR((K950-J950)/J950,"–")</f>
        <v>0.99101123595505614</v>
      </c>
      <c r="O950" s="24" cm="1">
        <f t="array" ref="O950">IF(D950=0,0,L950-K950)</f>
        <v>43.963224200000042</v>
      </c>
      <c r="P950" s="23"/>
      <c r="Q950" s="27"/>
    </row>
    <row r="951" spans="1:17" ht="22.5" customHeight="1">
      <c r="A951" s="16" t="s">
        <v>59</v>
      </c>
      <c r="B951" s="53">
        <v>44482</v>
      </c>
      <c r="C951" s="36">
        <v>17.64</v>
      </c>
      <c r="D951" s="36">
        <v>17.64</v>
      </c>
      <c r="E951" s="30" cm="1">
        <f t="array" ref="E951">IF(D951="","",D951-C951)</f>
        <v>0</v>
      </c>
      <c r="F951" s="31" cm="1">
        <f t="array" ref="F951">IF(D951=0,"",(D951-C951)/C951)</f>
        <v>0</v>
      </c>
      <c r="G951" s="32">
        <v>488.53</v>
      </c>
      <c r="H951" s="10">
        <v>1</v>
      </c>
      <c r="I951" s="11" cm="1">
        <f t="array" ref="I951">IF(D951="","",(G951*C951)*0.00075)</f>
        <v>6.4632519000000004</v>
      </c>
      <c r="J951" s="11" cm="1">
        <f t="array" ref="J951">IF(D951="","",(G951*D951)*0.00075)</f>
        <v>6.4632519000000004</v>
      </c>
      <c r="K951" s="33" cm="1">
        <f t="array" ref="K951">IF(D951="","",J951+I951)</f>
        <v>12.926503800000001</v>
      </c>
      <c r="L951" s="33" cm="1">
        <f t="array" ref="L951">IF(D951=0,0,(D951-C951)*G951)</f>
        <v>0</v>
      </c>
      <c r="M951" s="12">
        <v>8611.2059480999997</v>
      </c>
      <c r="N951" s="34" cm="1">
        <f t="array" ref="N951">IFERROR((K951-J951)/J951,"–")</f>
        <v>1</v>
      </c>
      <c r="O951" s="33" cm="1">
        <f t="array" ref="O951">IF(D951=0,0,L951-K951)</f>
        <v>-12.926503800000001</v>
      </c>
      <c r="P951" s="11"/>
      <c r="Q951" s="35"/>
    </row>
    <row r="952" spans="1:17" ht="22.5" customHeight="1">
      <c r="A952" s="16" t="s">
        <v>59</v>
      </c>
      <c r="B952" s="52">
        <v>44482</v>
      </c>
      <c r="C952" s="37">
        <v>17.64</v>
      </c>
      <c r="D952" s="37">
        <v>17.989999999999998</v>
      </c>
      <c r="E952" s="19" cm="1">
        <f t="array" ref="E952">IF(D952="","",D952-C952)</f>
        <v>0.34999999999999787</v>
      </c>
      <c r="F952" s="20" cm="1">
        <f t="array" ref="F952">IF(D952=0,"",(D952-C952)/C952)</f>
        <v>1.9841269841269719E-2</v>
      </c>
      <c r="G952" s="21">
        <v>500</v>
      </c>
      <c r="H952" s="22">
        <v>1</v>
      </c>
      <c r="I952" s="23" cm="1">
        <f t="array" ref="I952">IF(D952="","",(G952*C952)*0.00075)</f>
        <v>6.6150000000000002</v>
      </c>
      <c r="J952" s="23" cm="1">
        <f t="array" ref="J952">IF(D952="","",(G952*D952)*0.00075)</f>
        <v>6.7462499999999999</v>
      </c>
      <c r="K952" s="24" cm="1">
        <f t="array" ref="K952">IF(D952="","",J952+I952)</f>
        <v>13.36125</v>
      </c>
      <c r="L952" s="24" cm="1">
        <f t="array" ref="L952">IF(D952=0,0,(D952-C952)*G952)</f>
        <v>174.99999999999892</v>
      </c>
      <c r="M952" s="25">
        <v>8638.2537499999999</v>
      </c>
      <c r="N952" s="26" cm="1">
        <f t="array" ref="N952">IFERROR((K952-J952)/J952,"–")</f>
        <v>0.98054474708171213</v>
      </c>
      <c r="O952" s="24" cm="1">
        <f t="array" ref="O952">IF(D952=0,0,L952-K952)</f>
        <v>161.63874999999891</v>
      </c>
      <c r="P952" s="23"/>
      <c r="Q952" s="27"/>
    </row>
    <row r="953" spans="1:17" ht="22.5" customHeight="1">
      <c r="A953" s="16" t="s">
        <v>89</v>
      </c>
      <c r="B953" s="53">
        <v>44482</v>
      </c>
      <c r="C953" s="36">
        <v>0.11065</v>
      </c>
      <c r="D953" s="36">
        <v>0.11119999999999999</v>
      </c>
      <c r="E953" s="30" cm="1">
        <f t="array" ref="E953">IF(D953="","",D953-C953)</f>
        <v>5.4999999999999494E-4</v>
      </c>
      <c r="F953" s="31" cm="1">
        <f t="array" ref="F953">IF(D953=0,"",(D953-C953)/C953)</f>
        <v>4.9706281066425207E-3</v>
      </c>
      <c r="G953" s="32">
        <v>135556.20000000001</v>
      </c>
      <c r="H953" s="10">
        <v>1</v>
      </c>
      <c r="I953" s="11" cm="1">
        <f t="array" ref="I953">IF(D953="","",(G953*C953)*0.00075)</f>
        <v>11.2494701475</v>
      </c>
      <c r="J953" s="11" cm="1">
        <f t="array" ref="J953">IF(D953="","",(G953*D953)*0.00075)</f>
        <v>11.305387080000001</v>
      </c>
      <c r="K953" s="33" cm="1">
        <f t="array" ref="K953">IF(D953="","",J953+I953)</f>
        <v>22.554857227500001</v>
      </c>
      <c r="L953" s="33" cm="1">
        <f t="array" ref="L953">IF(D953=0,0,(D953-C953)*G953)</f>
        <v>74.555909999999315</v>
      </c>
      <c r="M953" s="12">
        <v>14913.43223292</v>
      </c>
      <c r="N953" s="34" cm="1">
        <f t="array" ref="N953">IFERROR((K953-J953)/J953,"–")</f>
        <v>0.99505395683453235</v>
      </c>
      <c r="O953" s="33" cm="1">
        <f t="array" ref="O953">IF(D953=0,0,L953-K953)</f>
        <v>52.001052772499314</v>
      </c>
      <c r="P953" s="11"/>
      <c r="Q953" s="35"/>
    </row>
    <row r="954" spans="1:17" ht="22.5" customHeight="1">
      <c r="A954" s="16" t="s">
        <v>39</v>
      </c>
      <c r="B954" s="54">
        <v>44482</v>
      </c>
      <c r="C954" s="37">
        <v>3.0870000000000002E-2</v>
      </c>
      <c r="D954" s="37">
        <v>3.1399999999999997E-2</v>
      </c>
      <c r="E954" s="19" cm="1">
        <f t="array" ref="E954">IF(D954="","",D954-C954)</f>
        <v>5.2999999999999575E-4</v>
      </c>
      <c r="F954" s="20" cm="1">
        <f t="array" ref="F954">IF(D954=0,"",(D954-C954)/C954)</f>
        <v>1.7168772270812947E-2</v>
      </c>
      <c r="G954" s="21">
        <v>251038</v>
      </c>
      <c r="H954" s="22">
        <v>1</v>
      </c>
      <c r="I954" s="23" cm="1">
        <f t="array" ref="I954">IF(D954="","",(G954*C954)*0.00075)</f>
        <v>5.8121572950000004</v>
      </c>
      <c r="J954" s="23" cm="1">
        <f t="array" ref="J954">IF(D954="","",(G954*D954)*0.00075)</f>
        <v>5.9119448999999999</v>
      </c>
      <c r="K954" s="24" cm="1">
        <f t="array" ref="K954">IF(D954="","",J954+I954)</f>
        <v>11.724102195</v>
      </c>
      <c r="L954" s="24" cm="1">
        <f t="array" ref="L954">IF(D954=0,0,(D954-C954)*G954)</f>
        <v>133.05013999999895</v>
      </c>
      <c r="M954" s="25">
        <v>7610.5809750999997</v>
      </c>
      <c r="N954" s="26" cm="1">
        <f t="array" ref="N954">IFERROR((K954-J954)/J954,"–")</f>
        <v>0.98312101910828031</v>
      </c>
      <c r="O954" s="24" cm="1">
        <f t="array" ref="O954">IF(D954=0,0,L954-K954)</f>
        <v>121.32603780499895</v>
      </c>
      <c r="P954" s="23"/>
      <c r="Q954" s="27"/>
    </row>
    <row r="955" spans="1:17" ht="22.5" customHeight="1">
      <c r="A955" s="16" t="s">
        <v>39</v>
      </c>
      <c r="B955" s="55">
        <v>44482</v>
      </c>
      <c r="C955" s="36">
        <v>3.0870000000000002E-2</v>
      </c>
      <c r="D955" s="36">
        <v>3.1600000000000003E-2</v>
      </c>
      <c r="E955" s="30" cm="1">
        <f t="array" ref="E955">IF(D955="","",D955-C955)</f>
        <v>7.3000000000000148E-4</v>
      </c>
      <c r="F955" s="31" cm="1">
        <f t="array" ref="F955">IF(D955=0,"",(D955-C955)/C955)</f>
        <v>2.3647554259799204E-2</v>
      </c>
      <c r="G955" s="32">
        <v>235486</v>
      </c>
      <c r="H955" s="10">
        <v>1</v>
      </c>
      <c r="I955" s="11" cm="1">
        <f t="array" ref="I955">IF(D955="","",(G955*C955)*0.00075)</f>
        <v>5.4520896150000002</v>
      </c>
      <c r="J955" s="11" cm="1">
        <f t="array" ref="J955">IF(D955="","",(G955*D955)*0.00075)</f>
        <v>5.5810181999999999</v>
      </c>
      <c r="K955" s="33" cm="1">
        <f t="array" ref="K955">IF(D955="","",J955+I955)</f>
        <v>11.033107815000001</v>
      </c>
      <c r="L955" s="33" cm="1">
        <f t="array" ref="L955">IF(D955=0,0,(D955-C955)*G955)</f>
        <v>171.90478000000036</v>
      </c>
      <c r="M955" s="12">
        <v>7091.9670218000001</v>
      </c>
      <c r="N955" s="34" cm="1">
        <f t="array" ref="N955">IFERROR((K955-J955)/J955,"–")</f>
        <v>0.9768987341772154</v>
      </c>
      <c r="O955" s="33" cm="1">
        <f t="array" ref="O955">IF(D955=0,0,L955-K955)</f>
        <v>160.87167218500036</v>
      </c>
      <c r="P955" s="11"/>
      <c r="Q955" s="35"/>
    </row>
    <row r="956" spans="1:17" ht="22.5" customHeight="1">
      <c r="A956" s="16" t="s">
        <v>39</v>
      </c>
      <c r="B956" s="54">
        <v>44482</v>
      </c>
      <c r="C956" s="37">
        <v>3.0870000000000002E-2</v>
      </c>
      <c r="D956" s="37">
        <v>3.1009999999999999E-2</v>
      </c>
      <c r="E956" s="19" cm="1">
        <f t="array" ref="E956">IF(D956="","",D956-C956)</f>
        <v>1.3999999999999777E-4</v>
      </c>
      <c r="F956" s="20" cm="1">
        <f t="array" ref="F956">IF(D956=0,"",(D956-C956)/C956)</f>
        <v>4.5351473922901767E-3</v>
      </c>
      <c r="G956" s="21">
        <v>376557</v>
      </c>
      <c r="H956" s="22">
        <v>1</v>
      </c>
      <c r="I956" s="23" cm="1">
        <f t="array" ref="I956">IF(D956="","",(G956*C956)*0.00075)</f>
        <v>8.7182359424999998</v>
      </c>
      <c r="J956" s="23" cm="1">
        <f t="array" ref="J956">IF(D956="","",(G956*D956)*0.00075)</f>
        <v>8.7577744274999993</v>
      </c>
      <c r="K956" s="24" cm="1">
        <f t="array" ref="K956">IF(D956="","",J956+I956)</f>
        <v>17.476010369999997</v>
      </c>
      <c r="L956" s="24" cm="1">
        <f t="array" ref="L956">IF(D956=0,0,(D956-C956)*G956)</f>
        <v>52.717979999999159</v>
      </c>
      <c r="M956" s="25">
        <v>11562.8388355725</v>
      </c>
      <c r="N956" s="26" cm="1">
        <f t="array" ref="N956">IFERROR((K956-J956)/J956,"–")</f>
        <v>0.9954853273137696</v>
      </c>
      <c r="O956" s="24" cm="1">
        <f t="array" ref="O956">IF(D956=0,0,L956-K956)</f>
        <v>35.241969629999161</v>
      </c>
      <c r="P956" s="23"/>
      <c r="Q956" s="27"/>
    </row>
    <row r="957" spans="1:17" ht="22.5" customHeight="1">
      <c r="A957" s="16" t="s">
        <v>39</v>
      </c>
      <c r="B957" s="55">
        <v>44482</v>
      </c>
      <c r="C957" s="36">
        <v>3.0870000000000002E-2</v>
      </c>
      <c r="D957" s="36">
        <v>3.1009999999999999E-2</v>
      </c>
      <c r="E957" s="30" cm="1">
        <f t="array" ref="E957">IF(D957="","",D957-C957)</f>
        <v>1.3999999999999777E-4</v>
      </c>
      <c r="F957" s="31" cm="1">
        <f t="array" ref="F957">IF(D957=0,"",(D957-C957)/C957)</f>
        <v>4.5351473922901767E-3</v>
      </c>
      <c r="G957" s="32">
        <v>141071</v>
      </c>
      <c r="H957" s="10">
        <v>1</v>
      </c>
      <c r="I957" s="11" cm="1">
        <f t="array" ref="I957">IF(D957="","",(G957*C957)*0.00075)</f>
        <v>3.2661463275000004</v>
      </c>
      <c r="J957" s="11" cm="1">
        <f t="array" ref="J957">IF(D957="","",(G957*D957)*0.00075)</f>
        <v>3.2809587824999999</v>
      </c>
      <c r="K957" s="33" cm="1">
        <f t="array" ref="K957">IF(D957="","",J957+I957)</f>
        <v>6.5471051100000004</v>
      </c>
      <c r="L957" s="33" cm="1">
        <f t="array" ref="L957">IF(D957=0,0,(D957-C957)*G957)</f>
        <v>19.749939999999686</v>
      </c>
      <c r="M957" s="12">
        <v>4331.8308712175003</v>
      </c>
      <c r="N957" s="34" cm="1">
        <f t="array" ref="N957">IFERROR((K957-J957)/J957,"–")</f>
        <v>0.99548532731376993</v>
      </c>
      <c r="O957" s="33" cm="1">
        <f t="array" ref="O957">IF(D957=0,0,L957-K957)</f>
        <v>13.202834889999686</v>
      </c>
      <c r="P957" s="11"/>
      <c r="Q957" s="35"/>
    </row>
    <row r="958" spans="1:17" ht="22.5" customHeight="1">
      <c r="A958" s="16" t="s">
        <v>121</v>
      </c>
      <c r="B958" s="52">
        <v>44482</v>
      </c>
      <c r="C958" s="37">
        <v>34.938000000000002</v>
      </c>
      <c r="D958" s="37">
        <v>34.945</v>
      </c>
      <c r="E958" s="19" cm="1">
        <f t="array" ref="E958">IF(D958="","",D958-C958)</f>
        <v>6.9999999999978968E-3</v>
      </c>
      <c r="F958" s="20" cm="1">
        <f t="array" ref="F958">IF(D958=0,"",(D958-C958)/C958)</f>
        <v>2.0035491441976921E-4</v>
      </c>
      <c r="G958" s="21">
        <v>915.9</v>
      </c>
      <c r="H958" s="22">
        <v>1</v>
      </c>
      <c r="I958" s="23" cm="1">
        <f t="array" ref="I958">IF(D958="","",(G958*C958)*0.00075)</f>
        <v>23.999785650000003</v>
      </c>
      <c r="J958" s="23" cm="1">
        <f t="array" ref="J958">IF(D958="","",(G958*D958)*0.00075)</f>
        <v>24.004594125000001</v>
      </c>
      <c r="K958" s="24" cm="1">
        <f t="array" ref="K958">IF(D958="","",J958+I958)</f>
        <v>48.004379775000004</v>
      </c>
      <c r="L958" s="24" cm="1">
        <f t="array" ref="L958">IF(D958=0,0,(D958-C958)*G958)</f>
        <v>6.4112999999980733</v>
      </c>
      <c r="M958" s="25">
        <v>31969.298305875</v>
      </c>
      <c r="N958" s="26" cm="1">
        <f t="array" ref="N958">IFERROR((K958-J958)/J958,"–")</f>
        <v>0.99979968521963092</v>
      </c>
      <c r="O958" s="24" cm="1">
        <f t="array" ref="O958">IF(D958=0,0,L958-K958)</f>
        <v>-41.593079775001932</v>
      </c>
      <c r="P958" s="23"/>
      <c r="Q958" s="27"/>
    </row>
    <row r="959" spans="1:17" ht="22.5" customHeight="1">
      <c r="A959" s="16" t="s">
        <v>200</v>
      </c>
      <c r="B959" s="53">
        <v>44482</v>
      </c>
      <c r="C959" s="36">
        <v>9.1899999999999996E-2</v>
      </c>
      <c r="D959" s="36">
        <v>9.2770000000000005E-2</v>
      </c>
      <c r="E959" s="30" cm="1">
        <f t="array" ref="E959">IF(D959="","",D959-C959)</f>
        <v>8.7000000000000965E-4</v>
      </c>
      <c r="F959" s="31" cm="1">
        <f t="array" ref="F959">IF(D959=0,"",(D959-C959)/C959)</f>
        <v>9.4668117519043499E-3</v>
      </c>
      <c r="G959" s="32">
        <v>348193.61</v>
      </c>
      <c r="H959" s="10">
        <v>1</v>
      </c>
      <c r="I959" s="11" cm="1">
        <f t="array" ref="I959">IF(D959="","",(G959*C959)*0.00075)</f>
        <v>23.999244569249999</v>
      </c>
      <c r="J959" s="11" cm="1">
        <f t="array" ref="J959">IF(D959="","",(G959*D959)*0.00075)</f>
        <v>24.226440899775003</v>
      </c>
      <c r="K959" s="33" cm="1">
        <f t="array" ref="K959">IF(D959="","",J959+I959)</f>
        <v>48.225685469025002</v>
      </c>
      <c r="L959" s="33" cm="1">
        <f t="array" ref="L959">IF(D959=0,0,(D959-C959)*G959)</f>
        <v>302.92844070000336</v>
      </c>
      <c r="M959" s="12">
        <v>31671.837877400201</v>
      </c>
      <c r="N959" s="34" cm="1">
        <f t="array" ref="N959">IFERROR((K959-J959)/J959,"–")</f>
        <v>0.99062196830872029</v>
      </c>
      <c r="O959" s="33" cm="1">
        <f t="array" ref="O959">IF(D959=0,0,L959-K959)</f>
        <v>254.70275523097837</v>
      </c>
      <c r="P959" s="11"/>
      <c r="Q959" s="35"/>
    </row>
    <row r="960" spans="1:17" ht="22.5" customHeight="1">
      <c r="A960" s="16" t="s">
        <v>140</v>
      </c>
      <c r="B960" s="54">
        <v>44482</v>
      </c>
      <c r="C960" s="37">
        <v>9.9700000000000006</v>
      </c>
      <c r="D960" s="37">
        <v>10.08</v>
      </c>
      <c r="E960" s="19" cm="1">
        <f t="array" ref="E960">IF(D960="","",D960-C960)</f>
        <v>0.10999999999999943</v>
      </c>
      <c r="F960" s="20" cm="1">
        <f t="array" ref="F960">IF(D960=0,"",(D960-C960)/C960)</f>
        <v>1.1033099297893624E-2</v>
      </c>
      <c r="G960" s="21">
        <v>802.1</v>
      </c>
      <c r="H960" s="22">
        <v>1</v>
      </c>
      <c r="I960" s="23" cm="1">
        <f t="array" ref="I960">IF(D960="","",(G960*C960)*0.00075)</f>
        <v>5.9977027500000011</v>
      </c>
      <c r="J960" s="23" cm="1">
        <f t="array" ref="J960">IF(D960="","",(G960*D960)*0.00075)</f>
        <v>6.0638760000000005</v>
      </c>
      <c r="K960" s="24" cm="1">
        <f t="array" ref="K960">IF(D960="","",J960+I960)</f>
        <v>12.061578750000002</v>
      </c>
      <c r="L960" s="24" cm="1">
        <f t="array" ref="L960">IF(D960=0,0,(D960-C960)*G960)</f>
        <v>88.23099999999954</v>
      </c>
      <c r="M960" s="25">
        <v>7902.642124</v>
      </c>
      <c r="N960" s="26" cm="1">
        <f t="array" ref="N960">IFERROR((K960-J960)/J960,"–")</f>
        <v>0.98908730158730185</v>
      </c>
      <c r="O960" s="24" cm="1">
        <f t="array" ref="O960">IF(D960=0,0,L960-K960)</f>
        <v>76.169421249999544</v>
      </c>
      <c r="P960" s="23"/>
      <c r="Q960" s="27"/>
    </row>
    <row r="961" spans="1:17" ht="22.5" customHeight="1">
      <c r="A961" s="16" t="s">
        <v>140</v>
      </c>
      <c r="B961" s="55">
        <v>44482</v>
      </c>
      <c r="C961" s="36">
        <v>9.9700000000000006</v>
      </c>
      <c r="D961" s="36">
        <v>10.132999999999999</v>
      </c>
      <c r="E961" s="30" cm="1">
        <f t="array" ref="E961">IF(D961="","",D961-C961)</f>
        <v>0.16299999999999848</v>
      </c>
      <c r="F961" s="31" cm="1">
        <f t="array" ref="F961">IF(D961=0,"",(D961-C961)/C961)</f>
        <v>1.6349047141424121E-2</v>
      </c>
      <c r="G961" s="32">
        <v>601.6</v>
      </c>
      <c r="H961" s="10">
        <v>1</v>
      </c>
      <c r="I961" s="11" cm="1">
        <f t="array" ref="I961">IF(D961="","",(G961*C961)*0.00075)</f>
        <v>4.4984640000000002</v>
      </c>
      <c r="J961" s="11" cm="1">
        <f t="array" ref="J961">IF(D961="","",(G961*D961)*0.00075)</f>
        <v>4.5720095999999995</v>
      </c>
      <c r="K961" s="33" cm="1">
        <f t="array" ref="K961">IF(D961="","",J961+I961)</f>
        <v>9.0704735999999997</v>
      </c>
      <c r="L961" s="33" cm="1">
        <f t="array" ref="L961">IF(D961=0,0,(D961-C961)*G961)</f>
        <v>98.060799999999091</v>
      </c>
      <c r="M961" s="12">
        <v>5895.3191903999996</v>
      </c>
      <c r="N961" s="34" cm="1">
        <f t="array" ref="N961">IFERROR((K961-J961)/J961,"–")</f>
        <v>0.98391394453764947</v>
      </c>
      <c r="O961" s="33" cm="1">
        <f t="array" ref="O961">IF(D961=0,0,L961-K961)</f>
        <v>88.990326399999091</v>
      </c>
      <c r="P961" s="11"/>
      <c r="Q961" s="35"/>
    </row>
    <row r="962" spans="1:17" ht="22.5" customHeight="1">
      <c r="A962" s="16" t="s">
        <v>140</v>
      </c>
      <c r="B962" s="54">
        <v>44482</v>
      </c>
      <c r="C962" s="37">
        <v>9.9700000000000006</v>
      </c>
      <c r="D962" s="37">
        <v>10.15</v>
      </c>
      <c r="E962" s="19" cm="1">
        <f t="array" ref="E962">IF(D962="","",D962-C962)</f>
        <v>0.17999999999999972</v>
      </c>
      <c r="F962" s="20" cm="1">
        <f t="array" ref="F962">IF(D962=0,"",(D962-C962)/C962)</f>
        <v>1.8054162487462357E-2</v>
      </c>
      <c r="G962" s="21">
        <v>902.5</v>
      </c>
      <c r="H962" s="22">
        <v>1</v>
      </c>
      <c r="I962" s="23" cm="1">
        <f t="array" ref="I962">IF(D962="","",(G962*C962)*0.00075)</f>
        <v>6.7484437500000007</v>
      </c>
      <c r="J962" s="23" cm="1">
        <f t="array" ref="J962">IF(D962="","",(G962*D962)*0.00075)</f>
        <v>6.8702812500000006</v>
      </c>
      <c r="K962" s="24" cm="1">
        <f t="array" ref="K962">IF(D962="","",J962+I962)</f>
        <v>13.618725000000001</v>
      </c>
      <c r="L962" s="24" cm="1">
        <f t="array" ref="L962">IF(D962=0,0,(D962-C962)*G962)</f>
        <v>162.44999999999973</v>
      </c>
      <c r="M962" s="25">
        <v>8828.6047187500008</v>
      </c>
      <c r="N962" s="26" cm="1">
        <f t="array" ref="N962">IFERROR((K962-J962)/J962,"–")</f>
        <v>0.98226600985221679</v>
      </c>
      <c r="O962" s="24" cm="1">
        <f t="array" ref="O962">IF(D962=0,0,L962-K962)</f>
        <v>148.83127499999972</v>
      </c>
      <c r="P962" s="23"/>
      <c r="Q962" s="27"/>
    </row>
    <row r="963" spans="1:17" ht="22.5" customHeight="1">
      <c r="A963" s="16" t="s">
        <v>140</v>
      </c>
      <c r="B963" s="55">
        <v>44482</v>
      </c>
      <c r="C963" s="36">
        <v>9.9700000000000006</v>
      </c>
      <c r="D963" s="36">
        <v>10.084</v>
      </c>
      <c r="E963" s="30" cm="1">
        <f t="array" ref="E963">IF(D963="","",D963-C963)</f>
        <v>0.11399999999999899</v>
      </c>
      <c r="F963" s="31" cm="1">
        <f t="array" ref="F963">IF(D963=0,"",(D963-C963)/C963)</f>
        <v>1.1434302908726077E-2</v>
      </c>
      <c r="G963" s="32">
        <v>902.5</v>
      </c>
      <c r="H963" s="10">
        <v>1</v>
      </c>
      <c r="I963" s="11" cm="1">
        <f t="array" ref="I963">IF(D963="","",(G963*C963)*0.00075)</f>
        <v>6.7484437500000007</v>
      </c>
      <c r="J963" s="11" cm="1">
        <f t="array" ref="J963">IF(D963="","",(G963*D963)*0.00075)</f>
        <v>6.8256074999999994</v>
      </c>
      <c r="K963" s="33" cm="1">
        <f t="array" ref="K963">IF(D963="","",J963+I963)</f>
        <v>13.57405125</v>
      </c>
      <c r="L963" s="33" cm="1">
        <f t="array" ref="L963">IF(D963=0,0,(D963-C963)*G963)</f>
        <v>102.8849999999991</v>
      </c>
      <c r="M963" s="12">
        <v>8888.2143925</v>
      </c>
      <c r="N963" s="34" cm="1">
        <f t="array" ref="N963">IFERROR((K963-J963)/J963,"–")</f>
        <v>0.9886949623165413</v>
      </c>
      <c r="O963" s="33" cm="1">
        <f t="array" ref="O963">IF(D963=0,0,L963-K963)</f>
        <v>89.310948749999099</v>
      </c>
      <c r="P963" s="11"/>
      <c r="Q963" s="35"/>
    </row>
    <row r="964" spans="1:17" ht="22.5" customHeight="1">
      <c r="A964" s="16" t="s">
        <v>120</v>
      </c>
      <c r="B964" s="54">
        <v>44482</v>
      </c>
      <c r="C964" s="37">
        <v>0.31258999999999998</v>
      </c>
      <c r="D964" s="37">
        <v>0.31503999999999999</v>
      </c>
      <c r="E964" s="19" cm="1">
        <f t="array" ref="E964">IF(D964="","",D964-C964)</f>
        <v>2.4500000000000077E-3</v>
      </c>
      <c r="F964" s="20" cm="1">
        <f t="array" ref="F964">IF(D964=0,"",(D964-C964)/C964)</f>
        <v>7.837742730093758E-3</v>
      </c>
      <c r="G964" s="21">
        <v>102370</v>
      </c>
      <c r="H964" s="22">
        <v>1</v>
      </c>
      <c r="I964" s="23" cm="1">
        <f t="array" ref="I964">IF(D964="","",(G964*C964)*0.00075)</f>
        <v>23.999878724999999</v>
      </c>
      <c r="J964" s="23" cm="1">
        <f t="array" ref="J964">IF(D964="","",(G964*D964)*0.00075)</f>
        <v>24.187983599999999</v>
      </c>
      <c r="K964" s="24" cm="1">
        <f t="array" ref="K964">IF(D964="","",J964+I964)</f>
        <v>48.187862324999998</v>
      </c>
      <c r="L964" s="24" cm="1">
        <f t="array" ref="L964">IF(D964=0,0,(D964-C964)*G964)</f>
        <v>250.8065000000008</v>
      </c>
      <c r="M964" s="25">
        <v>31724.8438164</v>
      </c>
      <c r="N964" s="26" cm="1">
        <f t="array" ref="N964">IFERROR((K964-J964)/J964,"–")</f>
        <v>0.99222320975114264</v>
      </c>
      <c r="O964" s="24" cm="1">
        <f t="array" ref="O964">IF(D964=0,0,L964-K964)</f>
        <v>202.6186376750008</v>
      </c>
      <c r="P964" s="23"/>
      <c r="Q964" s="27"/>
    </row>
    <row r="965" spans="1:17" ht="22.5" customHeight="1">
      <c r="A965" s="16" t="s">
        <v>201</v>
      </c>
      <c r="B965" s="53">
        <v>44482</v>
      </c>
      <c r="C965" s="36">
        <v>43.69</v>
      </c>
      <c r="D965" s="36">
        <v>40</v>
      </c>
      <c r="E965" s="30" cm="1">
        <f t="array" ref="E965">IF(D965="","",D965-C965)</f>
        <v>-3.6899999999999977</v>
      </c>
      <c r="F965" s="31" cm="1">
        <f t="array" ref="F965">IF(D965=0,"",(D965-C965)/C965)</f>
        <v>-8.4458686198214644E-2</v>
      </c>
      <c r="G965" s="32">
        <v>343.29</v>
      </c>
      <c r="H965" s="10">
        <v>1</v>
      </c>
      <c r="I965" s="11" cm="1">
        <f t="array" ref="I965">IF(D965="","",(G965*C965)*0.00075)</f>
        <v>11.248755075</v>
      </c>
      <c r="J965" s="11" cm="1">
        <f t="array" ref="J965">IF(D965="","",(G965*D965)*0.00075)</f>
        <v>10.2987</v>
      </c>
      <c r="K965" s="33" cm="1">
        <f t="array" ref="K965">IF(D965="","",J965+I965)</f>
        <v>21.547455075000002</v>
      </c>
      <c r="L965" s="33" cm="1">
        <f t="array" ref="L965">IF(D965=0,0,(D965-C965)*G965)</f>
        <v>-1266.7400999999993</v>
      </c>
      <c r="M965" s="12">
        <v>16254.781499999999</v>
      </c>
      <c r="N965" s="34" cm="1">
        <f t="array" ref="N965">IFERROR((K965-J965)/J965,"–")</f>
        <v>1.0922500000000002</v>
      </c>
      <c r="O965" s="33" cm="1">
        <f t="array" ref="O965">IF(D965=0,0,L965-K965)</f>
        <v>-1288.2875550749993</v>
      </c>
      <c r="P965" s="11"/>
      <c r="Q965" s="35"/>
    </row>
    <row r="966" spans="1:17" ht="22.5" customHeight="1">
      <c r="A966" s="16" t="s">
        <v>201</v>
      </c>
      <c r="B966" s="52">
        <v>44482</v>
      </c>
      <c r="C966" s="37">
        <v>43.69</v>
      </c>
      <c r="D966" s="37">
        <v>39.54</v>
      </c>
      <c r="E966" s="19" cm="1">
        <f t="array" ref="E966">IF(D966="","",D966-C966)</f>
        <v>-4.1499999999999986</v>
      </c>
      <c r="F966" s="20" cm="1">
        <f t="array" ref="F966">IF(D966=0,"",(D966-C966)/C966)</f>
        <v>-9.4987411306935193E-2</v>
      </c>
      <c r="G966" s="21">
        <v>243.29</v>
      </c>
      <c r="H966" s="22">
        <v>1</v>
      </c>
      <c r="I966" s="23" cm="1">
        <f t="array" ref="I966">IF(D966="","",(G966*C966)*0.00075)</f>
        <v>7.9720050749999993</v>
      </c>
      <c r="J966" s="23" cm="1">
        <f t="array" ref="J966">IF(D966="","",(G966*D966)*0.00075)</f>
        <v>7.2147649499999993</v>
      </c>
      <c r="K966" s="24" cm="1">
        <f t="array" ref="K966">IF(D966="","",J966+I966)</f>
        <v>15.186770024999998</v>
      </c>
      <c r="L966" s="24" cm="1">
        <f t="array" ref="L966">IF(D966=0,0,(D966-C966)*G966)</f>
        <v>-1009.6534999999997</v>
      </c>
      <c r="M966" s="25">
        <v>11631.77883505</v>
      </c>
      <c r="N966" s="26" cm="1">
        <f t="array" ref="N966">IFERROR((K966-J966)/J966,"–")</f>
        <v>1.1049570055639857</v>
      </c>
      <c r="O966" s="24" cm="1">
        <f t="array" ref="O966">IF(D966=0,0,L966-K966)</f>
        <v>-1024.8402700249997</v>
      </c>
      <c r="P966" s="23"/>
      <c r="Q966" s="27"/>
    </row>
    <row r="967" spans="1:17" ht="22.5" customHeight="1">
      <c r="A967" s="16" t="s">
        <v>130</v>
      </c>
      <c r="B967" s="55">
        <v>44483</v>
      </c>
      <c r="C967" s="36">
        <v>0.77139999999999997</v>
      </c>
      <c r="D967" s="36">
        <v>0.77600000000000002</v>
      </c>
      <c r="E967" s="30" cm="1">
        <f t="array" ref="E967">IF(D967="","",D967-C967)</f>
        <v>4.6000000000000485E-3</v>
      </c>
      <c r="F967" s="31" cm="1">
        <f t="array" ref="F967">IF(D967=0,"",(D967-C967)/C967)</f>
        <v>5.9631838216230859E-3</v>
      </c>
      <c r="G967" s="32">
        <v>19443</v>
      </c>
      <c r="H967" s="10">
        <v>1</v>
      </c>
      <c r="I967" s="11" cm="1">
        <f t="array" ref="I967">IF(D967="","",(G967*C967)*0.00075)</f>
        <v>11.24874765</v>
      </c>
      <c r="J967" s="11" cm="1">
        <f t="array" ref="J967">IF(D967="","",(G967*D967)*0.00075)</f>
        <v>11.315825999999999</v>
      </c>
      <c r="K967" s="33" cm="1">
        <f t="array" ref="K967">IF(D967="","",J967+I967)</f>
        <v>22.56457365</v>
      </c>
      <c r="L967" s="33" cm="1">
        <f t="array" ref="L967">IF(D967=0,0,(D967-C967)*G967)</f>
        <v>89.437800000000948</v>
      </c>
      <c r="M967" s="12">
        <v>14897.576574000001</v>
      </c>
      <c r="N967" s="34" cm="1">
        <f t="array" ref="N967">IFERROR((K967-J967)/J967,"–")</f>
        <v>0.99407216494845363</v>
      </c>
      <c r="O967" s="33" cm="1">
        <f t="array" ref="O967">IF(D967=0,0,L967-K967)</f>
        <v>66.873226350000948</v>
      </c>
      <c r="P967" s="11"/>
      <c r="Q967" s="35"/>
    </row>
    <row r="968" spans="1:17" ht="22.5" customHeight="1">
      <c r="A968" s="16" t="s">
        <v>92</v>
      </c>
      <c r="B968" s="54">
        <v>44483</v>
      </c>
      <c r="C968" s="37">
        <v>5.117E-2</v>
      </c>
      <c r="D968" s="37">
        <v>0.05</v>
      </c>
      <c r="E968" s="19" cm="1">
        <f t="array" ref="E968">IF(D968="","",D968-C968)</f>
        <v>-1.1699999999999974E-3</v>
      </c>
      <c r="F968" s="20" cm="1">
        <f t="array" ref="F968">IF(D968=0,"",(D968-C968)/C968)</f>
        <v>-2.2864959937463306E-2</v>
      </c>
      <c r="G968" s="21">
        <v>511443</v>
      </c>
      <c r="H968" s="22">
        <v>1</v>
      </c>
      <c r="I968" s="23" cm="1">
        <f t="array" ref="I968">IF(D968="","",(G968*C968)*0.00075)</f>
        <v>19.627903732500002</v>
      </c>
      <c r="J968" s="23" cm="1">
        <f t="array" ref="J968">IF(D968="","",(G968*D968)*0.00075)</f>
        <v>19.179112500000002</v>
      </c>
      <c r="K968" s="24" cm="1">
        <f t="array" ref="K968">IF(D968="","",J968+I968)</f>
        <v>38.807016232500004</v>
      </c>
      <c r="L968" s="24" cm="1">
        <f t="array" ref="L968">IF(D968=0,0,(D968-C968)*G968)</f>
        <v>-598.38830999999868</v>
      </c>
      <c r="M968" s="25">
        <v>26749.7475075</v>
      </c>
      <c r="N968" s="26" cm="1">
        <f t="array" ref="N968">IFERROR((K968-J968)/J968,"–")</f>
        <v>1.0234000000000001</v>
      </c>
      <c r="O968" s="24" cm="1">
        <f t="array" ref="O968">IF(D968=0,0,L968-K968)</f>
        <v>-637.1953262324987</v>
      </c>
      <c r="P968" s="23"/>
      <c r="Q968" s="27"/>
    </row>
    <row r="969" spans="1:17" ht="22.5" customHeight="1">
      <c r="A969" s="16" t="s">
        <v>92</v>
      </c>
      <c r="B969" s="55">
        <v>44483</v>
      </c>
      <c r="C969" s="36">
        <v>5.117E-2</v>
      </c>
      <c r="D969" s="36">
        <v>5.0630000000000001E-2</v>
      </c>
      <c r="E969" s="30" cm="1">
        <f t="array" ref="E969">IF(D969="","",D969-C969)</f>
        <v>-5.3999999999999881E-4</v>
      </c>
      <c r="F969" s="31" cm="1">
        <f t="array" ref="F969">IF(D969=0,"",(D969-C969)/C969)</f>
        <v>-1.0553058432675372E-2</v>
      </c>
      <c r="G969" s="32">
        <v>65038.8</v>
      </c>
      <c r="H969" s="10">
        <v>1</v>
      </c>
      <c r="I969" s="11" cm="1">
        <f t="array" ref="I969">IF(D969="","",(G969*C969)*0.00075)</f>
        <v>2.496026547</v>
      </c>
      <c r="J969" s="11" cm="1">
        <f t="array" ref="J969">IF(D969="","",(G969*D969)*0.00075)</f>
        <v>2.4696858330000002</v>
      </c>
      <c r="K969" s="33" cm="1">
        <f t="array" ref="K969">IF(D969="","",J969+I969)</f>
        <v>4.9657123800000003</v>
      </c>
      <c r="L969" s="33" cm="1">
        <f t="array" ref="L969">IF(D969=0,0,(D969-C969)*G969)</f>
        <v>-35.120951999999924</v>
      </c>
      <c r="M969" s="12">
        <v>3360.6866621670001</v>
      </c>
      <c r="N969" s="34" cm="1">
        <f t="array" ref="N969">IFERROR((K969-J969)/J969,"–")</f>
        <v>1.0106656132727632</v>
      </c>
      <c r="O969" s="33" cm="1">
        <f t="array" ref="O969">IF(D969=0,0,L969-K969)</f>
        <v>-40.086664379999924</v>
      </c>
      <c r="P969" s="11"/>
      <c r="Q969" s="35"/>
    </row>
    <row r="970" spans="1:17" ht="22.5" customHeight="1">
      <c r="A970" s="16" t="s">
        <v>77</v>
      </c>
      <c r="B970" s="54">
        <v>44483</v>
      </c>
      <c r="C970" s="37">
        <v>0.72789999999999999</v>
      </c>
      <c r="D970" s="37">
        <v>0.72950000000000004</v>
      </c>
      <c r="E970" s="19" cm="1">
        <f t="array" ref="E970">IF(D970="","",D970-C970)</f>
        <v>1.6000000000000458E-3</v>
      </c>
      <c r="F970" s="20" cm="1">
        <f t="array" ref="F970">IF(D970=0,"",(D970-C970)/C970)</f>
        <v>2.1981041351834675E-3</v>
      </c>
      <c r="G970" s="21">
        <v>9788</v>
      </c>
      <c r="H970" s="22">
        <v>1</v>
      </c>
      <c r="I970" s="23" cm="1">
        <f t="array" ref="I970">IF(D970="","",(G970*C970)*0.00075)</f>
        <v>5.3435138999999996</v>
      </c>
      <c r="J970" s="23" cm="1">
        <f t="array" ref="J970">IF(D970="","",(G970*D970)*0.00075)</f>
        <v>5.3552595000000007</v>
      </c>
      <c r="K970" s="24" cm="1">
        <f t="array" ref="K970">IF(D970="","",J970+I970)</f>
        <v>10.6987734</v>
      </c>
      <c r="L970" s="24" cm="1">
        <f t="array" ref="L970">IF(D970=0,0,(D970-C970)*G970)</f>
        <v>15.660800000000449</v>
      </c>
      <c r="M970" s="25">
        <v>7103.6691405000001</v>
      </c>
      <c r="N970" s="26" cm="1">
        <f t="array" ref="N970">IFERROR((K970-J970)/J970,"–")</f>
        <v>0.99780671692940348</v>
      </c>
      <c r="O970" s="24" cm="1">
        <f t="array" ref="O970">IF(D970=0,0,L970-K970)</f>
        <v>4.9620266000004492</v>
      </c>
      <c r="P970" s="23"/>
      <c r="Q970" s="27"/>
    </row>
    <row r="971" spans="1:17" ht="22.5" customHeight="1">
      <c r="A971" s="16" t="s">
        <v>77</v>
      </c>
      <c r="B971" s="55">
        <v>44483</v>
      </c>
      <c r="C971" s="36">
        <v>0.72789999999999999</v>
      </c>
      <c r="D971" s="36">
        <v>0.72950000000000004</v>
      </c>
      <c r="E971" s="30" cm="1">
        <f t="array" ref="E971">IF(D971="","",D971-C971)</f>
        <v>1.6000000000000458E-3</v>
      </c>
      <c r="F971" s="31" cm="1">
        <f t="array" ref="F971">IF(D971=0,"",(D971-C971)/C971)</f>
        <v>2.1981041351834675E-3</v>
      </c>
      <c r="G971" s="32">
        <v>7341</v>
      </c>
      <c r="H971" s="10">
        <v>1</v>
      </c>
      <c r="I971" s="11" cm="1">
        <f t="array" ref="I971">IF(D971="","",(G971*C971)*0.00075)</f>
        <v>4.0076354250000001</v>
      </c>
      <c r="J971" s="11" cm="1">
        <f t="array" ref="J971">IF(D971="","",(G971*D971)*0.00075)</f>
        <v>4.0164446250000001</v>
      </c>
      <c r="K971" s="33" cm="1">
        <f t="array" ref="K971">IF(D971="","",J971+I971)</f>
        <v>8.0240800500000002</v>
      </c>
      <c r="L971" s="33" cm="1">
        <f t="array" ref="L971">IF(D971=0,0,(D971-C971)*G971)</f>
        <v>11.745600000000337</v>
      </c>
      <c r="M971" s="12">
        <v>5327.7518553749996</v>
      </c>
      <c r="N971" s="34" cm="1">
        <f t="array" ref="N971">IFERROR((K971-J971)/J971,"–")</f>
        <v>0.9978067169294037</v>
      </c>
      <c r="O971" s="33" cm="1">
        <f t="array" ref="O971">IF(D971=0,0,L971-K971)</f>
        <v>3.7215199500003369</v>
      </c>
      <c r="P971" s="11"/>
      <c r="Q971" s="35"/>
    </row>
    <row r="972" spans="1:17" ht="22.5" customHeight="1">
      <c r="A972" s="16" t="s">
        <v>77</v>
      </c>
      <c r="B972" s="54">
        <v>44483</v>
      </c>
      <c r="C972" s="37">
        <v>0.72789999999999999</v>
      </c>
      <c r="D972" s="37">
        <v>0.72899999999999998</v>
      </c>
      <c r="E972" s="19" cm="1">
        <f t="array" ref="E972">IF(D972="","",D972-C972)</f>
        <v>1.0999999999999899E-3</v>
      </c>
      <c r="F972" s="20" cm="1">
        <f t="array" ref="F972">IF(D972=0,"",(D972-C972)/C972)</f>
        <v>1.5111965929385765E-3</v>
      </c>
      <c r="G972" s="21">
        <v>5505</v>
      </c>
      <c r="H972" s="22">
        <v>1</v>
      </c>
      <c r="I972" s="23" cm="1">
        <f t="array" ref="I972">IF(D972="","",(G972*C972)*0.00075)</f>
        <v>3.0053171249999999</v>
      </c>
      <c r="J972" s="23" cm="1">
        <f t="array" ref="J972">IF(D972="","",(G972*D972)*0.00075)</f>
        <v>3.0098587500000002</v>
      </c>
      <c r="K972" s="24" cm="1">
        <f t="array" ref="K972">IF(D972="","",J972+I972)</f>
        <v>6.0151758750000006</v>
      </c>
      <c r="L972" s="24" cm="1">
        <f t="array" ref="L972">IF(D972=0,0,(D972-C972)*G972)</f>
        <v>6.0554999999999444</v>
      </c>
      <c r="M972" s="25">
        <v>3998.02414125</v>
      </c>
      <c r="N972" s="26" cm="1">
        <f t="array" ref="N972">IFERROR((K972-J972)/J972,"–")</f>
        <v>0.99849108367626893</v>
      </c>
      <c r="O972" s="24" cm="1">
        <f t="array" ref="O972">IF(D972=0,0,L972-K972)</f>
        <v>4.0324124999943756E-2</v>
      </c>
      <c r="P972" s="23"/>
      <c r="Q972" s="27"/>
    </row>
    <row r="973" spans="1:17" ht="22.5" customHeight="1">
      <c r="A973" s="16" t="s">
        <v>77</v>
      </c>
      <c r="B973" s="55">
        <v>44483</v>
      </c>
      <c r="C973" s="36">
        <v>0.72789999999999999</v>
      </c>
      <c r="D973" s="36">
        <v>0.73180000000000001</v>
      </c>
      <c r="E973" s="30" cm="1">
        <f t="array" ref="E973">IF(D973="","",D973-C973)</f>
        <v>3.9000000000000146E-3</v>
      </c>
      <c r="F973" s="31" cm="1">
        <f t="array" ref="F973">IF(D973=0,"",(D973-C973)/C973)</f>
        <v>5.3578788295095678E-3</v>
      </c>
      <c r="G973" s="32">
        <v>4129</v>
      </c>
      <c r="H973" s="10">
        <v>1</v>
      </c>
      <c r="I973" s="11" cm="1">
        <f t="array" ref="I973">IF(D973="","",(G973*C973)*0.00075)</f>
        <v>2.2541243250000003</v>
      </c>
      <c r="J973" s="11" cm="1">
        <f t="array" ref="J973">IF(D973="","",(G973*D973)*0.00075)</f>
        <v>2.2662016499999997</v>
      </c>
      <c r="K973" s="33" cm="1">
        <f t="array" ref="K973">IF(D973="","",J973+I973)</f>
        <v>4.5203259750000004</v>
      </c>
      <c r="L973" s="33" cm="1">
        <f t="array" ref="L973">IF(D973=0,0,(D973-C973)*G973)</f>
        <v>16.103100000000062</v>
      </c>
      <c r="M973" s="12">
        <v>2987.1297983499999</v>
      </c>
      <c r="N973" s="34" cm="1">
        <f t="array" ref="N973">IFERROR((K973-J973)/J973,"–")</f>
        <v>0.99467067504782769</v>
      </c>
      <c r="O973" s="33" cm="1">
        <f t="array" ref="O973">IF(D973=0,0,L973-K973)</f>
        <v>11.582774025000061</v>
      </c>
      <c r="P973" s="11"/>
      <c r="Q973" s="35"/>
    </row>
    <row r="974" spans="1:17" ht="22.5" customHeight="1">
      <c r="A974" s="16" t="s">
        <v>77</v>
      </c>
      <c r="B974" s="54">
        <v>44483</v>
      </c>
      <c r="C974" s="37">
        <v>0.72789999999999999</v>
      </c>
      <c r="D974" s="37">
        <v>0.73499999999999999</v>
      </c>
      <c r="E974" s="19" cm="1">
        <f t="array" ref="E974">IF(D974="","",D974-C974)</f>
        <v>7.0999999999999952E-3</v>
      </c>
      <c r="F974" s="20" cm="1">
        <f t="array" ref="F974">IF(D974=0,"",(D974-C974)/C974)</f>
        <v>9.7540870998763501E-3</v>
      </c>
      <c r="G974" s="21">
        <v>12389</v>
      </c>
      <c r="H974" s="22">
        <v>1</v>
      </c>
      <c r="I974" s="23" cm="1">
        <f t="array" ref="I974">IF(D974="","",(G974*C974)*0.00075)</f>
        <v>6.7634648250000007</v>
      </c>
      <c r="J974" s="23" cm="1">
        <f t="array" ref="J974">IF(D974="","",(G974*D974)*0.00075)</f>
        <v>6.8294362499999997</v>
      </c>
      <c r="K974" s="24" cm="1">
        <f t="array" ref="K974">IF(D974="","",J974+I974)</f>
        <v>13.592901075</v>
      </c>
      <c r="L974" s="24" cm="1">
        <f t="array" ref="L974">IF(D974=0,0,(D974-C974)*G974)</f>
        <v>87.961899999999943</v>
      </c>
      <c r="M974" s="25">
        <v>8923.1617637500003</v>
      </c>
      <c r="N974" s="26" cm="1">
        <f t="array" ref="N974">IFERROR((K974-J974)/J974,"–")</f>
        <v>0.99034013605442195</v>
      </c>
      <c r="O974" s="24" cm="1">
        <f t="array" ref="O974">IF(D974=0,0,L974-K974)</f>
        <v>74.368998924999943</v>
      </c>
      <c r="P974" s="23"/>
      <c r="Q974" s="27"/>
    </row>
    <row r="975" spans="1:17" ht="22.5" customHeight="1">
      <c r="A975" s="16" t="s">
        <v>96</v>
      </c>
      <c r="B975" s="55">
        <v>44483</v>
      </c>
      <c r="C975" s="36">
        <v>9.2660000000000006E-2</v>
      </c>
      <c r="D975" s="36">
        <v>9.2999999999999999E-2</v>
      </c>
      <c r="E975" s="30" cm="1">
        <f t="array" ref="E975">IF(D975="","",D975-C975)</f>
        <v>3.3999999999999309E-4</v>
      </c>
      <c r="F975" s="31" cm="1">
        <f t="array" ref="F975">IF(D975=0,"",(D975-C975)/C975)</f>
        <v>3.6693287286854422E-3</v>
      </c>
      <c r="G975" s="32">
        <v>75541.2</v>
      </c>
      <c r="H975" s="10">
        <v>1</v>
      </c>
      <c r="I975" s="11" cm="1">
        <f t="array" ref="I975">IF(D975="","",(G975*C975)*0.00075)</f>
        <v>5.249735694</v>
      </c>
      <c r="J975" s="11" cm="1">
        <f t="array" ref="J975">IF(D975="","",(G975*D975)*0.00075)</f>
        <v>5.2689987</v>
      </c>
      <c r="K975" s="33" cm="1">
        <f t="array" ref="K975">IF(D975="","",J975+I975)</f>
        <v>10.518734393999999</v>
      </c>
      <c r="L975" s="33" cm="1">
        <f t="array" ref="L975">IF(D975=0,0,(D975-C975)*G975)</f>
        <v>25.684007999999476</v>
      </c>
      <c r="M975" s="12">
        <v>6968.6945852999997</v>
      </c>
      <c r="N975" s="34" cm="1">
        <f t="array" ref="N975">IFERROR((K975-J975)/J975,"–")</f>
        <v>0.99634408602150515</v>
      </c>
      <c r="O975" s="33" cm="1">
        <f t="array" ref="O975">IF(D975=0,0,L975-K975)</f>
        <v>15.165273605999477</v>
      </c>
      <c r="P975" s="11"/>
      <c r="Q975" s="35"/>
    </row>
    <row r="976" spans="1:17" ht="22.5" customHeight="1">
      <c r="A976" s="16" t="s">
        <v>96</v>
      </c>
      <c r="B976" s="54">
        <v>44483</v>
      </c>
      <c r="C976" s="37">
        <v>9.2660000000000006E-2</v>
      </c>
      <c r="D976" s="37">
        <v>9.2999999999999999E-2</v>
      </c>
      <c r="E976" s="19" cm="1">
        <f t="array" ref="E976">IF(D976="","",D976-C976)</f>
        <v>3.3999999999999309E-4</v>
      </c>
      <c r="F976" s="20" cm="1">
        <f t="array" ref="F976">IF(D976=0,"",(D976-C976)/C976)</f>
        <v>3.6693287286854422E-3</v>
      </c>
      <c r="G976" s="21">
        <v>169967.9</v>
      </c>
      <c r="H976" s="22">
        <v>1</v>
      </c>
      <c r="I976" s="23" cm="1">
        <f t="array" ref="I976">IF(D976="","",(G976*C976)*0.00075)</f>
        <v>11.811919210500001</v>
      </c>
      <c r="J976" s="23" cm="1">
        <f t="array" ref="J976">IF(D976="","",(G976*D976)*0.00075)</f>
        <v>11.855261025000001</v>
      </c>
      <c r="K976" s="24" cm="1">
        <f t="array" ref="K976">IF(D976="","",J976+I976)</f>
        <v>23.667180235500002</v>
      </c>
      <c r="L976" s="24" cm="1">
        <f t="array" ref="L976">IF(D976=0,0,(D976-C976)*G976)</f>
        <v>57.789085999998825</v>
      </c>
      <c r="M976" s="25">
        <v>15679.581266974999</v>
      </c>
      <c r="N976" s="26" cm="1">
        <f t="array" ref="N976">IFERROR((K976-J976)/J976,"–")</f>
        <v>0.99634408602150537</v>
      </c>
      <c r="O976" s="24" cm="1">
        <f t="array" ref="O976">IF(D976=0,0,L976-K976)</f>
        <v>34.12190576449882</v>
      </c>
      <c r="P976" s="23"/>
      <c r="Q976" s="27"/>
    </row>
    <row r="977" spans="1:17" ht="22.5" customHeight="1">
      <c r="A977" s="16" t="s">
        <v>96</v>
      </c>
      <c r="B977" s="55">
        <v>44483</v>
      </c>
      <c r="C977" s="36">
        <v>9.2660000000000006E-2</v>
      </c>
      <c r="D977" s="36">
        <v>9.2799999999999994E-2</v>
      </c>
      <c r="E977" s="30" cm="1">
        <f t="array" ref="E977">IF(D977="","",D977-C977)</f>
        <v>1.3999999999998736E-4</v>
      </c>
      <c r="F977" s="31" cm="1">
        <f t="array" ref="F977">IF(D977=0,"",(D977-C977)/C977)</f>
        <v>1.5109000647527233E-3</v>
      </c>
      <c r="G977" s="32">
        <v>56655.9</v>
      </c>
      <c r="H977" s="10">
        <v>1</v>
      </c>
      <c r="I977" s="11" cm="1">
        <f t="array" ref="I977">IF(D977="","",(G977*C977)*0.00075)</f>
        <v>3.9373017705000009</v>
      </c>
      <c r="J977" s="11" cm="1">
        <f t="array" ref="J977">IF(D977="","",(G977*D977)*0.00075)</f>
        <v>3.94325064</v>
      </c>
      <c r="K977" s="33" cm="1">
        <f t="array" ref="K977">IF(D977="","",J977+I977)</f>
        <v>7.8805524105000009</v>
      </c>
      <c r="L977" s="33" cm="1">
        <f t="array" ref="L977">IF(D977=0,0,(D977-C977)*G977)</f>
        <v>7.9318259999992842</v>
      </c>
      <c r="M977" s="12">
        <v>5237.8606173600001</v>
      </c>
      <c r="N977" s="34" cm="1">
        <f t="array" ref="N977">IFERROR((K977-J977)/J977,"–")</f>
        <v>0.99849137931034504</v>
      </c>
      <c r="O977" s="33" cm="1">
        <f t="array" ref="O977">IF(D977=0,0,L977-K977)</f>
        <v>5.127358949928329E-2</v>
      </c>
      <c r="P977" s="11"/>
      <c r="Q977" s="35"/>
    </row>
    <row r="978" spans="1:17" ht="22.5" customHeight="1">
      <c r="A978" s="16" t="s">
        <v>114</v>
      </c>
      <c r="B978" s="54">
        <v>44483</v>
      </c>
      <c r="C978" s="37">
        <v>3</v>
      </c>
      <c r="D978" s="37">
        <v>2.9710000000000001</v>
      </c>
      <c r="E978" s="19" cm="1">
        <f t="array" ref="E978">IF(D978="","",D978-C978)</f>
        <v>-2.8999999999999915E-2</v>
      </c>
      <c r="F978" s="20" cm="1">
        <f t="array" ref="F978">IF(D978=0,"",(D978-C978)/C978)</f>
        <v>-9.6666666666666377E-3</v>
      </c>
      <c r="G978" s="21">
        <v>3330.9</v>
      </c>
      <c r="H978" s="22">
        <v>1</v>
      </c>
      <c r="I978" s="23" cm="1">
        <f t="array" ref="I978">IF(D978="","",(G978*C978)*0.00075)</f>
        <v>7.4945250000000003</v>
      </c>
      <c r="J978" s="23" cm="1">
        <f t="array" ref="J978">IF(D978="","",(G978*D978)*0.00075)</f>
        <v>7.422077925</v>
      </c>
      <c r="K978" s="24" cm="1">
        <f t="array" ref="K978">IF(D978="","",J978+I978)</f>
        <v>14.916602924999999</v>
      </c>
      <c r="L978" s="24" cm="1">
        <f t="array" ref="L978">IF(D978=0,0,(D978-C978)*G978)</f>
        <v>-96.596099999999723</v>
      </c>
      <c r="M978" s="25">
        <v>10081.874022075001</v>
      </c>
      <c r="N978" s="26" cm="1">
        <f t="array" ref="N978">IFERROR((K978-J978)/J978,"–")</f>
        <v>1.0097610232245036</v>
      </c>
      <c r="O978" s="24" cm="1">
        <f t="array" ref="O978">IF(D978=0,0,L978-K978)</f>
        <v>-111.51270292499973</v>
      </c>
      <c r="P978" s="23"/>
      <c r="Q978" s="27"/>
    </row>
    <row r="979" spans="1:17" ht="22.5" customHeight="1">
      <c r="A979" s="16" t="s">
        <v>202</v>
      </c>
      <c r="B979" s="55">
        <v>44483</v>
      </c>
      <c r="C979" s="36">
        <v>25.905000000000001</v>
      </c>
      <c r="D979" s="36">
        <v>25.88</v>
      </c>
      <c r="E979" s="30" cm="1">
        <f t="array" ref="E979">IF(D979="","",D979-C979)</f>
        <v>-2.5000000000002132E-2</v>
      </c>
      <c r="F979" s="31" cm="1">
        <f t="array" ref="F979">IF(D979=0,"",(D979-C979)/C979)</f>
        <v>-9.6506465933225748E-4</v>
      </c>
      <c r="G979" s="32">
        <v>965.05</v>
      </c>
      <c r="H979" s="10">
        <v>1</v>
      </c>
      <c r="I979" s="11" cm="1">
        <f t="array" ref="I979">IF(D979="","",(G979*C979)*0.00075)</f>
        <v>18.749715187500001</v>
      </c>
      <c r="J979" s="11" cm="1">
        <f t="array" ref="J979">IF(D979="","",(G979*D979)*0.00075)</f>
        <v>18.731620499999998</v>
      </c>
      <c r="K979" s="33" cm="1">
        <f t="array" ref="K979">IF(D979="","",J979+I979)</f>
        <v>37.4813356875</v>
      </c>
      <c r="L979" s="33" cm="1">
        <f t="array" ref="L979">IF(D979=0,0,(D979-C979)*G979)</f>
        <v>-24.126250000002056</v>
      </c>
      <c r="M979" s="12">
        <v>25005.014879499999</v>
      </c>
      <c r="N979" s="34" cm="1">
        <f t="array" ref="N979">IFERROR((K979-J979)/J979,"–")</f>
        <v>1.0009659969088101</v>
      </c>
      <c r="O979" s="33" cm="1">
        <f t="array" ref="O979">IF(D979=0,0,L979-K979)</f>
        <v>-61.607585687502052</v>
      </c>
      <c r="P979" s="11"/>
      <c r="Q979" s="35"/>
    </row>
    <row r="980" spans="1:17" ht="22.5" customHeight="1">
      <c r="A980" s="16" t="s">
        <v>203</v>
      </c>
      <c r="B980" s="54">
        <v>44483</v>
      </c>
      <c r="C980" s="37">
        <v>28.83</v>
      </c>
      <c r="D980" s="37">
        <v>28.7</v>
      </c>
      <c r="E980" s="19" cm="1">
        <f t="array" ref="E980">IF(D980="","",D980-C980)</f>
        <v>-0.12999999999999901</v>
      </c>
      <c r="F980" s="20" cm="1">
        <f t="array" ref="F980">IF(D980=0,"",(D980-C980)/C980)</f>
        <v>-4.5091918140825185E-3</v>
      </c>
      <c r="G980" s="21">
        <v>647.42999999999995</v>
      </c>
      <c r="H980" s="22">
        <v>1</v>
      </c>
      <c r="I980" s="23" cm="1">
        <f t="array" ref="I980">IF(D980="","",(G980*C980)*0.00075)</f>
        <v>13.999055174999999</v>
      </c>
      <c r="J980" s="23" cm="1">
        <f t="array" ref="J980">IF(D980="","",(G980*D980)*0.00075)</f>
        <v>13.935930749999999</v>
      </c>
      <c r="K980" s="24" cm="1">
        <f t="array" ref="K980">IF(D980="","",J980+I980)</f>
        <v>27.934985924999999</v>
      </c>
      <c r="L980" s="24" cm="1">
        <f t="array" ref="L980">IF(D980=0,0,(D980-C980)*G980)</f>
        <v>-84.165899999999354</v>
      </c>
      <c r="M980" s="25">
        <v>18735.63686925</v>
      </c>
      <c r="N980" s="26" cm="1">
        <f t="array" ref="N980">IFERROR((K980-J980)/J980,"–")</f>
        <v>1.0045296167247388</v>
      </c>
      <c r="O980" s="24" cm="1">
        <f t="array" ref="O980">IF(D980=0,0,L980-K980)</f>
        <v>-112.10088592499935</v>
      </c>
      <c r="P980" s="23"/>
      <c r="Q980" s="27"/>
    </row>
    <row r="981" spans="1:17" ht="22.5" customHeight="1">
      <c r="A981" s="16" t="s">
        <v>203</v>
      </c>
      <c r="B981" s="55">
        <v>44483</v>
      </c>
      <c r="C981" s="36">
        <v>28.83</v>
      </c>
      <c r="D981" s="36">
        <v>29</v>
      </c>
      <c r="E981" s="30" cm="1">
        <f t="array" ref="E981">IF(D981="","",D981-C981)</f>
        <v>0.17000000000000171</v>
      </c>
      <c r="F981" s="31" cm="1">
        <f t="array" ref="F981">IF(D981=0,"",(D981-C981)/C981)</f>
        <v>5.8966354491849365E-3</v>
      </c>
      <c r="G981" s="32">
        <v>192.64</v>
      </c>
      <c r="H981" s="10">
        <v>1</v>
      </c>
      <c r="I981" s="11" cm="1">
        <f t="array" ref="I981">IF(D981="","",(G981*C981)*0.00075)</f>
        <v>4.1653583999999997</v>
      </c>
      <c r="J981" s="11" cm="1">
        <f t="array" ref="J981">IF(D981="","",(G981*D981)*0.00075)</f>
        <v>4.1899199999999999</v>
      </c>
      <c r="K981" s="33" cm="1">
        <f t="array" ref="K981">IF(D981="","",J981+I981)</f>
        <v>8.3552783999999996</v>
      </c>
      <c r="L981" s="33" cm="1">
        <f t="array" ref="L981">IF(D981=0,0,(D981-C981)*G981)</f>
        <v>32.74880000000033</v>
      </c>
      <c r="M981" s="12">
        <v>5516.87248</v>
      </c>
      <c r="N981" s="34" cm="1">
        <f t="array" ref="N981">IFERROR((K981-J981)/J981,"–")</f>
        <v>0.99413793103448267</v>
      </c>
      <c r="O981" s="33" cm="1">
        <f t="array" ref="O981">IF(D981=0,0,L981-K981)</f>
        <v>24.39352160000033</v>
      </c>
      <c r="P981" s="11"/>
      <c r="Q981" s="35"/>
    </row>
    <row r="982" spans="1:17" ht="22.5" customHeight="1">
      <c r="A982" s="16" t="s">
        <v>192</v>
      </c>
      <c r="B982" s="52">
        <v>44484</v>
      </c>
      <c r="C982" s="37">
        <v>0.25330000000000003</v>
      </c>
      <c r="D982" s="37">
        <v>0.25469999999999998</v>
      </c>
      <c r="E982" s="19" cm="1">
        <f t="array" ref="E982">IF(D982="","",D982-C982)</f>
        <v>1.3999999999999568E-3</v>
      </c>
      <c r="F982" s="20" cm="1">
        <f t="array" ref="F982">IF(D982=0,"",(D982-C982)/C982)</f>
        <v>5.5270430319777205E-3</v>
      </c>
      <c r="G982" s="21">
        <v>62172</v>
      </c>
      <c r="H982" s="22">
        <v>1</v>
      </c>
      <c r="I982" s="23" cm="1">
        <f t="array" ref="I982">IF(D982="","",(G982*C982)*0.00075)</f>
        <v>11.811125700000002</v>
      </c>
      <c r="J982" s="23" cm="1">
        <f t="array" ref="J982">IF(D982="","",(G982*D982)*0.00075)</f>
        <v>11.876406299999999</v>
      </c>
      <c r="K982" s="24" cm="1">
        <f t="array" ref="K982">IF(D982="","",J982+I982)</f>
        <v>23.687532000000001</v>
      </c>
      <c r="L982" s="24" cm="1">
        <f t="array" ref="L982">IF(D982=0,0,(D982-C982)*G982)</f>
        <v>87.040799999997319</v>
      </c>
      <c r="M982" s="25">
        <v>15649.2503937</v>
      </c>
      <c r="N982" s="26" cm="1">
        <f t="array" ref="N982">IFERROR((K982-J982)/J982,"–")</f>
        <v>0.99450333725952123</v>
      </c>
      <c r="O982" s="24" cm="1">
        <f t="array" ref="O982">IF(D982=0,0,L982-K982)</f>
        <v>63.353267999997314</v>
      </c>
      <c r="P982" s="23"/>
      <c r="Q982" s="27"/>
    </row>
    <row r="983" spans="1:17" ht="22.5" customHeight="1">
      <c r="A983" s="16" t="s">
        <v>192</v>
      </c>
      <c r="B983" s="53">
        <v>44484</v>
      </c>
      <c r="C983" s="36">
        <v>0.25330000000000003</v>
      </c>
      <c r="D983" s="36">
        <v>0.25369999999999998</v>
      </c>
      <c r="E983" s="30" cm="1">
        <f t="array" ref="E983">IF(D983="","",D983-C983)</f>
        <v>3.9999999999995595E-4</v>
      </c>
      <c r="F983" s="31" cm="1">
        <f t="array" ref="F983">IF(D983=0,"",(D983-C983)/C983)</f>
        <v>1.5791551519935092E-3</v>
      </c>
      <c r="G983" s="32">
        <v>31086</v>
      </c>
      <c r="H983" s="10">
        <v>1</v>
      </c>
      <c r="I983" s="11" cm="1">
        <f t="array" ref="I983">IF(D983="","",(G983*C983)*0.00075)</f>
        <v>5.9055628500000008</v>
      </c>
      <c r="J983" s="11" cm="1">
        <f t="array" ref="J983">IF(D983="","",(G983*D983)*0.00075)</f>
        <v>5.91488865</v>
      </c>
      <c r="K983" s="33" cm="1">
        <f t="array" ref="K983">IF(D983="","",J983+I983)</f>
        <v>11.820451500000001</v>
      </c>
      <c r="L983" s="33" cm="1">
        <f t="array" ref="L983">IF(D983=0,0,(D983-C983)*G983)</f>
        <v>12.434399999998631</v>
      </c>
      <c r="M983" s="12">
        <v>7855.7345113499996</v>
      </c>
      <c r="N983" s="34" cm="1">
        <f t="array" ref="N983">IFERROR((K983-J983)/J983,"–")</f>
        <v>0.99842333464722122</v>
      </c>
      <c r="O983" s="33" cm="1">
        <f t="array" ref="O983">IF(D983=0,0,L983-K983)</f>
        <v>0.61394849999862977</v>
      </c>
      <c r="P983" s="11"/>
      <c r="Q983" s="35"/>
    </row>
    <row r="984" spans="1:17" ht="22.5" customHeight="1">
      <c r="A984" s="16" t="s">
        <v>192</v>
      </c>
      <c r="B984" s="52">
        <v>44484</v>
      </c>
      <c r="C984" s="37">
        <v>0.25330000000000003</v>
      </c>
      <c r="D984" s="37">
        <v>0.253</v>
      </c>
      <c r="E984" s="19" cm="1">
        <f t="array" ref="E984">IF(D984="","",D984-C984)</f>
        <v>-3.0000000000002247E-4</v>
      </c>
      <c r="F984" s="20" cm="1">
        <f t="array" ref="F984">IF(D984=0,"",(D984-C984)/C984)</f>
        <v>-1.1843663639953511E-3</v>
      </c>
      <c r="G984" s="21">
        <v>31087</v>
      </c>
      <c r="H984" s="22">
        <v>1</v>
      </c>
      <c r="I984" s="23" cm="1">
        <f t="array" ref="I984">IF(D984="","",(G984*C984)*0.00075)</f>
        <v>5.9057528250000004</v>
      </c>
      <c r="J984" s="23" cm="1">
        <f t="array" ref="J984">IF(D984="","",(G984*D984)*0.00075)</f>
        <v>5.8987582500000002</v>
      </c>
      <c r="K984" s="24" cm="1">
        <f t="array" ref="K984">IF(D984="","",J984+I984)</f>
        <v>11.804511075000001</v>
      </c>
      <c r="L984" s="24" cm="1">
        <f t="array" ref="L984">IF(D984=0,0,(D984-C984)*G984)</f>
        <v>-9.3261000000006984</v>
      </c>
      <c r="M984" s="25">
        <v>7877.7644417499996</v>
      </c>
      <c r="N984" s="26" cm="1">
        <f t="array" ref="N984">IFERROR((K984-J984)/J984,"–")</f>
        <v>1.0011857707509881</v>
      </c>
      <c r="O984" s="24" cm="1">
        <f t="array" ref="O984">IF(D984=0,0,L984-K984)</f>
        <v>-21.130611075000701</v>
      </c>
      <c r="P984" s="23"/>
      <c r="Q984" s="27"/>
    </row>
    <row r="985" spans="1:17" ht="22.5" customHeight="1">
      <c r="A985" s="16" t="s">
        <v>204</v>
      </c>
      <c r="B985" s="53">
        <v>44484</v>
      </c>
      <c r="C985" s="36">
        <v>0.6</v>
      </c>
      <c r="D985" s="36">
        <v>0.61270000000000002</v>
      </c>
      <c r="E985" s="30" cm="1">
        <f t="array" ref="E985">IF(D985="","",D985-C985)</f>
        <v>1.2700000000000045E-2</v>
      </c>
      <c r="F985" s="31" cm="1">
        <f t="array" ref="F985">IF(D985=0,"",(D985-C985)/C985)</f>
        <v>2.1166666666666743E-2</v>
      </c>
      <c r="G985" s="32">
        <v>13121</v>
      </c>
      <c r="H985" s="10">
        <v>1</v>
      </c>
      <c r="I985" s="11" cm="1">
        <f t="array" ref="I985">IF(D985="","",(G985*C985)*0.00075)</f>
        <v>5.9044499999999998</v>
      </c>
      <c r="J985" s="11" cm="1">
        <f t="array" ref="J985">IF(D985="","",(G985*D985)*0.00075)</f>
        <v>6.029427525</v>
      </c>
      <c r="K985" s="33" cm="1">
        <f t="array" ref="K985">IF(D985="","",J985+I985)</f>
        <v>11.933877525</v>
      </c>
      <c r="L985" s="33" cm="1">
        <f t="array" ref="L985">IF(D985=0,0,(D985-C985)*G985)</f>
        <v>166.63670000000059</v>
      </c>
      <c r="M985" s="12">
        <v>7699.9338724749996</v>
      </c>
      <c r="N985" s="34" cm="1">
        <f t="array" ref="N985">IFERROR((K985-J985)/J985,"–")</f>
        <v>0.97927207442467756</v>
      </c>
      <c r="O985" s="33" cm="1">
        <f t="array" ref="O985">IF(D985=0,0,L985-K985)</f>
        <v>154.70282247500057</v>
      </c>
      <c r="P985" s="11"/>
      <c r="Q985" s="35"/>
    </row>
    <row r="986" spans="1:17" ht="22.5" customHeight="1">
      <c r="A986" s="16" t="s">
        <v>204</v>
      </c>
      <c r="B986" s="52">
        <v>44484</v>
      </c>
      <c r="C986" s="37">
        <v>0.6</v>
      </c>
      <c r="D986" s="37">
        <v>0.6</v>
      </c>
      <c r="E986" s="19" cm="1">
        <f t="array" ref="E986">IF(D986="","",D986-C986)</f>
        <v>0</v>
      </c>
      <c r="F986" s="20" cm="1">
        <f t="array" ref="F986">IF(D986=0,"",(D986-C986)/C986)</f>
        <v>0</v>
      </c>
      <c r="G986" s="21">
        <v>9775</v>
      </c>
      <c r="H986" s="22">
        <v>1</v>
      </c>
      <c r="I986" s="23" cm="1">
        <f t="array" ref="I986">IF(D986="","",(G986*C986)*0.00075)</f>
        <v>4.3987499999999997</v>
      </c>
      <c r="J986" s="23" cm="1">
        <f t="array" ref="J986">IF(D986="","",(G986*D986)*0.00075)</f>
        <v>4.3987499999999997</v>
      </c>
      <c r="K986" s="24" cm="1">
        <f t="array" ref="K986">IF(D986="","",J986+I986)</f>
        <v>8.7974999999999994</v>
      </c>
      <c r="L986" s="24" cm="1">
        <f t="array" ref="L986">IF(D986=0,0,(D986-C986)*G986)</f>
        <v>0</v>
      </c>
      <c r="M986" s="25">
        <v>5860.6012499999997</v>
      </c>
      <c r="N986" s="26" cm="1">
        <f t="array" ref="N986">IFERROR((K986-J986)/J986,"–")</f>
        <v>1</v>
      </c>
      <c r="O986" s="24" cm="1">
        <f t="array" ref="O986">IF(D986=0,0,L986-K986)</f>
        <v>-8.7974999999999994</v>
      </c>
      <c r="P986" s="23"/>
      <c r="Q986" s="27"/>
    </row>
    <row r="987" spans="1:17" ht="22.5" customHeight="1">
      <c r="A987" s="16" t="s">
        <v>204</v>
      </c>
      <c r="B987" s="53">
        <v>44484</v>
      </c>
      <c r="C987" s="36">
        <v>0.6</v>
      </c>
      <c r="D987" s="36">
        <v>0.60309999999999997</v>
      </c>
      <c r="E987" s="30" cm="1">
        <f t="array" ref="E987">IF(D987="","",D987-C987)</f>
        <v>3.0999999999999917E-3</v>
      </c>
      <c r="F987" s="31" cm="1">
        <f t="array" ref="F987">IF(D987=0,"",(D987-C987)/C987)</f>
        <v>5.1666666666666528E-3</v>
      </c>
      <c r="G987" s="32">
        <v>3346</v>
      </c>
      <c r="H987" s="10">
        <v>1</v>
      </c>
      <c r="I987" s="11" cm="1">
        <f t="array" ref="I987">IF(D987="","",(G987*C987)*0.00075)</f>
        <v>1.5057</v>
      </c>
      <c r="J987" s="11" cm="1">
        <f t="array" ref="J987">IF(D987="","",(G987*D987)*0.00075)</f>
        <v>1.5134794499999999</v>
      </c>
      <c r="K987" s="33" cm="1">
        <f t="array" ref="K987">IF(D987="","",J987+I987)</f>
        <v>3.0191794500000002</v>
      </c>
      <c r="L987" s="33" cm="1">
        <f t="array" ref="L987">IF(D987=0,0,(D987-C987)*G987)</f>
        <v>10.372599999999972</v>
      </c>
      <c r="M987" s="12">
        <v>1995.71392055</v>
      </c>
      <c r="N987" s="34" cm="1">
        <f t="array" ref="N987">IFERROR((K987-J987)/J987,"–")</f>
        <v>0.99485989056541224</v>
      </c>
      <c r="O987" s="33" cm="1">
        <f t="array" ref="O987">IF(D987=0,0,L987-K987)</f>
        <v>7.3534205499999716</v>
      </c>
      <c r="P987" s="11"/>
      <c r="Q987" s="35"/>
    </row>
    <row r="988" spans="1:17" ht="22.5" customHeight="1">
      <c r="A988" s="16" t="s">
        <v>204</v>
      </c>
      <c r="B988" s="52">
        <v>44484</v>
      </c>
      <c r="C988" s="37">
        <v>0.6</v>
      </c>
      <c r="D988" s="37">
        <v>0.60250000000000004</v>
      </c>
      <c r="E988" s="19" cm="1">
        <f t="array" ref="E988">IF(D988="","",D988-C988)</f>
        <v>2.5000000000000577E-3</v>
      </c>
      <c r="F988" s="20" cm="1">
        <f t="array" ref="F988">IF(D988=0,"",(D988-C988)/C988)</f>
        <v>4.1666666666667629E-3</v>
      </c>
      <c r="G988" s="21">
        <v>26243</v>
      </c>
      <c r="H988" s="22">
        <v>1</v>
      </c>
      <c r="I988" s="23" cm="1">
        <f t="array" ref="I988">IF(D988="","",(G988*C988)*0.00075)</f>
        <v>11.80935</v>
      </c>
      <c r="J988" s="23" cm="1">
        <f t="array" ref="J988">IF(D988="","",(G988*D988)*0.00075)</f>
        <v>11.858555625000001</v>
      </c>
      <c r="K988" s="24" cm="1">
        <f t="array" ref="K988">IF(D988="","",J988+I988)</f>
        <v>23.667905625000003</v>
      </c>
      <c r="L988" s="24" cm="1">
        <f t="array" ref="L988">IF(D988=0,0,(D988-C988)*G988)</f>
        <v>65.607500000001508</v>
      </c>
      <c r="M988" s="25">
        <v>15668.333944374999</v>
      </c>
      <c r="N988" s="26" cm="1">
        <f t="array" ref="N988">IFERROR((K988-J988)/J988,"–")</f>
        <v>0.99585062240663913</v>
      </c>
      <c r="O988" s="24" cm="1">
        <f t="array" ref="O988">IF(D988=0,0,L988-K988)</f>
        <v>41.939594375001505</v>
      </c>
      <c r="P988" s="23"/>
      <c r="Q988" s="27"/>
    </row>
    <row r="989" spans="1:17" ht="22.5" customHeight="1">
      <c r="A989" s="16" t="s">
        <v>19</v>
      </c>
      <c r="B989" s="53">
        <v>44484</v>
      </c>
      <c r="C989" s="36">
        <v>1.3234999999999999</v>
      </c>
      <c r="D989" s="36">
        <v>1.33</v>
      </c>
      <c r="E989" s="30" cm="1">
        <f t="array" ref="E989">IF(D989="","",D989-C989)</f>
        <v>6.5000000000001723E-3</v>
      </c>
      <c r="F989" s="31" cm="1">
        <f t="array" ref="F989">IF(D989=0,"",(D989-C989)/C989)</f>
        <v>4.9112202493390052E-3</v>
      </c>
      <c r="G989" s="32">
        <v>5326.5</v>
      </c>
      <c r="H989" s="10">
        <v>1</v>
      </c>
      <c r="I989" s="11" cm="1">
        <f t="array" ref="I989">IF(D989="","",(G989*C989)*0.00075)</f>
        <v>5.2872170624999999</v>
      </c>
      <c r="J989" s="11" cm="1">
        <f t="array" ref="J989">IF(D989="","",(G989*D989)*0.00075)</f>
        <v>5.3131837500000003</v>
      </c>
      <c r="K989" s="33" cm="1">
        <f t="array" ref="K989">IF(D989="","",J989+I989)</f>
        <v>10.6004008125</v>
      </c>
      <c r="L989" s="33" cm="1">
        <f t="array" ref="L989">IF(D989=0,0,(D989-C989)*G989)</f>
        <v>34.622250000000918</v>
      </c>
      <c r="M989" s="12">
        <v>7009.6873162499996</v>
      </c>
      <c r="N989" s="34" cm="1">
        <f t="array" ref="N989">IFERROR((K989-J989)/J989,"–")</f>
        <v>0.99511278195488717</v>
      </c>
      <c r="O989" s="33" cm="1">
        <f t="array" ref="O989">IF(D989=0,0,L989-K989)</f>
        <v>24.021849187500919</v>
      </c>
      <c r="P989" s="11"/>
      <c r="Q989" s="35"/>
    </row>
    <row r="990" spans="1:17" ht="22.5" customHeight="1">
      <c r="A990" s="16" t="s">
        <v>19</v>
      </c>
      <c r="B990" s="52">
        <v>44484</v>
      </c>
      <c r="C990" s="37">
        <v>1.3234999999999999</v>
      </c>
      <c r="D990" s="37">
        <v>1.333</v>
      </c>
      <c r="E990" s="19" cm="1">
        <f t="array" ref="E990">IF(D990="","",D990-C990)</f>
        <v>9.5000000000000639E-3</v>
      </c>
      <c r="F990" s="20" cm="1">
        <f t="array" ref="F990">IF(D990=0,"",(D990-C990)/C990)</f>
        <v>7.1779372874953267E-3</v>
      </c>
      <c r="G990" s="21">
        <v>7989.8</v>
      </c>
      <c r="H990" s="22">
        <v>1</v>
      </c>
      <c r="I990" s="23" cm="1">
        <f t="array" ref="I990">IF(D990="","",(G990*C990)*0.00075)</f>
        <v>7.9308752250000003</v>
      </c>
      <c r="J990" s="23" cm="1">
        <f t="array" ref="J990">IF(D990="","",(G990*D990)*0.00075)</f>
        <v>7.9878025499999996</v>
      </c>
      <c r="K990" s="24" cm="1">
        <f t="array" ref="K990">IF(D990="","",J990+I990)</f>
        <v>15.918677774999999</v>
      </c>
      <c r="L990" s="24" cm="1">
        <f t="array" ref="L990">IF(D990=0,0,(D990-C990)*G990)</f>
        <v>75.903100000000506</v>
      </c>
      <c r="M990" s="25">
        <v>10490.60939745</v>
      </c>
      <c r="N990" s="26" cm="1">
        <f t="array" ref="N990">IFERROR((K990-J990)/J990,"–")</f>
        <v>0.99287321830457609</v>
      </c>
      <c r="O990" s="24" cm="1">
        <f t="array" ref="O990">IF(D990=0,0,L990-K990)</f>
        <v>59.984422225000507</v>
      </c>
      <c r="P990" s="23"/>
      <c r="Q990" s="27"/>
    </row>
    <row r="991" spans="1:17" ht="22.5" customHeight="1">
      <c r="A991" s="16" t="s">
        <v>19</v>
      </c>
      <c r="B991" s="53">
        <v>44484</v>
      </c>
      <c r="C991" s="36">
        <v>1.3234999999999999</v>
      </c>
      <c r="D991" s="36">
        <v>1.335</v>
      </c>
      <c r="E991" s="30" cm="1">
        <f t="array" ref="E991">IF(D991="","",D991-C991)</f>
        <v>1.1500000000000066E-2</v>
      </c>
      <c r="F991" s="31" cm="1">
        <f t="array" ref="F991">IF(D991=0,"",(D991-C991)/C991)</f>
        <v>8.6890819795995972E-3</v>
      </c>
      <c r="G991" s="32">
        <v>1997.4</v>
      </c>
      <c r="H991" s="10">
        <v>1</v>
      </c>
      <c r="I991" s="11" cm="1">
        <f t="array" ref="I991">IF(D991="","",(G991*C991)*0.00075)</f>
        <v>1.9826691750000001</v>
      </c>
      <c r="J991" s="11" cm="1">
        <f t="array" ref="J991">IF(D991="","",(G991*D991)*0.00075)</f>
        <v>1.99989675</v>
      </c>
      <c r="K991" s="33" cm="1">
        <f t="array" ref="K991">IF(D991="","",J991+I991)</f>
        <v>3.9825659250000003</v>
      </c>
      <c r="L991" s="33" cm="1">
        <f t="array" ref="L991">IF(D991=0,0,(D991-C991)*G991)</f>
        <v>22.970100000000134</v>
      </c>
      <c r="M991" s="12">
        <v>2618.5889032499999</v>
      </c>
      <c r="N991" s="34" cm="1">
        <f t="array" ref="N991">IFERROR((K991-J991)/J991,"–")</f>
        <v>0.99138576779026233</v>
      </c>
      <c r="O991" s="33" cm="1">
        <f t="array" ref="O991">IF(D991=0,0,L991-K991)</f>
        <v>18.987534075000134</v>
      </c>
      <c r="P991" s="11"/>
      <c r="Q991" s="35"/>
    </row>
    <row r="992" spans="1:17" ht="22.5" customHeight="1">
      <c r="A992" s="16" t="s">
        <v>19</v>
      </c>
      <c r="B992" s="52">
        <v>44484</v>
      </c>
      <c r="C992" s="37">
        <v>1.3234999999999999</v>
      </c>
      <c r="D992" s="37">
        <v>1.3460000000000001</v>
      </c>
      <c r="E992" s="19" cm="1">
        <f t="array" ref="E992">IF(D992="","",D992-C992)</f>
        <v>2.2500000000000187E-2</v>
      </c>
      <c r="F992" s="20" cm="1">
        <f t="array" ref="F992">IF(D992=0,"",(D992-C992)/C992)</f>
        <v>1.7000377786173169E-2</v>
      </c>
      <c r="G992" s="21">
        <v>5992.4</v>
      </c>
      <c r="H992" s="22">
        <v>1</v>
      </c>
      <c r="I992" s="23" cm="1">
        <f t="array" ref="I992">IF(D992="","",(G992*C992)*0.00075)</f>
        <v>5.9482060499999996</v>
      </c>
      <c r="J992" s="23" cm="1">
        <f t="array" ref="J992">IF(D992="","",(G992*D992)*0.00075)</f>
        <v>6.0493278000000004</v>
      </c>
      <c r="K992" s="24" cm="1">
        <f t="array" ref="K992">IF(D992="","",J992+I992)</f>
        <v>11.99753385</v>
      </c>
      <c r="L992" s="24" cm="1">
        <f t="array" ref="L992">IF(D992=0,0,(D992-C992)*G992)</f>
        <v>134.82900000000112</v>
      </c>
      <c r="M992" s="25">
        <v>7790.0630721999996</v>
      </c>
      <c r="N992" s="26" cm="1">
        <f t="array" ref="N992">IFERROR((K992-J992)/J992,"–")</f>
        <v>0.9832838038632985</v>
      </c>
      <c r="O992" s="24" cm="1">
        <f t="array" ref="O992">IF(D992=0,0,L992-K992)</f>
        <v>122.83146615000112</v>
      </c>
      <c r="P992" s="23"/>
      <c r="Q992" s="27"/>
    </row>
    <row r="993" spans="1:17" ht="22.5" customHeight="1">
      <c r="A993" s="16" t="s">
        <v>77</v>
      </c>
      <c r="B993" s="53">
        <v>44484</v>
      </c>
      <c r="C993" s="36">
        <v>0.70989999999999998</v>
      </c>
      <c r="D993" s="36">
        <v>0.68610000000000004</v>
      </c>
      <c r="E993" s="30" cm="1">
        <f t="array" ref="E993">IF(D993="","",D993-C993)</f>
        <v>-2.3799999999999932E-2</v>
      </c>
      <c r="F993" s="31" cm="1">
        <f t="array" ref="F993">IF(D993=0,"",(D993-C993)/C993)</f>
        <v>-3.3525848711085972E-2</v>
      </c>
      <c r="G993" s="32">
        <v>4895</v>
      </c>
      <c r="H993" s="10">
        <v>1</v>
      </c>
      <c r="I993" s="11" cm="1">
        <f t="array" ref="I993">IF(D993="","",(G993*C993)*0.00075)</f>
        <v>2.6062203749999999</v>
      </c>
      <c r="J993" s="11" cm="1">
        <f t="array" ref="J993">IF(D993="","",(G993*D993)*0.00075)</f>
        <v>2.5188446250000003</v>
      </c>
      <c r="K993" s="33" cm="1">
        <f t="array" ref="K993">IF(D993="","",J993+I993)</f>
        <v>5.1250650000000002</v>
      </c>
      <c r="L993" s="33" cm="1">
        <f t="array" ref="L993">IF(D993=0,0,(D993-C993)*G993)</f>
        <v>-116.50099999999966</v>
      </c>
      <c r="M993" s="12">
        <v>3588.942655375</v>
      </c>
      <c r="N993" s="34" cm="1">
        <f t="array" ref="N993">IFERROR((K993-J993)/J993,"–")</f>
        <v>1.034688820871593</v>
      </c>
      <c r="O993" s="33" cm="1">
        <f t="array" ref="O993">IF(D993=0,0,L993-K993)</f>
        <v>-121.62606499999967</v>
      </c>
      <c r="P993" s="11"/>
      <c r="Q993" s="35"/>
    </row>
    <row r="994" spans="1:17" ht="22.5" customHeight="1">
      <c r="A994" s="16" t="s">
        <v>20</v>
      </c>
      <c r="B994" s="52">
        <v>44484</v>
      </c>
      <c r="C994" s="37">
        <v>2.5690000000000001E-2</v>
      </c>
      <c r="D994" s="37">
        <v>2.58E-2</v>
      </c>
      <c r="E994" s="19" cm="1">
        <f t="array" ref="E994">IF(D994="","",D994-C994)</f>
        <v>1.0999999999999899E-4</v>
      </c>
      <c r="F994" s="20" cm="1">
        <f t="array" ref="F994">IF(D994=0,"",(D994-C994)/C994)</f>
        <v>4.2818217205137787E-3</v>
      </c>
      <c r="G994" s="21">
        <v>277310</v>
      </c>
      <c r="H994" s="22">
        <v>1</v>
      </c>
      <c r="I994" s="23" cm="1">
        <f t="array" ref="I994">IF(D994="","",(G994*C994)*0.00075)</f>
        <v>5.3430704249999996</v>
      </c>
      <c r="J994" s="23" cm="1">
        <f t="array" ref="J994">IF(D994="","",(G994*D994)*0.00075)</f>
        <v>5.3659485</v>
      </c>
      <c r="K994" s="24" cm="1">
        <f t="array" ref="K994">IF(D994="","",J994+I994)</f>
        <v>10.709018924999999</v>
      </c>
      <c r="L994" s="24" cm="1">
        <f t="array" ref="L994">IF(D994=0,0,(D994-C994)*G994)</f>
        <v>30.50409999999972</v>
      </c>
      <c r="M994" s="25">
        <v>7088.2238514999999</v>
      </c>
      <c r="N994" s="26" cm="1">
        <f t="array" ref="N994">IFERROR((K994-J994)/J994,"–")</f>
        <v>0.99573643410852686</v>
      </c>
      <c r="O994" s="24" cm="1">
        <f t="array" ref="O994">IF(D994=0,0,L994-K994)</f>
        <v>19.795081074999722</v>
      </c>
      <c r="P994" s="23"/>
      <c r="Q994" s="27"/>
    </row>
    <row r="995" spans="1:17" ht="22.5" customHeight="1">
      <c r="A995" s="16" t="s">
        <v>20</v>
      </c>
      <c r="B995" s="53">
        <v>44484</v>
      </c>
      <c r="C995" s="36">
        <v>2.5690000000000001E-2</v>
      </c>
      <c r="D995" s="36">
        <v>2.5950000000000001E-2</v>
      </c>
      <c r="E995" s="30" cm="1">
        <f t="array" ref="E995">IF(D995="","",D995-C995)</f>
        <v>2.5999999999999981E-4</v>
      </c>
      <c r="F995" s="31" cm="1">
        <f t="array" ref="F995">IF(D995=0,"",(D995-C995)/C995)</f>
        <v>1.0120669521214473E-2</v>
      </c>
      <c r="G995" s="32">
        <v>207983</v>
      </c>
      <c r="H995" s="10">
        <v>1</v>
      </c>
      <c r="I995" s="11" cm="1">
        <f t="array" ref="I995">IF(D995="","",(G995*C995)*0.00075)</f>
        <v>4.0073124524999999</v>
      </c>
      <c r="J995" s="11" cm="1">
        <f t="array" ref="J995">IF(D995="","",(G995*D995)*0.00075)</f>
        <v>4.0478691375000002</v>
      </c>
      <c r="K995" s="33" cm="1">
        <f t="array" ref="K995">IF(D995="","",J995+I995)</f>
        <v>8.0551815900000001</v>
      </c>
      <c r="L995" s="33" cm="1">
        <f t="array" ref="L995">IF(D995=0,0,(D995-C995)*G995)</f>
        <v>54.07557999999996</v>
      </c>
      <c r="M995" s="12">
        <v>5284.9598208625002</v>
      </c>
      <c r="N995" s="34" cm="1">
        <f t="array" ref="N995">IFERROR((K995-J995)/J995,"–")</f>
        <v>0.9899807321772639</v>
      </c>
      <c r="O995" s="33" cm="1">
        <f t="array" ref="O995">IF(D995=0,0,L995-K995)</f>
        <v>46.020398409999956</v>
      </c>
      <c r="P995" s="11"/>
      <c r="Q995" s="35"/>
    </row>
    <row r="996" spans="1:17" ht="22.5" customHeight="1">
      <c r="A996" s="16" t="s">
        <v>20</v>
      </c>
      <c r="B996" s="52">
        <v>44484</v>
      </c>
      <c r="C996" s="37">
        <v>2.5690000000000001E-2</v>
      </c>
      <c r="D996" s="37">
        <v>2.5899999999999999E-2</v>
      </c>
      <c r="E996" s="19" cm="1">
        <f t="array" ref="E996">IF(D996="","",D996-C996)</f>
        <v>2.0999999999999838E-4</v>
      </c>
      <c r="F996" s="20" cm="1">
        <f t="array" ref="F996">IF(D996=0,"",(D996-C996)/C996)</f>
        <v>8.1743869209808633E-3</v>
      </c>
      <c r="G996" s="21">
        <v>311975</v>
      </c>
      <c r="H996" s="22">
        <v>1</v>
      </c>
      <c r="I996" s="23" cm="1">
        <f t="array" ref="I996">IF(D996="","",(G996*C996)*0.00075)</f>
        <v>6.0109783124999998</v>
      </c>
      <c r="J996" s="23" cm="1">
        <f t="array" ref="J996">IF(D996="","",(G996*D996)*0.00075)</f>
        <v>6.0601143750000004</v>
      </c>
      <c r="K996" s="24" cm="1">
        <f t="array" ref="K996">IF(D996="","",J996+I996)</f>
        <v>12.0710926875</v>
      </c>
      <c r="L996" s="24" cm="1">
        <f t="array" ref="L996">IF(D996=0,0,(D996-C996)*G996)</f>
        <v>65.514749999999495</v>
      </c>
      <c r="M996" s="25">
        <v>7943.0628856249996</v>
      </c>
      <c r="N996" s="26" cm="1">
        <f t="array" ref="N996">IFERROR((K996-J996)/J996,"–")</f>
        <v>0.99189189189189175</v>
      </c>
      <c r="O996" s="24" cm="1">
        <f t="array" ref="O996">IF(D996=0,0,L996-K996)</f>
        <v>53.443657312499496</v>
      </c>
      <c r="P996" s="23"/>
      <c r="Q996" s="27"/>
    </row>
    <row r="997" spans="1:17" ht="22.5" customHeight="1">
      <c r="A997" s="16" t="s">
        <v>20</v>
      </c>
      <c r="B997" s="53">
        <v>44484</v>
      </c>
      <c r="C997" s="36">
        <v>2.5690000000000001E-2</v>
      </c>
      <c r="D997" s="36">
        <v>2.5760000000000002E-2</v>
      </c>
      <c r="E997" s="30" cm="1">
        <f t="array" ref="E997">IF(D997="","",D997-C997)</f>
        <v>7.0000000000000617E-5</v>
      </c>
      <c r="F997" s="31" cm="1">
        <f t="array" ref="F997">IF(D997=0,"",(D997-C997)/C997)</f>
        <v>2.7247956403269992E-3</v>
      </c>
      <c r="G997" s="32">
        <v>311975</v>
      </c>
      <c r="H997" s="10">
        <v>1</v>
      </c>
      <c r="I997" s="11" cm="1">
        <f t="array" ref="I997">IF(D997="","",(G997*C997)*0.00075)</f>
        <v>6.0109783124999998</v>
      </c>
      <c r="J997" s="11" cm="1">
        <f t="array" ref="J997">IF(D997="","",(G997*D997)*0.00075)</f>
        <v>6.0273570000000003</v>
      </c>
      <c r="K997" s="33" cm="1">
        <f t="array" ref="K997">IF(D997="","",J997+I997)</f>
        <v>12.038335312499999</v>
      </c>
      <c r="L997" s="33" cm="1">
        <f t="array" ref="L997">IF(D997=0,0,(D997-C997)*G997)</f>
        <v>21.838250000000194</v>
      </c>
      <c r="M997" s="12">
        <v>7986.7721430000001</v>
      </c>
      <c r="N997" s="34" cm="1">
        <f t="array" ref="N997">IFERROR((K997-J997)/J997,"–")</f>
        <v>0.997282608695652</v>
      </c>
      <c r="O997" s="33" cm="1">
        <f t="array" ref="O997">IF(D997=0,0,L997-K997)</f>
        <v>9.7999146875001948</v>
      </c>
      <c r="P997" s="11"/>
      <c r="Q997" s="35"/>
    </row>
    <row r="998" spans="1:17" ht="22.5" customHeight="1">
      <c r="A998" s="16" t="s">
        <v>77</v>
      </c>
      <c r="B998" s="52">
        <v>44485</v>
      </c>
      <c r="C998" s="37">
        <v>0.71499999999999997</v>
      </c>
      <c r="D998" s="37">
        <v>0.84399999999999997</v>
      </c>
      <c r="E998" s="19" cm="1">
        <f t="array" ref="E998">IF(D998="","",D998-C998)</f>
        <v>0.129</v>
      </c>
      <c r="F998" s="20" cm="1">
        <f t="array" ref="F998">IF(D998=0,"",(D998-C998)/C998)</f>
        <v>0.18041958041958042</v>
      </c>
      <c r="G998" s="21">
        <v>9825</v>
      </c>
      <c r="H998" s="22">
        <v>1</v>
      </c>
      <c r="I998" s="23" cm="1">
        <f t="array" ref="I998">IF(D998="","",(G998*C998)*0.00075)</f>
        <v>5.2686562500000003</v>
      </c>
      <c r="J998" s="23" cm="1">
        <f t="array" ref="J998">IF(D998="","",(G998*D998)*0.00075)</f>
        <v>6.2192249999999998</v>
      </c>
      <c r="K998" s="24" cm="1">
        <f t="array" ref="K998">IF(D998="","",J998+I998)</f>
        <v>11.487881250000001</v>
      </c>
      <c r="L998" s="24" cm="1">
        <f t="array" ref="L998">IF(D998=0,0,(D998-C998)*G998)</f>
        <v>1267.425</v>
      </c>
      <c r="M998" s="25">
        <v>5751.230775</v>
      </c>
      <c r="N998" s="26" cm="1">
        <f t="array" ref="N998">IFERROR((K998-J998)/J998,"–")</f>
        <v>0.84715639810426557</v>
      </c>
      <c r="O998" s="24" cm="1">
        <f t="array" ref="O998">IF(D998=0,0,L998-K998)</f>
        <v>1255.9371187499999</v>
      </c>
      <c r="P998" s="23"/>
      <c r="Q998" s="27"/>
    </row>
    <row r="999" spans="1:17" ht="22.5" customHeight="1">
      <c r="A999" s="16" t="s">
        <v>46</v>
      </c>
      <c r="B999" s="53">
        <v>44485</v>
      </c>
      <c r="C999" s="36">
        <v>2.88</v>
      </c>
      <c r="D999" s="36">
        <v>3.2019000000000002</v>
      </c>
      <c r="E999" s="30" cm="1">
        <f t="array" ref="E999">IF(D999="","",D999-C999)</f>
        <v>0.3219000000000003</v>
      </c>
      <c r="F999" s="31" cm="1">
        <f t="array" ref="F999">IF(D999=0,"",(D999-C999)/C999)</f>
        <v>0.11177083333333344</v>
      </c>
      <c r="G999" s="32">
        <v>1300</v>
      </c>
      <c r="H999" s="10">
        <v>1</v>
      </c>
      <c r="I999" s="11" cm="1">
        <f t="array" ref="I999">IF(D999="","",(G999*C999)*0.00075)</f>
        <v>2.8080000000000003</v>
      </c>
      <c r="J999" s="11" cm="1">
        <f t="array" ref="J999">IF(D999="","",(G999*D999)*0.00075)</f>
        <v>3.1218525000000001</v>
      </c>
      <c r="K999" s="33" cm="1">
        <f t="array" ref="K999">IF(D999="","",J999+I999)</f>
        <v>5.9298525000000009</v>
      </c>
      <c r="L999" s="33" cm="1">
        <f t="array" ref="L999">IF(D999=0,0,(D999-C999)*G999)</f>
        <v>418.47000000000037</v>
      </c>
      <c r="M999" s="12">
        <v>3322.4081474999998</v>
      </c>
      <c r="N999" s="34" cm="1">
        <f t="array" ref="N999">IFERROR((K999-J999)/J999,"–")</f>
        <v>0.89946594209688013</v>
      </c>
      <c r="O999" s="33" cm="1">
        <f t="array" ref="O999">IF(D999=0,0,L999-K999)</f>
        <v>412.54014750000039</v>
      </c>
      <c r="P999" s="11"/>
      <c r="Q999" s="35"/>
    </row>
    <row r="1000" spans="1:17" ht="22.5" customHeight="1">
      <c r="A1000" s="16" t="s">
        <v>178</v>
      </c>
      <c r="B1000" s="52">
        <v>44485</v>
      </c>
      <c r="C1000" s="37">
        <v>4.657</v>
      </c>
      <c r="D1000" s="37">
        <v>4.3600000000000003</v>
      </c>
      <c r="E1000" s="19" cm="1">
        <f t="array" ref="E1000">IF(D1000="","",D1000-C1000)</f>
        <v>-0.29699999999999971</v>
      </c>
      <c r="F1000" s="20" cm="1">
        <f t="array" ref="F1000">IF(D1000=0,"",(D1000-C1000)/C1000)</f>
        <v>-6.3774962422160131E-2</v>
      </c>
      <c r="G1000" s="21">
        <v>1611.6</v>
      </c>
      <c r="H1000" s="22">
        <v>1</v>
      </c>
      <c r="I1000" s="23" cm="1">
        <f t="array" ref="I1000">IF(D1000="","",(G1000*C1000)*0.00075)</f>
        <v>5.6289159</v>
      </c>
      <c r="J1000" s="23" cm="1">
        <f t="array" ref="J1000">IF(D1000="","",(G1000*D1000)*0.00075)</f>
        <v>5.2699319999999998</v>
      </c>
      <c r="K1000" s="24" cm="1">
        <f t="array" ref="K1000">IF(D1000="","",J1000+I1000)</f>
        <v>10.8988479</v>
      </c>
      <c r="L1000" s="24" cm="1">
        <f t="array" ref="L1000">IF(D1000=0,0,(D1000-C1000)*G1000)</f>
        <v>-478.64519999999948</v>
      </c>
      <c r="M1000" s="25">
        <v>7978.5964679999997</v>
      </c>
      <c r="N1000" s="26" cm="1">
        <f t="array" ref="N1000">IFERROR((K1000-J1000)/J1000,"–")</f>
        <v>1.0681192660550458</v>
      </c>
      <c r="O1000" s="24" cm="1">
        <f t="array" ref="O1000">IF(D1000=0,0,L1000-K1000)</f>
        <v>-489.5440478999995</v>
      </c>
      <c r="P1000" s="23"/>
      <c r="Q1000" s="27"/>
    </row>
    <row r="1001" spans="1:17" ht="22.5" customHeight="1">
      <c r="A1001" s="16" t="s">
        <v>70</v>
      </c>
      <c r="B1001" s="53">
        <v>44486</v>
      </c>
      <c r="C1001" s="36">
        <v>4.5494000000000003</v>
      </c>
      <c r="D1001" s="36">
        <v>4.5999999999999996</v>
      </c>
      <c r="E1001" s="30" cm="1">
        <f t="array" ref="E1001">IF(D1001="","",D1001-C1001)</f>
        <v>5.0599999999999312E-2</v>
      </c>
      <c r="F1001" s="31" cm="1">
        <f t="array" ref="F1001">IF(D1001=0,"",(D1001-C1001)/C1001)</f>
        <v>1.1122345803842113E-2</v>
      </c>
      <c r="G1001" s="32">
        <v>230.2</v>
      </c>
      <c r="H1001" s="10">
        <v>1</v>
      </c>
      <c r="I1001" s="11" cm="1">
        <f t="array" ref="I1001">IF(D1001="","",(G1001*C1001)*0.00075)</f>
        <v>0.78545390999999998</v>
      </c>
      <c r="J1001" s="11" cm="1">
        <f t="array" ref="J1001">IF(D1001="","",(G1001*D1001)*0.00075)</f>
        <v>0.79418999999999995</v>
      </c>
      <c r="K1001" s="33" cm="1">
        <f t="array" ref="K1001">IF(D1001="","",J1001+I1001)</f>
        <v>1.5796439099999999</v>
      </c>
      <c r="L1001" s="33" cm="1">
        <f t="array" ref="L1001">IF(D1001=0,0,(D1001-C1001)*G1001)</f>
        <v>11.648119999999841</v>
      </c>
      <c r="M1001" s="12">
        <v>1034.8295700000001</v>
      </c>
      <c r="N1001" s="34" cm="1">
        <f t="array" ref="N1001">IFERROR((K1001-J1001)/J1001,"–")</f>
        <v>0.98899999999999999</v>
      </c>
      <c r="O1001" s="33" cm="1">
        <f t="array" ref="O1001">IF(D1001=0,0,L1001-K1001)</f>
        <v>10.068476089999841</v>
      </c>
      <c r="P1001" s="11"/>
      <c r="Q1001" s="35"/>
    </row>
    <row r="1002" spans="1:17" ht="22.5" customHeight="1">
      <c r="A1002" s="16" t="s">
        <v>70</v>
      </c>
      <c r="B1002" s="52">
        <v>44486</v>
      </c>
      <c r="C1002" s="37">
        <v>4.5494000000000003</v>
      </c>
      <c r="D1002" s="37">
        <v>4.5907</v>
      </c>
      <c r="E1002" s="19" cm="1">
        <f t="array" ref="E1002">IF(D1002="","",D1002-C1002)</f>
        <v>4.129999999999967E-2</v>
      </c>
      <c r="F1002" s="20" cm="1">
        <f t="array" ref="F1002">IF(D1002=0,"",(D1002-C1002)/C1002)</f>
        <v>9.0781201916735541E-3</v>
      </c>
      <c r="G1002" s="21">
        <v>1236.4000000000001</v>
      </c>
      <c r="H1002" s="22">
        <v>1</v>
      </c>
      <c r="I1002" s="23" cm="1">
        <f t="array" ref="I1002">IF(D1002="","",(G1002*C1002)*0.00075)</f>
        <v>4.2186586200000011</v>
      </c>
      <c r="J1002" s="23" cm="1">
        <f t="array" ref="J1002">IF(D1002="","",(G1002*D1002)*0.00075)</f>
        <v>4.25695611</v>
      </c>
      <c r="K1002" s="24" cm="1">
        <f t="array" ref="K1002">IF(D1002="","",J1002+I1002)</f>
        <v>8.4756147300000002</v>
      </c>
      <c r="L1002" s="24" cm="1">
        <f t="array" ref="L1002">IF(D1002=0,0,(D1002-C1002)*G1002)</f>
        <v>51.063319999999599</v>
      </c>
      <c r="M1002" s="25">
        <v>5569.5578838900001</v>
      </c>
      <c r="N1002" s="26" cm="1">
        <f t="array" ref="N1002">IFERROR((K1002-J1002)/J1002,"–")</f>
        <v>0.9910035506567626</v>
      </c>
      <c r="O1002" s="24" cm="1">
        <f t="array" ref="O1002">IF(D1002=0,0,L1002-K1002)</f>
        <v>42.587705269999603</v>
      </c>
      <c r="P1002" s="23"/>
      <c r="Q1002" s="27"/>
    </row>
    <row r="1003" spans="1:17" ht="22.5" customHeight="1">
      <c r="A1003" s="16" t="s">
        <v>70</v>
      </c>
      <c r="B1003" s="53">
        <v>44486</v>
      </c>
      <c r="C1003" s="36">
        <v>4.5494000000000003</v>
      </c>
      <c r="D1003" s="36">
        <v>4.5762</v>
      </c>
      <c r="E1003" s="30" cm="1">
        <f t="array" ref="E1003">IF(D1003="","",D1003-C1003)</f>
        <v>2.6799999999999713E-2</v>
      </c>
      <c r="F1003" s="31" cm="1">
        <f t="array" ref="F1003">IF(D1003=0,"",(D1003-C1003)/C1003)</f>
        <v>5.8908867103353657E-3</v>
      </c>
      <c r="G1003" s="32">
        <v>927.3</v>
      </c>
      <c r="H1003" s="10">
        <v>1</v>
      </c>
      <c r="I1003" s="11" cm="1">
        <f t="array" ref="I1003">IF(D1003="","",(G1003*C1003)*0.00075)</f>
        <v>3.163993965</v>
      </c>
      <c r="J1003" s="11" cm="1">
        <f t="array" ref="J1003">IF(D1003="","",(G1003*D1003)*0.00075)</f>
        <v>3.1826326950000001</v>
      </c>
      <c r="K1003" s="33" cm="1">
        <f t="array" ref="K1003">IF(D1003="","",J1003+I1003)</f>
        <v>6.3466266600000001</v>
      </c>
      <c r="L1003" s="33" cm="1">
        <f t="array" ref="L1003">IF(D1003=0,0,(D1003-C1003)*G1003)</f>
        <v>24.851639999999733</v>
      </c>
      <c r="M1003" s="12">
        <v>4190.6243473049999</v>
      </c>
      <c r="N1003" s="34" cm="1">
        <f t="array" ref="N1003">IFERROR((K1003-J1003)/J1003,"–")</f>
        <v>0.99414361260434414</v>
      </c>
      <c r="O1003" s="33" cm="1">
        <f t="array" ref="O1003">IF(D1003=0,0,L1003-K1003)</f>
        <v>18.505013339999735</v>
      </c>
      <c r="P1003" s="11"/>
      <c r="Q1003" s="35"/>
    </row>
    <row r="1004" spans="1:17" ht="22.5" customHeight="1">
      <c r="A1004" s="16" t="s">
        <v>70</v>
      </c>
      <c r="B1004" s="52">
        <v>44486</v>
      </c>
      <c r="C1004" s="37">
        <v>4.5494000000000003</v>
      </c>
      <c r="D1004" s="37">
        <v>4.5890000000000004</v>
      </c>
      <c r="E1004" s="19" cm="1">
        <f t="array" ref="E1004">IF(D1004="","",D1004-C1004)</f>
        <v>3.960000000000008E-2</v>
      </c>
      <c r="F1004" s="20" cm="1">
        <f t="array" ref="F1004">IF(D1004=0,"",(D1004-C1004)/C1004)</f>
        <v>8.7044445421374413E-3</v>
      </c>
      <c r="G1004" s="21">
        <v>1050</v>
      </c>
      <c r="H1004" s="22">
        <v>1</v>
      </c>
      <c r="I1004" s="23" cm="1">
        <f t="array" ref="I1004">IF(D1004="","",(G1004*C1004)*0.00075)</f>
        <v>3.5826525000000005</v>
      </c>
      <c r="J1004" s="23" cm="1">
        <f t="array" ref="J1004">IF(D1004="","",(G1004*D1004)*0.00075)</f>
        <v>3.6138375000000007</v>
      </c>
      <c r="K1004" s="24" cm="1">
        <f t="array" ref="K1004">IF(D1004="","",J1004+I1004)</f>
        <v>7.1964900000000007</v>
      </c>
      <c r="L1004" s="24" cm="1">
        <f t="array" ref="L1004">IF(D1004=0,0,(D1004-C1004)*G1004)</f>
        <v>41.580000000000084</v>
      </c>
      <c r="M1004" s="25">
        <v>4731.6761624999999</v>
      </c>
      <c r="N1004" s="26" cm="1">
        <f t="array" ref="N1004">IFERROR((K1004-J1004)/J1004,"–")</f>
        <v>0.99137066899106541</v>
      </c>
      <c r="O1004" s="24" cm="1">
        <f t="array" ref="O1004">IF(D1004=0,0,L1004-K1004)</f>
        <v>34.383510000000086</v>
      </c>
      <c r="P1004" s="23"/>
      <c r="Q1004" s="27"/>
    </row>
    <row r="1005" spans="1:17" ht="22.5" customHeight="1">
      <c r="A1005" s="16" t="s">
        <v>70</v>
      </c>
      <c r="B1005" s="53">
        <v>44486</v>
      </c>
      <c r="C1005" s="36">
        <v>4.5494000000000003</v>
      </c>
      <c r="D1005" s="36">
        <v>4.5999999999999996</v>
      </c>
      <c r="E1005" s="30" cm="1">
        <f t="array" ref="E1005">IF(D1005="","",D1005-C1005)</f>
        <v>5.0599999999999312E-2</v>
      </c>
      <c r="F1005" s="31" cm="1">
        <f t="array" ref="F1005">IF(D1005=0,"",(D1005-C1005)/C1005)</f>
        <v>1.1122345803842113E-2</v>
      </c>
      <c r="G1005" s="32">
        <v>1575.1</v>
      </c>
      <c r="H1005" s="10">
        <v>1</v>
      </c>
      <c r="I1005" s="11" cm="1">
        <f t="array" ref="I1005">IF(D1005="","",(G1005*C1005)*0.00075)</f>
        <v>5.3743199549999998</v>
      </c>
      <c r="J1005" s="11" cm="1">
        <f t="array" ref="J1005">IF(D1005="","",(G1005*D1005)*0.00075)</f>
        <v>5.4340949999999992</v>
      </c>
      <c r="K1005" s="33" cm="1">
        <f t="array" ref="K1005">IF(D1005="","",J1005+I1005)</f>
        <v>10.808414955</v>
      </c>
      <c r="L1005" s="33" cm="1">
        <f t="array" ref="L1005">IF(D1005=0,0,(D1005-C1005)*G1005)</f>
        <v>79.700059999998913</v>
      </c>
      <c r="M1005" s="12">
        <v>7080.6257850000002</v>
      </c>
      <c r="N1005" s="34" cm="1">
        <f t="array" ref="N1005">IFERROR((K1005-J1005)/J1005,"–")</f>
        <v>0.98900000000000032</v>
      </c>
      <c r="O1005" s="33" cm="1">
        <f t="array" ref="O1005">IF(D1005=0,0,L1005-K1005)</f>
        <v>68.89164504499891</v>
      </c>
      <c r="P1005" s="11"/>
      <c r="Q1005" s="35"/>
    </row>
    <row r="1006" spans="1:17" ht="22.5" customHeight="1">
      <c r="A1006" s="16" t="s">
        <v>70</v>
      </c>
      <c r="B1006" s="52">
        <v>44486</v>
      </c>
      <c r="C1006" s="37">
        <v>4.5494000000000003</v>
      </c>
      <c r="D1006" s="37">
        <v>4.6150000000000002</v>
      </c>
      <c r="E1006" s="19" cm="1">
        <f t="array" ref="E1006">IF(D1006="","",D1006-C1006)</f>
        <v>6.5599999999999881E-2</v>
      </c>
      <c r="F1006" s="20" cm="1">
        <f t="array" ref="F1006">IF(D1006=0,"",(D1006-C1006)/C1006)</f>
        <v>1.4419483887985201E-2</v>
      </c>
      <c r="G1006" s="21">
        <v>280.8</v>
      </c>
      <c r="H1006" s="22">
        <v>1</v>
      </c>
      <c r="I1006" s="23" cm="1">
        <f t="array" ref="I1006">IF(D1006="","",(G1006*C1006)*0.00075)</f>
        <v>0.95810364000000003</v>
      </c>
      <c r="J1006" s="23" cm="1">
        <f t="array" ref="J1006">IF(D1006="","",(G1006*D1006)*0.00075)</f>
        <v>0.97191900000000009</v>
      </c>
      <c r="K1006" s="24" cm="1">
        <f t="array" ref="K1006">IF(D1006="","",J1006+I1006)</f>
        <v>1.9300226400000002</v>
      </c>
      <c r="L1006" s="24" cm="1">
        <f t="array" ref="L1006">IF(D1006=0,0,(D1006-C1006)*G1006)</f>
        <v>18.420479999999966</v>
      </c>
      <c r="M1006" s="25">
        <v>1258.079121</v>
      </c>
      <c r="N1006" s="26" cm="1">
        <f t="array" ref="N1006">IFERROR((K1006-J1006)/J1006,"–")</f>
        <v>0.98578548212351036</v>
      </c>
      <c r="O1006" s="24" cm="1">
        <f t="array" ref="O1006">IF(D1006=0,0,L1006-K1006)</f>
        <v>16.490457359999965</v>
      </c>
      <c r="P1006" s="23"/>
      <c r="Q1006" s="27"/>
    </row>
    <row r="1007" spans="1:17" ht="22.5" customHeight="1">
      <c r="A1007" s="16" t="s">
        <v>70</v>
      </c>
      <c r="B1007" s="53">
        <v>44486</v>
      </c>
      <c r="C1007" s="36">
        <v>4.5494000000000003</v>
      </c>
      <c r="D1007" s="36">
        <v>4.59</v>
      </c>
      <c r="E1007" s="30" cm="1">
        <f t="array" ref="E1007">IF(D1007="","",D1007-C1007)</f>
        <v>4.0599999999999525E-2</v>
      </c>
      <c r="F1007" s="31" cm="1">
        <f t="array" ref="F1007">IF(D1007=0,"",(D1007-C1007)/C1007)</f>
        <v>8.9242537477468506E-3</v>
      </c>
      <c r="G1007" s="32">
        <v>1294.4000000000001</v>
      </c>
      <c r="H1007" s="10">
        <v>1</v>
      </c>
      <c r="I1007" s="11" cm="1">
        <f t="array" ref="I1007">IF(D1007="","",(G1007*C1007)*0.00075)</f>
        <v>4.4165575200000005</v>
      </c>
      <c r="J1007" s="11" cm="1">
        <f t="array" ref="J1007">IF(D1007="","",(G1007*D1007)*0.00075)</f>
        <v>4.455972</v>
      </c>
      <c r="K1007" s="33" cm="1">
        <f t="array" ref="K1007">IF(D1007="","",J1007+I1007)</f>
        <v>8.8725295200000005</v>
      </c>
      <c r="L1007" s="33" cm="1">
        <f t="array" ref="L1007">IF(D1007=0,0,(D1007-C1007)*G1007)</f>
        <v>52.552639999999393</v>
      </c>
      <c r="M1007" s="12">
        <v>5831.7347479999999</v>
      </c>
      <c r="N1007" s="34" cm="1">
        <f t="array" ref="N1007">IFERROR((K1007-J1007)/J1007,"–")</f>
        <v>0.99115468409586061</v>
      </c>
      <c r="O1007" s="33" cm="1">
        <f t="array" ref="O1007">IF(D1007=0,0,L1007-K1007)</f>
        <v>43.680110479999392</v>
      </c>
      <c r="P1007" s="11"/>
      <c r="Q1007" s="35"/>
    </row>
    <row r="1008" spans="1:17" ht="22.5" customHeight="1">
      <c r="A1008" s="16" t="s">
        <v>30</v>
      </c>
      <c r="B1008" s="43">
        <v>44487</v>
      </c>
      <c r="C1008" s="37">
        <v>61439.27</v>
      </c>
      <c r="D1008" s="37">
        <v>61457</v>
      </c>
      <c r="E1008" s="19" cm="1">
        <f t="array" ref="E1008">IF(D1008="","",D1008-C1008)</f>
        <v>17.730000000003201</v>
      </c>
      <c r="F1008" s="20" cm="1">
        <f t="array" ref="F1008">IF(D1008=0,"",(D1008-C1008)/C1008)</f>
        <v>2.8857764748837676E-4</v>
      </c>
      <c r="G1008" s="21">
        <v>0.26856000000000002</v>
      </c>
      <c r="H1008" s="22">
        <v>1</v>
      </c>
      <c r="I1008" s="23" cm="1">
        <f t="array" ref="I1008">IF(D1008="","",(G1008*C1008)*0.00075)</f>
        <v>12.375097763400001</v>
      </c>
      <c r="J1008" s="23" cm="1">
        <f t="array" ref="J1008">IF(D1008="","",(G1008*D1008)*0.00075)</f>
        <v>12.378668940000003</v>
      </c>
      <c r="K1008" s="24" cm="1">
        <f t="array" ref="K1008">IF(D1008="","",J1008+I1008)</f>
        <v>24.753766703400004</v>
      </c>
      <c r="L1008" s="24" cm="1">
        <f t="array" ref="L1008">IF(D1008=0,0,(D1008-C1008)*G1008)</f>
        <v>4.7615688000008598</v>
      </c>
      <c r="M1008" s="25">
        <v>16482.99011346</v>
      </c>
      <c r="N1008" s="26" cm="1">
        <f t="array" ref="N1008">IFERROR((K1008-J1008)/J1008,"–")</f>
        <v>0.99971150560554523</v>
      </c>
      <c r="O1008" s="24" cm="1">
        <f t="array" ref="O1008">IF(D1008=0,0,L1008-K1008)</f>
        <v>-19.992197903399145</v>
      </c>
      <c r="P1008" s="23"/>
      <c r="Q1008" s="27"/>
    </row>
    <row r="1009" spans="1:17" ht="22.5" customHeight="1">
      <c r="A1009" s="16" t="s">
        <v>30</v>
      </c>
      <c r="B1009" s="42">
        <v>44487</v>
      </c>
      <c r="C1009" s="36">
        <v>61439.27</v>
      </c>
      <c r="D1009" s="36">
        <v>61520</v>
      </c>
      <c r="E1009" s="30" cm="1">
        <f t="array" ref="E1009">IF(D1009="","",D1009-C1009)</f>
        <v>80.730000000003201</v>
      </c>
      <c r="F1009" s="31" cm="1">
        <f t="array" ref="F1009">IF(D1009=0,"",(D1009-C1009)/C1009)</f>
        <v>1.3139804558225253E-3</v>
      </c>
      <c r="G1009" s="32">
        <v>0.26855000000000001</v>
      </c>
      <c r="H1009" s="10">
        <v>1</v>
      </c>
      <c r="I1009" s="11" cm="1">
        <f t="array" ref="I1009">IF(D1009="","",(G1009*C1009)*0.00075)</f>
        <v>12.374636968875</v>
      </c>
      <c r="J1009" s="11" cm="1">
        <f t="array" ref="J1009">IF(D1009="","",(G1009*D1009)*0.00075)</f>
        <v>12.390897000000001</v>
      </c>
      <c r="K1009" s="33" cm="1">
        <f t="array" ref="K1009">IF(D1009="","",J1009+I1009)</f>
        <v>24.765533968875001</v>
      </c>
      <c r="L1009" s="33" cm="1">
        <f t="array" ref="L1009">IF(D1009=0,0,(D1009-C1009)*G1009)</f>
        <v>21.680041500000861</v>
      </c>
      <c r="M1009" s="12">
        <v>16465.445019999999</v>
      </c>
      <c r="N1009" s="34" cm="1">
        <f t="array" ref="N1009">IFERROR((K1009-J1009)/J1009,"–")</f>
        <v>0.99868774382314696</v>
      </c>
      <c r="O1009" s="33" cm="1">
        <f t="array" ref="O1009">IF(D1009=0,0,L1009-K1009)</f>
        <v>-3.0854924688741399</v>
      </c>
      <c r="P1009" s="11"/>
      <c r="Q1009" s="35"/>
    </row>
    <row r="1010" spans="1:17" ht="22.5" customHeight="1">
      <c r="A1010" s="16" t="s">
        <v>30</v>
      </c>
      <c r="B1010" s="43">
        <v>44487</v>
      </c>
      <c r="C1010" s="37">
        <v>61118.32</v>
      </c>
      <c r="D1010" s="37">
        <v>61057.5</v>
      </c>
      <c r="E1010" s="19" cm="1">
        <f t="array" ref="E1010">IF(D1010="","",D1010-C1010)</f>
        <v>-60.819999999999709</v>
      </c>
      <c r="F1010" s="20" cm="1">
        <f t="array" ref="F1010">IF(D1010=0,"",(D1010-C1010)/C1010)</f>
        <v>-9.9511897578336093E-4</v>
      </c>
      <c r="G1010" s="21">
        <v>0.53993000000000002</v>
      </c>
      <c r="H1010" s="22">
        <v>1</v>
      </c>
      <c r="I1010" s="23" cm="1">
        <f t="array" ref="I1010">IF(D1010="","",(G1010*C1010)*0.00075)</f>
        <v>24.749710888199999</v>
      </c>
      <c r="J1010" s="23" cm="1">
        <f t="array" ref="J1010">IF(D1010="","",(G1010*D1010)*0.00075)</f>
        <v>24.725081981250003</v>
      </c>
      <c r="K1010" s="24" cm="1">
        <f t="array" ref="K1010">IF(D1010="","",J1010+I1010)</f>
        <v>49.474792869449999</v>
      </c>
      <c r="L1010" s="24" cm="1">
        <f t="array" ref="L1010">IF(D1010=0,0,(D1010-C1010)*G1010)</f>
        <v>-32.838542599999847</v>
      </c>
      <c r="M1010" s="25">
        <v>33007.727978218798</v>
      </c>
      <c r="N1010" s="26" cm="1">
        <f t="array" ref="N1010">IFERROR((K1010-J1010)/J1010,"–")</f>
        <v>1.0009961102239688</v>
      </c>
      <c r="O1010" s="24" cm="1">
        <f t="array" ref="O1010">IF(D1010=0,0,L1010-K1010)</f>
        <v>-82.313335469449839</v>
      </c>
      <c r="P1010" s="23"/>
      <c r="Q1010" s="27"/>
    </row>
    <row r="1011" spans="1:17" ht="22.5" customHeight="1">
      <c r="A1011" s="16" t="s">
        <v>94</v>
      </c>
      <c r="B1011" s="42">
        <v>44487</v>
      </c>
      <c r="C1011" s="36">
        <v>3.4117999999999999</v>
      </c>
      <c r="D1011" s="36">
        <v>3.4325999999999999</v>
      </c>
      <c r="E1011" s="30" cm="1">
        <f t="array" ref="E1011">IF(D1011="","",D1011-C1011)</f>
        <v>2.079999999999993E-2</v>
      </c>
      <c r="F1011" s="31" cm="1">
        <f t="array" ref="F1011">IF(D1011=0,"",(D1011-C1011)/C1011)</f>
        <v>6.0964886570138727E-3</v>
      </c>
      <c r="G1011" s="32">
        <v>2344.6999999999998</v>
      </c>
      <c r="H1011" s="10">
        <v>1</v>
      </c>
      <c r="I1011" s="11" cm="1">
        <f t="array" ref="I1011">IF(D1011="","",(G1011*C1011)*0.00075)</f>
        <v>5.9997355949999998</v>
      </c>
      <c r="J1011" s="11" cm="1">
        <f t="array" ref="J1011">IF(D1011="","",(G1011*D1011)*0.00075)</f>
        <v>6.0363129149999999</v>
      </c>
      <c r="K1011" s="33" cm="1">
        <f t="array" ref="K1011">IF(D1011="","",J1011+I1011)</f>
        <v>12.036048510000001</v>
      </c>
      <c r="L1011" s="33" cm="1">
        <f t="array" ref="L1011">IF(D1011=0,0,(D1011-C1011)*G1011)</f>
        <v>48.769759999999835</v>
      </c>
      <c r="M1011" s="12">
        <v>7944.841387085</v>
      </c>
      <c r="N1011" s="34" cm="1">
        <f t="array" ref="N1011">IFERROR((K1011-J1011)/J1011,"–")</f>
        <v>0.99394045330070513</v>
      </c>
      <c r="O1011" s="33" cm="1">
        <f t="array" ref="O1011">IF(D1011=0,0,L1011-K1011)</f>
        <v>36.733711489999834</v>
      </c>
      <c r="P1011" s="11"/>
      <c r="Q1011" s="35"/>
    </row>
    <row r="1012" spans="1:17" ht="22.5" customHeight="1">
      <c r="A1012" s="16" t="s">
        <v>94</v>
      </c>
      <c r="B1012" s="43">
        <v>44487</v>
      </c>
      <c r="C1012" s="37">
        <v>3.4117999999999999</v>
      </c>
      <c r="D1012" s="37">
        <v>3.4380000000000002</v>
      </c>
      <c r="E1012" s="19" cm="1">
        <f t="array" ref="E1012">IF(D1012="","",D1012-C1012)</f>
        <v>2.6200000000000223E-2</v>
      </c>
      <c r="F1012" s="20" cm="1">
        <f t="array" ref="F1012">IF(D1012=0,"",(D1012-C1012)/C1012)</f>
        <v>7.6792309045079499E-3</v>
      </c>
      <c r="G1012" s="21">
        <v>1758.6</v>
      </c>
      <c r="H1012" s="22">
        <v>1</v>
      </c>
      <c r="I1012" s="23" cm="1">
        <f t="array" ref="I1012">IF(D1012="","",(G1012*C1012)*0.00075)</f>
        <v>4.4999936099999998</v>
      </c>
      <c r="J1012" s="23" cm="1">
        <f t="array" ref="J1012">IF(D1012="","",(G1012*D1012)*0.00075)</f>
        <v>4.5345500999999997</v>
      </c>
      <c r="K1012" s="24" cm="1">
        <f t="array" ref="K1012">IF(D1012="","",J1012+I1012)</f>
        <v>9.0345437099999995</v>
      </c>
      <c r="L1012" s="24" cm="1">
        <f t="array" ref="L1012">IF(D1012=0,0,(D1012-C1012)*G1012)</f>
        <v>46.075320000000389</v>
      </c>
      <c r="M1012" s="25">
        <v>5949.3816098999996</v>
      </c>
      <c r="N1012" s="26" cm="1">
        <f t="array" ref="N1012">IFERROR((K1012-J1012)/J1012,"–")</f>
        <v>0.99237929028504945</v>
      </c>
      <c r="O1012" s="24" cm="1">
        <f t="array" ref="O1012">IF(D1012=0,0,L1012-K1012)</f>
        <v>37.040776290000387</v>
      </c>
      <c r="P1012" s="23"/>
      <c r="Q1012" s="27"/>
    </row>
    <row r="1013" spans="1:17" ht="22.5" customHeight="1">
      <c r="A1013" s="16" t="s">
        <v>94</v>
      </c>
      <c r="B1013" s="42">
        <v>44487</v>
      </c>
      <c r="C1013" s="36">
        <v>3.4117999999999999</v>
      </c>
      <c r="D1013" s="36">
        <v>3.44</v>
      </c>
      <c r="E1013" s="30" cm="1">
        <f t="array" ref="E1013">IF(D1013="","",D1013-C1013)</f>
        <v>2.8200000000000003E-2</v>
      </c>
      <c r="F1013" s="31" cm="1">
        <f t="array" ref="F1013">IF(D1013=0,"",(D1013-C1013)/C1013)</f>
        <v>8.2654317369130672E-3</v>
      </c>
      <c r="G1013" s="32">
        <v>2637.9</v>
      </c>
      <c r="H1013" s="10">
        <v>1</v>
      </c>
      <c r="I1013" s="11" cm="1">
        <f t="array" ref="I1013">IF(D1013="","",(G1013*C1013)*0.00075)</f>
        <v>6.749990415000001</v>
      </c>
      <c r="J1013" s="11" cm="1">
        <f t="array" ref="J1013">IF(D1013="","",(G1013*D1013)*0.00075)</f>
        <v>6.8057820000000007</v>
      </c>
      <c r="K1013" s="33" cm="1">
        <f t="array" ref="K1013">IF(D1013="","",J1013+I1013)</f>
        <v>13.555772415000002</v>
      </c>
      <c r="L1013" s="33" cm="1">
        <f t="array" ref="L1013">IF(D1013=0,0,(D1013-C1013)*G1013)</f>
        <v>74.388780000000011</v>
      </c>
      <c r="M1013" s="12">
        <v>8918.7926580000003</v>
      </c>
      <c r="N1013" s="34" cm="1">
        <f t="array" ref="N1013">IFERROR((K1013-J1013)/J1013,"–")</f>
        <v>0.99180232558139536</v>
      </c>
      <c r="O1013" s="33" cm="1">
        <f t="array" ref="O1013">IF(D1013=0,0,L1013-K1013)</f>
        <v>60.833007585000011</v>
      </c>
      <c r="P1013" s="11"/>
      <c r="Q1013" s="35"/>
    </row>
    <row r="1014" spans="1:17" ht="22.5" customHeight="1">
      <c r="A1014" s="16" t="s">
        <v>94</v>
      </c>
      <c r="B1014" s="43">
        <v>44487</v>
      </c>
      <c r="C1014" s="37">
        <v>3.4117999999999999</v>
      </c>
      <c r="D1014" s="37">
        <v>3.431</v>
      </c>
      <c r="E1014" s="19" cm="1">
        <f t="array" ref="E1014">IF(D1014="","",D1014-C1014)</f>
        <v>1.9200000000000106E-2</v>
      </c>
      <c r="F1014" s="20" cm="1">
        <f t="array" ref="F1014">IF(D1014=0,"",(D1014-C1014)/C1014)</f>
        <v>5.6275279910897782E-3</v>
      </c>
      <c r="G1014" s="21">
        <v>2637.9</v>
      </c>
      <c r="H1014" s="22">
        <v>1</v>
      </c>
      <c r="I1014" s="23" cm="1">
        <f t="array" ref="I1014">IF(D1014="","",(G1014*C1014)*0.00075)</f>
        <v>6.749990415000001</v>
      </c>
      <c r="J1014" s="23" cm="1">
        <f t="array" ref="J1014">IF(D1014="","",(G1014*D1014)*0.00075)</f>
        <v>6.7879761750000007</v>
      </c>
      <c r="K1014" s="24" cm="1">
        <f t="array" ref="K1014">IF(D1014="","",J1014+I1014)</f>
        <v>13.537966590000002</v>
      </c>
      <c r="L1014" s="24" cm="1">
        <f t="array" ref="L1014">IF(D1014=0,0,(D1014-C1014)*G1014)</f>
        <v>50.647680000000278</v>
      </c>
      <c r="M1014" s="25">
        <v>8942.5515638249999</v>
      </c>
      <c r="N1014" s="26" cm="1">
        <f t="array" ref="N1014">IFERROR((K1014-J1014)/J1014,"–")</f>
        <v>0.99440396385893326</v>
      </c>
      <c r="O1014" s="24" cm="1">
        <f t="array" ref="O1014">IF(D1014=0,0,L1014-K1014)</f>
        <v>37.109713410000275</v>
      </c>
      <c r="P1014" s="23"/>
      <c r="Q1014" s="27"/>
    </row>
    <row r="1015" spans="1:17" ht="22.5" customHeight="1">
      <c r="A1015" s="16" t="s">
        <v>136</v>
      </c>
      <c r="B1015" s="42">
        <v>44488</v>
      </c>
      <c r="C1015" s="36">
        <v>0.92290000000000005</v>
      </c>
      <c r="D1015" s="36">
        <v>0.92600000000000005</v>
      </c>
      <c r="E1015" s="30" cm="1">
        <f t="array" ref="E1015">IF(D1015="","",D1015-C1015)</f>
        <v>3.0999999999999917E-3</v>
      </c>
      <c r="F1015" s="31" cm="1">
        <f t="array" ref="F1015">IF(D1015=0,"",(D1015-C1015)/C1015)</f>
        <v>3.3589771372846372E-3</v>
      </c>
      <c r="G1015" s="32">
        <v>8668</v>
      </c>
      <c r="H1015" s="10">
        <v>1</v>
      </c>
      <c r="I1015" s="11" cm="1">
        <f t="array" ref="I1015">IF(D1015="","",(G1015*C1015)*0.00075)</f>
        <v>5.9997729000000009</v>
      </c>
      <c r="J1015" s="11" cm="1">
        <f t="array" ref="J1015">IF(D1015="","",(G1015*D1015)*0.00075)</f>
        <v>6.0199259999999999</v>
      </c>
      <c r="K1015" s="33" cm="1">
        <f t="array" ref="K1015">IF(D1015="","",J1015+I1015)</f>
        <v>12.019698900000002</v>
      </c>
      <c r="L1015" s="33" cm="1">
        <f t="array" ref="L1015">IF(D1015=0,0,(D1015-C1015)*G1015)</f>
        <v>26.870799999999928</v>
      </c>
      <c r="M1015" s="12">
        <v>7966.806474</v>
      </c>
      <c r="N1015" s="34" cm="1">
        <f t="array" ref="N1015">IFERROR((K1015-J1015)/J1015,"–")</f>
        <v>0.99665226781857486</v>
      </c>
      <c r="O1015" s="33" cm="1">
        <f t="array" ref="O1015">IF(D1015=0,0,L1015-K1015)</f>
        <v>14.851101099999926</v>
      </c>
      <c r="P1015" s="11"/>
      <c r="Q1015" s="35"/>
    </row>
    <row r="1016" spans="1:17" ht="22.5" customHeight="1">
      <c r="A1016" s="16" t="s">
        <v>136</v>
      </c>
      <c r="B1016" s="43">
        <v>44488</v>
      </c>
      <c r="C1016" s="37">
        <v>0.92290000000000005</v>
      </c>
      <c r="D1016" s="37">
        <v>0.92400000000000004</v>
      </c>
      <c r="E1016" s="19" cm="1">
        <f t="array" ref="E1016">IF(D1016="","",D1016-C1016)</f>
        <v>1.0999999999999899E-3</v>
      </c>
      <c r="F1016" s="20" cm="1">
        <f t="array" ref="F1016">IF(D1016=0,"",(D1016-C1016)/C1016)</f>
        <v>1.1918951132300246E-3</v>
      </c>
      <c r="G1016" s="21">
        <v>13002</v>
      </c>
      <c r="H1016" s="22">
        <v>1</v>
      </c>
      <c r="I1016" s="23" cm="1">
        <f t="array" ref="I1016">IF(D1016="","",(G1016*C1016)*0.00075)</f>
        <v>8.9996593499999999</v>
      </c>
      <c r="J1016" s="23" cm="1">
        <f t="array" ref="J1016">IF(D1016="","",(G1016*D1016)*0.00075)</f>
        <v>9.0103860000000005</v>
      </c>
      <c r="K1016" s="24" cm="1">
        <f t="array" ref="K1016">IF(D1016="","",J1016+I1016)</f>
        <v>18.010045349999999</v>
      </c>
      <c r="L1016" s="24" cm="1">
        <f t="array" ref="L1016">IF(D1016=0,0,(D1016-C1016)*G1016)</f>
        <v>14.302199999999868</v>
      </c>
      <c r="M1016" s="25">
        <v>11976.233214</v>
      </c>
      <c r="N1016" s="26" cm="1">
        <f t="array" ref="N1016">IFERROR((K1016-J1016)/J1016,"–")</f>
        <v>0.99880952380952359</v>
      </c>
      <c r="O1016" s="24" cm="1">
        <f t="array" ref="O1016">IF(D1016=0,0,L1016-K1016)</f>
        <v>-3.7078453500001309</v>
      </c>
      <c r="P1016" s="23"/>
      <c r="Q1016" s="27"/>
    </row>
    <row r="1017" spans="1:17" ht="22.5" customHeight="1">
      <c r="A1017" s="16" t="s">
        <v>136</v>
      </c>
      <c r="B1017" s="42">
        <v>44488</v>
      </c>
      <c r="C1017" s="36">
        <v>0.92290000000000005</v>
      </c>
      <c r="D1017" s="36">
        <v>0.9244</v>
      </c>
      <c r="E1017" s="30" cm="1">
        <f t="array" ref="E1017">IF(D1017="","",D1017-C1017)</f>
        <v>1.4999999999999458E-3</v>
      </c>
      <c r="F1017" s="31" cm="1">
        <f t="array" ref="F1017">IF(D1017=0,"",(D1017-C1017)/C1017)</f>
        <v>1.625311518040899E-3</v>
      </c>
      <c r="G1017" s="32">
        <v>6501</v>
      </c>
      <c r="H1017" s="10">
        <v>1</v>
      </c>
      <c r="I1017" s="11" cm="1">
        <f t="array" ref="I1017">IF(D1017="","",(G1017*C1017)*0.00075)</f>
        <v>4.499829675</v>
      </c>
      <c r="J1017" s="11" cm="1">
        <f t="array" ref="J1017">IF(D1017="","",(G1017*D1017)*0.00075)</f>
        <v>4.5071433000000001</v>
      </c>
      <c r="K1017" s="33" cm="1">
        <f t="array" ref="K1017">IF(D1017="","",J1017+I1017)</f>
        <v>9.006972975</v>
      </c>
      <c r="L1017" s="33" cm="1">
        <f t="array" ref="L1017">IF(D1017=0,0,(D1017-C1017)*G1017)</f>
        <v>9.7514999999996483</v>
      </c>
      <c r="M1017" s="12">
        <v>5985.5142567000003</v>
      </c>
      <c r="N1017" s="34" cm="1">
        <f t="array" ref="N1017">IFERROR((K1017-J1017)/J1017,"–")</f>
        <v>0.99837732583297267</v>
      </c>
      <c r="O1017" s="33" cm="1">
        <f t="array" ref="O1017">IF(D1017=0,0,L1017-K1017)</f>
        <v>0.74452702499964829</v>
      </c>
      <c r="P1017" s="11"/>
      <c r="Q1017" s="35"/>
    </row>
    <row r="1018" spans="1:17" ht="22.5" customHeight="1">
      <c r="A1018" s="16" t="s">
        <v>136</v>
      </c>
      <c r="B1018" s="43">
        <v>44488</v>
      </c>
      <c r="C1018" s="37">
        <v>0.92290000000000005</v>
      </c>
      <c r="D1018" s="37">
        <v>0.92400000000000004</v>
      </c>
      <c r="E1018" s="19" cm="1">
        <f t="array" ref="E1018">IF(D1018="","",D1018-C1018)</f>
        <v>1.0999999999999899E-3</v>
      </c>
      <c r="F1018" s="20" cm="1">
        <f t="array" ref="F1018">IF(D1018=0,"",(D1018-C1018)/C1018)</f>
        <v>1.1918951132300246E-3</v>
      </c>
      <c r="G1018" s="21">
        <v>6501</v>
      </c>
      <c r="H1018" s="22">
        <v>1</v>
      </c>
      <c r="I1018" s="23" cm="1">
        <f t="array" ref="I1018">IF(D1018="","",(G1018*C1018)*0.00075)</f>
        <v>4.499829675</v>
      </c>
      <c r="J1018" s="23" cm="1">
        <f t="array" ref="J1018">IF(D1018="","",(G1018*D1018)*0.00075)</f>
        <v>4.5051930000000002</v>
      </c>
      <c r="K1018" s="24" cm="1">
        <f t="array" ref="K1018">IF(D1018="","",J1018+I1018)</f>
        <v>9.0050226749999993</v>
      </c>
      <c r="L1018" s="24" cm="1">
        <f t="array" ref="L1018">IF(D1018=0,0,(D1018-C1018)*G1018)</f>
        <v>7.1510999999999338</v>
      </c>
      <c r="M1018" s="25">
        <v>5988.1166069999999</v>
      </c>
      <c r="N1018" s="26" cm="1">
        <f t="array" ref="N1018">IFERROR((K1018-J1018)/J1018,"–")</f>
        <v>0.99880952380952359</v>
      </c>
      <c r="O1018" s="24" cm="1">
        <f t="array" ref="O1018">IF(D1018=0,0,L1018-K1018)</f>
        <v>-1.8539226750000655</v>
      </c>
      <c r="P1018" s="23"/>
      <c r="Q1018" s="27"/>
    </row>
    <row r="1019" spans="1:17" ht="22.5" customHeight="1">
      <c r="A1019" s="16" t="s">
        <v>205</v>
      </c>
      <c r="B1019" s="42">
        <v>44488</v>
      </c>
      <c r="C1019" s="36">
        <v>2.3664000000000001</v>
      </c>
      <c r="D1019" s="36">
        <v>2.375</v>
      </c>
      <c r="E1019" s="30" cm="1">
        <f t="array" ref="E1019">IF(D1019="","",D1019-C1019)</f>
        <v>8.599999999999941E-3</v>
      </c>
      <c r="F1019" s="31" cm="1">
        <f t="array" ref="F1019">IF(D1019=0,"",(D1019-C1019)/C1019)</f>
        <v>3.6342123056118747E-3</v>
      </c>
      <c r="G1019" s="32">
        <v>1352.2</v>
      </c>
      <c r="H1019" s="10">
        <v>1</v>
      </c>
      <c r="I1019" s="11" cm="1">
        <f t="array" ref="I1019">IF(D1019="","",(G1019*C1019)*0.00075)</f>
        <v>2.3998845600000003</v>
      </c>
      <c r="J1019" s="11" cm="1">
        <f t="array" ref="J1019">IF(D1019="","",(G1019*D1019)*0.00075)</f>
        <v>2.4086062500000001</v>
      </c>
      <c r="K1019" s="33" cm="1">
        <f t="array" ref="K1019">IF(D1019="","",J1019+I1019)</f>
        <v>4.8084908100000003</v>
      </c>
      <c r="L1019" s="33" cm="1">
        <f t="array" ref="L1019">IF(D1019=0,0,(D1019-C1019)*G1019)</f>
        <v>11.628919999999921</v>
      </c>
      <c r="M1019" s="12">
        <v>3185.8085537500001</v>
      </c>
      <c r="N1019" s="34" cm="1">
        <f t="array" ref="N1019">IFERROR((K1019-J1019)/J1019,"–")</f>
        <v>0.99637894736842114</v>
      </c>
      <c r="O1019" s="33" cm="1">
        <f t="array" ref="O1019">IF(D1019=0,0,L1019-K1019)</f>
        <v>6.8204291899999205</v>
      </c>
      <c r="P1019" s="11"/>
      <c r="Q1019" s="35"/>
    </row>
    <row r="1020" spans="1:17" ht="22.5" customHeight="1">
      <c r="A1020" s="16" t="s">
        <v>30</v>
      </c>
      <c r="B1020" s="43">
        <v>44488</v>
      </c>
      <c r="C1020" s="37">
        <v>62593</v>
      </c>
      <c r="D1020" s="37">
        <v>63000</v>
      </c>
      <c r="E1020" s="19" cm="1">
        <f t="array" ref="E1020">IF(D1020="","",D1020-C1020)</f>
        <v>407</v>
      </c>
      <c r="F1020" s="20" cm="1">
        <f t="array" ref="F1020">IF(D1020=0,"",(D1020-C1020)/C1020)</f>
        <v>6.5023245410828689E-3</v>
      </c>
      <c r="G1020" s="21">
        <v>0.26085000000000003</v>
      </c>
      <c r="H1020" s="22">
        <v>1</v>
      </c>
      <c r="I1020" s="23" cm="1">
        <f t="array" ref="I1020">IF(D1020="","",(G1020*C1020)*0.00075)</f>
        <v>12.245538037500003</v>
      </c>
      <c r="J1020" s="23" cm="1">
        <f t="array" ref="J1020">IF(D1020="","",(G1020*D1020)*0.00075)</f>
        <v>12.325162500000003</v>
      </c>
      <c r="K1020" s="24" cm="1">
        <f t="array" ref="K1020">IF(D1020="","",J1020+I1020)</f>
        <v>24.570700537500006</v>
      </c>
      <c r="L1020" s="24" cm="1">
        <f t="array" ref="L1020">IF(D1020=0,0,(D1020-C1020)*G1020)</f>
        <v>106.16595000000001</v>
      </c>
      <c r="M1020" s="25">
        <v>16208.892937500001</v>
      </c>
      <c r="N1020" s="26" cm="1">
        <f t="array" ref="N1020">IFERROR((K1020-J1020)/J1020,"–")</f>
        <v>0.9935396825396825</v>
      </c>
      <c r="O1020" s="24" cm="1">
        <f t="array" ref="O1020">IF(D1020=0,0,L1020-K1020)</f>
        <v>81.595249462500007</v>
      </c>
      <c r="P1020" s="23"/>
      <c r="Q1020" s="27"/>
    </row>
    <row r="1021" spans="1:17" ht="22.5" customHeight="1">
      <c r="A1021" s="16" t="s">
        <v>30</v>
      </c>
      <c r="B1021" s="42">
        <v>44488</v>
      </c>
      <c r="C1021" s="36">
        <v>62400</v>
      </c>
      <c r="D1021" s="36">
        <v>63000</v>
      </c>
      <c r="E1021" s="30" cm="1">
        <f t="array" ref="E1021">IF(D1021="","",D1021-C1021)</f>
        <v>600</v>
      </c>
      <c r="F1021" s="31" cm="1">
        <f t="array" ref="F1021">IF(D1021=0,"",(D1021-C1021)/C1021)</f>
        <v>9.6153846153846159E-3</v>
      </c>
      <c r="G1021" s="32">
        <v>0.25997999999999999</v>
      </c>
      <c r="H1021" s="10">
        <v>1</v>
      </c>
      <c r="I1021" s="11" cm="1">
        <f t="array" ref="I1021">IF(D1021="","",(G1021*C1021)*0.00075)</f>
        <v>12.167064</v>
      </c>
      <c r="J1021" s="11" cm="1">
        <f t="array" ref="J1021">IF(D1021="","",(G1021*D1021)*0.00075)</f>
        <v>12.284055</v>
      </c>
      <c r="K1021" s="33" cm="1">
        <f t="array" ref="K1021">IF(D1021="","",J1021+I1021)</f>
        <v>24.451118999999998</v>
      </c>
      <c r="L1021" s="33" cm="1">
        <f t="array" ref="L1021">IF(D1021=0,0,(D1021-C1021)*G1021)</f>
        <v>155.988</v>
      </c>
      <c r="M1021" s="12">
        <v>16054.479944999999</v>
      </c>
      <c r="N1021" s="34" cm="1">
        <f t="array" ref="N1021">IFERROR((K1021-J1021)/J1021,"–")</f>
        <v>0.99047619047619029</v>
      </c>
      <c r="O1021" s="33" cm="1">
        <f t="array" ref="O1021">IF(D1021=0,0,L1021-K1021)</f>
        <v>131.53688099999999</v>
      </c>
      <c r="P1021" s="11"/>
      <c r="Q1021" s="35"/>
    </row>
    <row r="1022" spans="1:17" ht="22.5" customHeight="1">
      <c r="A1022" s="16" t="s">
        <v>108</v>
      </c>
      <c r="B1022" s="43">
        <v>44488</v>
      </c>
      <c r="C1022" s="37">
        <v>8.1684400000000004</v>
      </c>
      <c r="D1022" s="37">
        <v>8.19</v>
      </c>
      <c r="E1022" s="19" cm="1">
        <f t="array" ref="E1022">IF(D1022="","",D1022-C1022)</f>
        <v>2.1559999999999135E-2</v>
      </c>
      <c r="F1022" s="20" cm="1">
        <f t="array" ref="F1022">IF(D1022=0,"",(D1022-C1022)/C1022)</f>
        <v>2.6394268673087069E-3</v>
      </c>
      <c r="G1022" s="21">
        <v>979.3</v>
      </c>
      <c r="H1022" s="22">
        <v>1</v>
      </c>
      <c r="I1022" s="23" cm="1">
        <f t="array" ref="I1022">IF(D1022="","",(G1022*C1022)*0.00075)</f>
        <v>5.9995149689999998</v>
      </c>
      <c r="J1022" s="23" cm="1">
        <f t="array" ref="J1022">IF(D1022="","",(G1022*D1022)*0.00075)</f>
        <v>6.0153502499999991</v>
      </c>
      <c r="K1022" s="24" cm="1">
        <f t="array" ref="K1022">IF(D1022="","",J1022+I1022)</f>
        <v>12.014865218999999</v>
      </c>
      <c r="L1022" s="24" cm="1">
        <f t="array" ref="L1022">IF(D1022=0,0,(D1022-C1022)*G1022)</f>
        <v>21.113707999999153</v>
      </c>
      <c r="M1022" s="25">
        <v>7972.2242337500002</v>
      </c>
      <c r="N1022" s="26" cm="1">
        <f t="array" ref="N1022">IFERROR((K1022-J1022)/J1022,"–")</f>
        <v>0.99736752136752149</v>
      </c>
      <c r="O1022" s="24" cm="1">
        <f t="array" ref="O1022">IF(D1022=0,0,L1022-K1022)</f>
        <v>9.0988427809991546</v>
      </c>
      <c r="P1022" s="23"/>
      <c r="Q1022" s="27"/>
    </row>
    <row r="1023" spans="1:17" ht="22.5" customHeight="1">
      <c r="A1023" s="16" t="s">
        <v>108</v>
      </c>
      <c r="B1023" s="42">
        <v>44488</v>
      </c>
      <c r="C1023" s="36">
        <v>8.1684400000000004</v>
      </c>
      <c r="D1023" s="36">
        <v>8.1999999999999993</v>
      </c>
      <c r="E1023" s="30" cm="1">
        <f t="array" ref="E1023">IF(D1023="","",D1023-C1023)</f>
        <v>3.1559999999998922E-2</v>
      </c>
      <c r="F1023" s="31" cm="1">
        <f t="array" ref="F1023">IF(D1023=0,"",(D1023-C1023)/C1023)</f>
        <v>3.8636508317376294E-3</v>
      </c>
      <c r="G1023" s="32">
        <v>734.5</v>
      </c>
      <c r="H1023" s="10">
        <v>1</v>
      </c>
      <c r="I1023" s="11" cm="1">
        <f t="array" ref="I1023">IF(D1023="","",(G1023*C1023)*0.00075)</f>
        <v>4.4997893849999997</v>
      </c>
      <c r="J1023" s="11" cm="1">
        <f t="array" ref="J1023">IF(D1023="","",(G1023*D1023)*0.00075)</f>
        <v>4.5171749999999999</v>
      </c>
      <c r="K1023" s="33" cm="1">
        <f t="array" ref="K1023">IF(D1023="","",J1023+I1023)</f>
        <v>9.0169643849999996</v>
      </c>
      <c r="L1023" s="33" cm="1">
        <f t="array" ref="L1023">IF(D1023=0,0,(D1023-C1023)*G1023)</f>
        <v>23.180819999999208</v>
      </c>
      <c r="M1023" s="12">
        <v>5972.0211849999996</v>
      </c>
      <c r="N1023" s="34" cm="1">
        <f t="array" ref="N1023">IFERROR((K1023-J1023)/J1023,"–")</f>
        <v>0.9961512195121951</v>
      </c>
      <c r="O1023" s="33" cm="1">
        <f t="array" ref="O1023">IF(D1023=0,0,L1023-K1023)</f>
        <v>14.163855614999209</v>
      </c>
      <c r="P1023" s="11"/>
      <c r="Q1023" s="35"/>
    </row>
    <row r="1024" spans="1:17" ht="22.5" customHeight="1">
      <c r="A1024" s="16" t="s">
        <v>108</v>
      </c>
      <c r="B1024" s="43">
        <v>44488</v>
      </c>
      <c r="C1024" s="37">
        <v>8.1684400000000004</v>
      </c>
      <c r="D1024" s="37">
        <v>8.2024000000000008</v>
      </c>
      <c r="E1024" s="19" cm="1">
        <f t="array" ref="E1024">IF(D1024="","",D1024-C1024)</f>
        <v>3.3960000000000434E-2</v>
      </c>
      <c r="F1024" s="20" cm="1">
        <f t="array" ref="F1024">IF(D1024=0,"",(D1024-C1024)/C1024)</f>
        <v>4.1574645832007625E-3</v>
      </c>
      <c r="G1024" s="21">
        <v>550.9</v>
      </c>
      <c r="H1024" s="22">
        <v>1</v>
      </c>
      <c r="I1024" s="23" cm="1">
        <f t="array" ref="I1024">IF(D1024="","",(G1024*C1024)*0.00075)</f>
        <v>3.3749951970000001</v>
      </c>
      <c r="J1024" s="23" cm="1">
        <f t="array" ref="J1024">IF(D1024="","",(G1024*D1024)*0.00075)</f>
        <v>3.3890266200000001</v>
      </c>
      <c r="K1024" s="24" cm="1">
        <f t="array" ref="K1024">IF(D1024="","",J1024+I1024)</f>
        <v>6.7640218169999997</v>
      </c>
      <c r="L1024" s="24" cm="1">
        <f t="array" ref="L1024">IF(D1024=0,0,(D1024-C1024)*G1024)</f>
        <v>18.708564000000237</v>
      </c>
      <c r="M1024" s="25">
        <v>4477.8960053800001</v>
      </c>
      <c r="N1024" s="26" cm="1">
        <f t="array" ref="N1024">IFERROR((K1024-J1024)/J1024,"–")</f>
        <v>0.99585974836633162</v>
      </c>
      <c r="O1024" s="24" cm="1">
        <f t="array" ref="O1024">IF(D1024=0,0,L1024-K1024)</f>
        <v>11.944542183000237</v>
      </c>
      <c r="P1024" s="23"/>
      <c r="Q1024" s="27"/>
    </row>
    <row r="1025" spans="1:17" ht="22.5" customHeight="1">
      <c r="A1025" s="16" t="s">
        <v>108</v>
      </c>
      <c r="B1025" s="42">
        <v>44488</v>
      </c>
      <c r="C1025" s="36">
        <v>8.1684400000000004</v>
      </c>
      <c r="D1025" s="36">
        <v>8.18</v>
      </c>
      <c r="E1025" s="30" cm="1">
        <f t="array" ref="E1025">IF(D1025="","",D1025-C1025)</f>
        <v>1.1559999999999349E-2</v>
      </c>
      <c r="F1025" s="31" cm="1">
        <f t="array" ref="F1025">IF(D1025=0,"",(D1025-C1025)/C1025)</f>
        <v>1.4152029028797846E-3</v>
      </c>
      <c r="G1025" s="32">
        <v>826.4</v>
      </c>
      <c r="H1025" s="10">
        <v>1</v>
      </c>
      <c r="I1025" s="11" cm="1">
        <f t="array" ref="I1025">IF(D1025="","",(G1025*C1025)*0.00075)</f>
        <v>5.0627991120000004</v>
      </c>
      <c r="J1025" s="11" cm="1">
        <f t="array" ref="J1025">IF(D1025="","",(G1025*D1025)*0.00075)</f>
        <v>5.0699639999999997</v>
      </c>
      <c r="K1025" s="33" cm="1">
        <f t="array" ref="K1025">IF(D1025="","",J1025+I1025)</f>
        <v>10.132763111999999</v>
      </c>
      <c r="L1025" s="33" cm="1">
        <f t="array" ref="L1025">IF(D1025=0,0,(D1025-C1025)*G1025)</f>
        <v>9.5531839999994617</v>
      </c>
      <c r="M1025" s="12">
        <v>6735.7756680000002</v>
      </c>
      <c r="N1025" s="34" cm="1">
        <f t="array" ref="N1025">IFERROR((K1025-J1025)/J1025,"–")</f>
        <v>0.99858679706601461</v>
      </c>
      <c r="O1025" s="33" cm="1">
        <f t="array" ref="O1025">IF(D1025=0,0,L1025-K1025)</f>
        <v>-0.57957911200053758</v>
      </c>
      <c r="P1025" s="11"/>
      <c r="Q1025" s="35"/>
    </row>
    <row r="1026" spans="1:17" ht="22.5" customHeight="1">
      <c r="A1026" s="16" t="s">
        <v>108</v>
      </c>
      <c r="B1026" s="43">
        <v>44488</v>
      </c>
      <c r="C1026" s="37">
        <v>8.1684400000000004</v>
      </c>
      <c r="D1026" s="37">
        <v>8.1750000000000007</v>
      </c>
      <c r="E1026" s="19" cm="1">
        <f t="array" ref="E1026">IF(D1026="","",D1026-C1026)</f>
        <v>6.5600000000003433E-3</v>
      </c>
      <c r="F1026" s="20" cm="1">
        <f t="array" ref="F1026">IF(D1026=0,"",(D1026-C1026)/C1026)</f>
        <v>8.0309092066543225E-4</v>
      </c>
      <c r="G1026" s="21">
        <v>246</v>
      </c>
      <c r="H1026" s="22">
        <v>1</v>
      </c>
      <c r="I1026" s="23" cm="1">
        <f t="array" ref="I1026">IF(D1026="","",(G1026*C1026)*0.00075)</f>
        <v>1.50707718</v>
      </c>
      <c r="J1026" s="23" cm="1">
        <f t="array" ref="J1026">IF(D1026="","",(G1026*D1026)*0.00075)</f>
        <v>1.5082875000000002</v>
      </c>
      <c r="K1026" s="24" cm="1">
        <f t="array" ref="K1026">IF(D1026="","",J1026+I1026)</f>
        <v>3.0153646800000002</v>
      </c>
      <c r="L1026" s="24" cm="1">
        <f t="array" ref="L1026">IF(D1026=0,0,(D1026-C1026)*G1026)</f>
        <v>1.6137600000000845</v>
      </c>
      <c r="M1026" s="25">
        <v>2006.3141925</v>
      </c>
      <c r="N1026" s="26" cm="1">
        <f t="array" ref="N1026">IFERROR((K1026-J1026)/J1026,"–")</f>
        <v>0.99919755351681938</v>
      </c>
      <c r="O1026" s="24" cm="1">
        <f t="array" ref="O1026">IF(D1026=0,0,L1026-K1026)</f>
        <v>-1.4016046799999158</v>
      </c>
      <c r="P1026" s="23"/>
      <c r="Q1026" s="27"/>
    </row>
    <row r="1027" spans="1:17" ht="22.5" customHeight="1">
      <c r="A1027" s="16" t="s">
        <v>108</v>
      </c>
      <c r="B1027" s="42">
        <v>44488</v>
      </c>
      <c r="C1027" s="36">
        <v>8.1684400000000004</v>
      </c>
      <c r="D1027" s="36">
        <v>8.1714000000000002</v>
      </c>
      <c r="E1027" s="30" cm="1">
        <f t="array" ref="E1027">IF(D1027="","",D1027-C1027)</f>
        <v>2.9599999999998516E-3</v>
      </c>
      <c r="F1027" s="31" cm="1">
        <f t="array" ref="F1027">IF(D1027=0,"",(D1027-C1027)/C1027)</f>
        <v>3.623702934709506E-4</v>
      </c>
      <c r="G1027" s="32">
        <v>580.4</v>
      </c>
      <c r="H1027" s="10">
        <v>1</v>
      </c>
      <c r="I1027" s="11" cm="1">
        <f t="array" ref="I1027">IF(D1027="","",(G1027*C1027)*0.00075)</f>
        <v>3.555721932</v>
      </c>
      <c r="J1027" s="11" cm="1">
        <f t="array" ref="J1027">IF(D1027="","",(G1027*D1027)*0.00075)</f>
        <v>3.5570104200000001</v>
      </c>
      <c r="K1027" s="33" cm="1">
        <f t="array" ref="K1027">IF(D1027="","",J1027+I1027)</f>
        <v>7.1127323520000001</v>
      </c>
      <c r="L1027" s="33" cm="1">
        <f t="array" ref="L1027">IF(D1027=0,0,(D1027-C1027)*G1027)</f>
        <v>1.7179839999999138</v>
      </c>
      <c r="M1027" s="12">
        <v>4735.6875815800004</v>
      </c>
      <c r="N1027" s="34" cm="1">
        <f t="array" ref="N1027">IFERROR((K1027-J1027)/J1027,"–")</f>
        <v>0.99963776097119217</v>
      </c>
      <c r="O1027" s="33" cm="1">
        <f t="array" ref="O1027">IF(D1027=0,0,L1027-K1027)</f>
        <v>-5.3947483520000858</v>
      </c>
      <c r="P1027" s="11"/>
      <c r="Q1027" s="35"/>
    </row>
    <row r="1028" spans="1:17" ht="22.5" customHeight="1">
      <c r="A1028" s="16" t="s">
        <v>63</v>
      </c>
      <c r="B1028" s="43">
        <v>44488</v>
      </c>
      <c r="C1028" s="37">
        <v>0.24736</v>
      </c>
      <c r="D1028" s="37">
        <v>0.248</v>
      </c>
      <c r="E1028" s="19" cm="1">
        <f t="array" ref="E1028">IF(D1028="","",D1028-C1028)</f>
        <v>6.4000000000000168E-4</v>
      </c>
      <c r="F1028" s="20" cm="1">
        <f t="array" ref="F1028">IF(D1028=0,"",(D1028-C1028)/C1028)</f>
        <v>2.5873221216041464E-3</v>
      </c>
      <c r="G1028" s="21">
        <v>32341</v>
      </c>
      <c r="H1028" s="22">
        <v>1</v>
      </c>
      <c r="I1028" s="23" cm="1">
        <f t="array" ref="I1028">IF(D1028="","",(G1028*C1028)*0.00075)</f>
        <v>5.9999023199999995</v>
      </c>
      <c r="J1028" s="23" cm="1">
        <f t="array" ref="J1028">IF(D1028="","",(G1028*D1028)*0.00075)</f>
        <v>6.0154260000000006</v>
      </c>
      <c r="K1028" s="24" cm="1">
        <f t="array" ref="K1028">IF(D1028="","",J1028+I1028)</f>
        <v>12.01532832</v>
      </c>
      <c r="L1028" s="24" cm="1">
        <f t="array" ref="L1028">IF(D1028=0,0,(D1028-C1028)*G1028)</f>
        <v>20.698240000000055</v>
      </c>
      <c r="M1028" s="25">
        <v>7973.1560939999999</v>
      </c>
      <c r="N1028" s="26" cm="1">
        <f t="array" ref="N1028">IFERROR((K1028-J1028)/J1028,"–")</f>
        <v>0.99741935483870947</v>
      </c>
      <c r="O1028" s="24" cm="1">
        <f t="array" ref="O1028">IF(D1028=0,0,L1028-K1028)</f>
        <v>8.6829116800000552</v>
      </c>
      <c r="P1028" s="23"/>
      <c r="Q1028" s="27"/>
    </row>
    <row r="1029" spans="1:17" ht="22.5" customHeight="1">
      <c r="A1029" s="16" t="s">
        <v>63</v>
      </c>
      <c r="B1029" s="42">
        <v>44488</v>
      </c>
      <c r="C1029" s="36">
        <v>0.24736</v>
      </c>
      <c r="D1029" s="36">
        <v>0.248198</v>
      </c>
      <c r="E1029" s="30" cm="1">
        <f t="array" ref="E1029">IF(D1029="","",D1029-C1029)</f>
        <v>8.3800000000000541E-4</v>
      </c>
      <c r="F1029" s="31" cm="1">
        <f t="array" ref="F1029">IF(D1029=0,"",(D1029-C1029)/C1029)</f>
        <v>3.3877749029754423E-3</v>
      </c>
      <c r="G1029" s="32">
        <v>24256</v>
      </c>
      <c r="H1029" s="10">
        <v>1</v>
      </c>
      <c r="I1029" s="11" cm="1">
        <f t="array" ref="I1029">IF(D1029="","",(G1029*C1029)*0.00075)</f>
        <v>4.4999731199999999</v>
      </c>
      <c r="J1029" s="11" cm="1">
        <f t="array" ref="J1029">IF(D1029="","",(G1029*D1029)*0.00075)</f>
        <v>4.5152180160000004</v>
      </c>
      <c r="K1029" s="33" cm="1">
        <f t="array" ref="K1029">IF(D1029="","",J1029+I1029)</f>
        <v>9.0151911360000003</v>
      </c>
      <c r="L1029" s="33" cm="1">
        <f t="array" ref="L1029">IF(D1029=0,0,(D1029-C1029)*G1029)</f>
        <v>20.326528000000131</v>
      </c>
      <c r="M1029" s="12">
        <v>5975.1224139839996</v>
      </c>
      <c r="N1029" s="34" cm="1">
        <f t="array" ref="N1029">IFERROR((K1029-J1029)/J1029,"–")</f>
        <v>0.99662366336553876</v>
      </c>
      <c r="O1029" s="33" cm="1">
        <f t="array" ref="O1029">IF(D1029=0,0,L1029-K1029)</f>
        <v>11.311336864000131</v>
      </c>
      <c r="P1029" s="11"/>
      <c r="Q1029" s="35"/>
    </row>
    <row r="1030" spans="1:17" ht="22.5" customHeight="1">
      <c r="A1030" s="16" t="s">
        <v>63</v>
      </c>
      <c r="B1030" s="43">
        <v>44488</v>
      </c>
      <c r="C1030" s="37">
        <v>0.24736</v>
      </c>
      <c r="D1030" s="37">
        <v>0.2485</v>
      </c>
      <c r="E1030" s="19" cm="1">
        <f t="array" ref="E1030">IF(D1030="","",D1030-C1030)</f>
        <v>1.1400000000000021E-3</v>
      </c>
      <c r="F1030" s="20" cm="1">
        <f t="array" ref="F1030">IF(D1030=0,"",(D1030-C1030)/C1030)</f>
        <v>4.6086675291073824E-3</v>
      </c>
      <c r="G1030" s="21">
        <v>36384</v>
      </c>
      <c r="H1030" s="22">
        <v>1</v>
      </c>
      <c r="I1030" s="23" cm="1">
        <f t="array" ref="I1030">IF(D1030="","",(G1030*C1030)*0.00075)</f>
        <v>6.7499596799999999</v>
      </c>
      <c r="J1030" s="23" cm="1">
        <f t="array" ref="J1030">IF(D1030="","",(G1030*D1030)*0.00075)</f>
        <v>6.7810679999999994</v>
      </c>
      <c r="K1030" s="24" cm="1">
        <f t="array" ref="K1030">IF(D1030="","",J1030+I1030)</f>
        <v>13.531027679999999</v>
      </c>
      <c r="L1030" s="24" cm="1">
        <f t="array" ref="L1030">IF(D1030=0,0,(D1030-C1030)*G1030)</f>
        <v>41.477760000000075</v>
      </c>
      <c r="M1030" s="25">
        <v>8951.6874119999993</v>
      </c>
      <c r="N1030" s="26" cm="1">
        <f t="array" ref="N1030">IFERROR((K1030-J1030)/J1030,"–")</f>
        <v>0.99541247484909468</v>
      </c>
      <c r="O1030" s="24" cm="1">
        <f t="array" ref="O1030">IF(D1030=0,0,L1030-K1030)</f>
        <v>27.946732320000073</v>
      </c>
      <c r="P1030" s="23"/>
      <c r="Q1030" s="27"/>
    </row>
    <row r="1031" spans="1:17" ht="22.5" customHeight="1">
      <c r="A1031" s="16" t="s">
        <v>63</v>
      </c>
      <c r="B1031" s="42">
        <v>44488</v>
      </c>
      <c r="C1031" s="36">
        <v>0.24736</v>
      </c>
      <c r="D1031" s="36">
        <v>0.24940000000000001</v>
      </c>
      <c r="E1031" s="30" cm="1">
        <f t="array" ref="E1031">IF(D1031="","",D1031-C1031)</f>
        <v>2.040000000000014E-3</v>
      </c>
      <c r="F1031" s="31" cm="1">
        <f t="array" ref="F1031">IF(D1031=0,"",(D1031-C1031)/C1031)</f>
        <v>8.2470892626132514E-3</v>
      </c>
      <c r="G1031" s="32">
        <v>36384</v>
      </c>
      <c r="H1031" s="10">
        <v>1</v>
      </c>
      <c r="I1031" s="11" cm="1">
        <f t="array" ref="I1031">IF(D1031="","",(G1031*C1031)*0.00075)</f>
        <v>6.7499596799999999</v>
      </c>
      <c r="J1031" s="11" cm="1">
        <f t="array" ref="J1031">IF(D1031="","",(G1031*D1031)*0.00075)</f>
        <v>6.8056272000000009</v>
      </c>
      <c r="K1031" s="33" cm="1">
        <f t="array" ref="K1031">IF(D1031="","",J1031+I1031)</f>
        <v>13.55558688</v>
      </c>
      <c r="L1031" s="33" cm="1">
        <f t="array" ref="L1031">IF(D1031=0,0,(D1031-C1031)*G1031)</f>
        <v>74.223360000000511</v>
      </c>
      <c r="M1031" s="12">
        <v>8918.9172527999999</v>
      </c>
      <c r="N1031" s="34" cm="1">
        <f t="array" ref="N1031">IFERROR((K1031-J1031)/J1031,"–")</f>
        <v>0.99182036888532454</v>
      </c>
      <c r="O1031" s="33" cm="1">
        <f t="array" ref="O1031">IF(D1031=0,0,L1031-K1031)</f>
        <v>60.667773120000511</v>
      </c>
      <c r="P1031" s="11"/>
      <c r="Q1031" s="35"/>
    </row>
    <row r="1032" spans="1:17" ht="22.5" customHeight="1">
      <c r="A1032" s="16" t="s">
        <v>146</v>
      </c>
      <c r="B1032" s="43">
        <v>44488</v>
      </c>
      <c r="C1032" s="37">
        <v>2.2530000000000001E-2</v>
      </c>
      <c r="D1032" s="37">
        <v>2.2599999999999999E-2</v>
      </c>
      <c r="E1032" s="19" cm="1">
        <f t="array" ref="E1032">IF(D1032="","",D1032-C1032)</f>
        <v>6.9999999999997148E-5</v>
      </c>
      <c r="F1032" s="20" cm="1">
        <f t="array" ref="F1032">IF(D1032=0,"",(D1032-C1032)/C1032)</f>
        <v>3.1069684864623677E-3</v>
      </c>
      <c r="G1032" s="21">
        <v>355037.4</v>
      </c>
      <c r="H1032" s="22">
        <v>1</v>
      </c>
      <c r="I1032" s="23" cm="1">
        <f t="array" ref="I1032">IF(D1032="","",(G1032*C1032)*0.00075)</f>
        <v>5.9992444665000004</v>
      </c>
      <c r="J1032" s="23" cm="1">
        <f t="array" ref="J1032">IF(D1032="","",(G1032*D1032)*0.00075)</f>
        <v>6.01788393</v>
      </c>
      <c r="K1032" s="24" cm="1">
        <f t="array" ref="K1032">IF(D1032="","",J1032+I1032)</f>
        <v>12.0171283965</v>
      </c>
      <c r="L1032" s="24" cm="1">
        <f t="array" ref="L1032">IF(D1032=0,0,(D1032-C1032)*G1032)</f>
        <v>24.852617999998991</v>
      </c>
      <c r="M1032" s="25">
        <v>7968.1221200700002</v>
      </c>
      <c r="N1032" s="26" cm="1">
        <f t="array" ref="N1032">IFERROR((K1032-J1032)/J1032,"–")</f>
        <v>0.99690265486725671</v>
      </c>
      <c r="O1032" s="24" cm="1">
        <f t="array" ref="O1032">IF(D1032=0,0,L1032-K1032)</f>
        <v>12.83548960349899</v>
      </c>
      <c r="P1032" s="23"/>
      <c r="Q1032" s="27"/>
    </row>
    <row r="1033" spans="1:17" ht="22.5" customHeight="1">
      <c r="A1033" s="16" t="s">
        <v>146</v>
      </c>
      <c r="B1033" s="42">
        <v>44488</v>
      </c>
      <c r="C1033" s="36">
        <v>2.2530000000000001E-2</v>
      </c>
      <c r="D1033" s="36">
        <v>2.257E-2</v>
      </c>
      <c r="E1033" s="30" cm="1">
        <f t="array" ref="E1033">IF(D1033="","",D1033-C1033)</f>
        <v>3.999999999999837E-5</v>
      </c>
      <c r="F1033" s="31" cm="1">
        <f t="array" ref="F1033">IF(D1033=0,"",(D1033-C1033)/C1033)</f>
        <v>1.7754105636927815E-3</v>
      </c>
      <c r="G1033" s="32">
        <v>355037.4</v>
      </c>
      <c r="H1033" s="10">
        <v>1</v>
      </c>
      <c r="I1033" s="11" cm="1">
        <f t="array" ref="I1033">IF(D1033="","",(G1033*C1033)*0.00075)</f>
        <v>5.9992444665000004</v>
      </c>
      <c r="J1033" s="11" cm="1">
        <f t="array" ref="J1033">IF(D1033="","",(G1033*D1033)*0.00075)</f>
        <v>6.0098955885000001</v>
      </c>
      <c r="K1033" s="33" cm="1">
        <f t="array" ref="K1033">IF(D1033="","",J1033+I1033)</f>
        <v>12.009140055</v>
      </c>
      <c r="L1033" s="33" cm="1">
        <f t="array" ref="L1033">IF(D1033=0,0,(D1033-C1033)*G1033)</f>
        <v>14.201495999999421</v>
      </c>
      <c r="M1033" s="12">
        <v>7978.7812304114996</v>
      </c>
      <c r="N1033" s="34" cm="1">
        <f t="array" ref="N1033">IFERROR((K1033-J1033)/J1033,"–")</f>
        <v>0.9982277359326539</v>
      </c>
      <c r="O1033" s="33" cm="1">
        <f t="array" ref="O1033">IF(D1033=0,0,L1033-K1033)</f>
        <v>2.1923559449994219</v>
      </c>
      <c r="P1033" s="11"/>
      <c r="Q1033" s="35"/>
    </row>
    <row r="1034" spans="1:17" ht="22.5" customHeight="1">
      <c r="A1034" s="16" t="s">
        <v>205</v>
      </c>
      <c r="B1034" s="43">
        <v>44488</v>
      </c>
      <c r="C1034" s="37">
        <v>2.3618999999999999</v>
      </c>
      <c r="D1034" s="37">
        <v>2.3925000000000001</v>
      </c>
      <c r="E1034" s="19" cm="1">
        <f t="array" ref="E1034">IF(D1034="","",D1034-C1034)</f>
        <v>3.0600000000000183E-2</v>
      </c>
      <c r="F1034" s="20" cm="1">
        <f t="array" ref="F1034">IF(D1034=0,"",(D1034-C1034)/C1034)</f>
        <v>1.2955671281595403E-2</v>
      </c>
      <c r="G1034" s="21">
        <v>2500</v>
      </c>
      <c r="H1034" s="22">
        <v>1</v>
      </c>
      <c r="I1034" s="23" cm="1">
        <f t="array" ref="I1034">IF(D1034="","",(G1034*C1034)*0.00075)</f>
        <v>4.4285625</v>
      </c>
      <c r="J1034" s="23" cm="1">
        <f t="array" ref="J1034">IF(D1034="","",(G1034*D1034)*0.00075)</f>
        <v>4.4859375000000004</v>
      </c>
      <c r="K1034" s="24" cm="1">
        <f t="array" ref="K1034">IF(D1034="","",J1034+I1034)</f>
        <v>8.9145000000000003</v>
      </c>
      <c r="L1034" s="24" cm="1">
        <f t="array" ref="L1034">IF(D1034=0,0,(D1034-C1034)*G1034)</f>
        <v>76.500000000000455</v>
      </c>
      <c r="M1034" s="25">
        <v>5823.7640625000004</v>
      </c>
      <c r="N1034" s="26" cm="1">
        <f t="array" ref="N1034">IFERROR((K1034-J1034)/J1034,"–")</f>
        <v>0.98721003134796226</v>
      </c>
      <c r="O1034" s="24" cm="1">
        <f t="array" ref="O1034">IF(D1034=0,0,L1034-K1034)</f>
        <v>67.585500000000451</v>
      </c>
      <c r="P1034" s="23"/>
      <c r="Q1034" s="27"/>
    </row>
    <row r="1035" spans="1:17" ht="22.5" customHeight="1">
      <c r="A1035" s="16" t="s">
        <v>205</v>
      </c>
      <c r="B1035" s="42">
        <v>44488</v>
      </c>
      <c r="C1035" s="36">
        <v>2.3618999999999999</v>
      </c>
      <c r="D1035" s="36">
        <v>2.4</v>
      </c>
      <c r="E1035" s="30" cm="1">
        <f t="array" ref="E1035">IF(D1035="","",D1035-C1035)</f>
        <v>3.8100000000000023E-2</v>
      </c>
      <c r="F1035" s="31" cm="1">
        <f t="array" ref="F1035">IF(D1035=0,"",(D1035-C1035)/C1035)</f>
        <v>1.6131080909437327E-2</v>
      </c>
      <c r="G1035" s="32">
        <v>2762</v>
      </c>
      <c r="H1035" s="10">
        <v>1</v>
      </c>
      <c r="I1035" s="11" cm="1">
        <f t="array" ref="I1035">IF(D1035="","",(G1035*C1035)*0.00075)</f>
        <v>4.8926758499999998</v>
      </c>
      <c r="J1035" s="11" cm="1">
        <f t="array" ref="J1035">IF(D1035="","",(G1035*D1035)*0.00075)</f>
        <v>4.9716000000000005</v>
      </c>
      <c r="K1035" s="33" cm="1">
        <f t="array" ref="K1035">IF(D1035="","",J1035+I1035)</f>
        <v>9.8642758500000003</v>
      </c>
      <c r="L1035" s="33" cm="1">
        <f t="array" ref="L1035">IF(D1035=0,0,(D1035-C1035)*G1035)</f>
        <v>105.23220000000006</v>
      </c>
      <c r="M1035" s="12">
        <v>6413.3639999999996</v>
      </c>
      <c r="N1035" s="34" cm="1">
        <f t="array" ref="N1035">IFERROR((K1035-J1035)/J1035,"–")</f>
        <v>0.98412499999999992</v>
      </c>
      <c r="O1035" s="33" cm="1">
        <f t="array" ref="O1035">IF(D1035=0,0,L1035-K1035)</f>
        <v>95.367924150000064</v>
      </c>
      <c r="P1035" s="11"/>
      <c r="Q1035" s="35"/>
    </row>
    <row r="1036" spans="1:17" ht="22.5" customHeight="1">
      <c r="A1036" s="16" t="s">
        <v>205</v>
      </c>
      <c r="B1036" s="43">
        <v>44488</v>
      </c>
      <c r="C1036" s="37">
        <v>2.3618999999999999</v>
      </c>
      <c r="D1036" s="37">
        <v>2.4049999999999998</v>
      </c>
      <c r="E1036" s="19" cm="1">
        <f t="array" ref="E1036">IF(D1036="","",D1036-C1036)</f>
        <v>4.3099999999999916E-2</v>
      </c>
      <c r="F1036" s="20" cm="1">
        <f t="array" ref="F1036">IF(D1036=0,"",(D1036-C1036)/C1036)</f>
        <v>1.8248020661331944E-2</v>
      </c>
      <c r="G1036" s="21">
        <v>3137.9</v>
      </c>
      <c r="H1036" s="22">
        <v>1</v>
      </c>
      <c r="I1036" s="23" cm="1">
        <f t="array" ref="I1036">IF(D1036="","",(G1036*C1036)*0.00075)</f>
        <v>5.5585545075000002</v>
      </c>
      <c r="J1036" s="23" cm="1">
        <f t="array" ref="J1036">IF(D1036="","",(G1036*D1036)*0.00075)</f>
        <v>5.6599871249999998</v>
      </c>
      <c r="K1036" s="24" cm="1">
        <f t="array" ref="K1036">IF(D1036="","",J1036+I1036)</f>
        <v>11.218541632499999</v>
      </c>
      <c r="L1036" s="24" cm="1">
        <f t="array" ref="L1036">IF(D1036=0,0,(D1036-C1036)*G1036)</f>
        <v>135.24348999999975</v>
      </c>
      <c r="M1036" s="25">
        <v>7270.5025328749998</v>
      </c>
      <c r="N1036" s="26" cm="1">
        <f t="array" ref="N1036">IFERROR((K1036-J1036)/J1036,"–")</f>
        <v>0.98207900207900201</v>
      </c>
      <c r="O1036" s="24" cm="1">
        <f t="array" ref="O1036">IF(D1036=0,0,L1036-K1036)</f>
        <v>124.02494836749975</v>
      </c>
      <c r="P1036" s="23"/>
      <c r="Q1036" s="27"/>
    </row>
    <row r="1037" spans="1:17" ht="22.5" customHeight="1">
      <c r="A1037" s="16" t="s">
        <v>205</v>
      </c>
      <c r="B1037" s="42">
        <v>44488</v>
      </c>
      <c r="C1037" s="36">
        <v>2.3618999999999999</v>
      </c>
      <c r="D1037" s="36">
        <v>2.41</v>
      </c>
      <c r="E1037" s="30" cm="1">
        <f t="array" ref="E1037">IF(D1037="","",D1037-C1037)</f>
        <v>4.8100000000000254E-2</v>
      </c>
      <c r="F1037" s="31" cm="1">
        <f t="array" ref="F1037">IF(D1037=0,"",(D1037-C1037)/C1037)</f>
        <v>2.0364960413226749E-2</v>
      </c>
      <c r="G1037" s="32">
        <v>5148.1000000000004</v>
      </c>
      <c r="H1037" s="10">
        <v>1</v>
      </c>
      <c r="I1037" s="11" cm="1">
        <f t="array" ref="I1037">IF(D1037="","",(G1037*C1037)*0.00075)</f>
        <v>9.1194730424999992</v>
      </c>
      <c r="J1037" s="11" cm="1">
        <f t="array" ref="J1037">IF(D1037="","",(G1037*D1037)*0.00075)</f>
        <v>9.3051907500000013</v>
      </c>
      <c r="K1037" s="33" cm="1">
        <f t="array" ref="K1037">IF(D1037="","",J1037+I1037)</f>
        <v>18.424663792499999</v>
      </c>
      <c r="L1037" s="33" cm="1">
        <f t="array" ref="L1037">IF(D1037=0,0,(D1037-C1037)*G1037)</f>
        <v>247.62361000000132</v>
      </c>
      <c r="M1037" s="12">
        <v>11902.36858925</v>
      </c>
      <c r="N1037" s="34" cm="1">
        <f t="array" ref="N1037">IFERROR((K1037-J1037)/J1037,"–")</f>
        <v>0.98004149377593319</v>
      </c>
      <c r="O1037" s="33" cm="1">
        <f t="array" ref="O1037">IF(D1037=0,0,L1037-K1037)</f>
        <v>229.19894620750131</v>
      </c>
      <c r="P1037" s="11"/>
      <c r="Q1037" s="35"/>
    </row>
    <row r="1038" spans="1:17" ht="22.5" customHeight="1">
      <c r="A1038" s="16" t="s">
        <v>77</v>
      </c>
      <c r="B1038" s="43">
        <v>44488</v>
      </c>
      <c r="C1038" s="37">
        <v>0.73440000000000005</v>
      </c>
      <c r="D1038" s="37">
        <v>0.72389999999999999</v>
      </c>
      <c r="E1038" s="19" cm="1">
        <f t="array" ref="E1038">IF(D1038="","",D1038-C1038)</f>
        <v>-1.0500000000000065E-2</v>
      </c>
      <c r="F1038" s="20" cm="1">
        <f t="array" ref="F1038">IF(D1038=0,"",(D1038-C1038)/C1038)</f>
        <v>-1.4297385620915121E-2</v>
      </c>
      <c r="G1038" s="21">
        <v>13614</v>
      </c>
      <c r="H1038" s="22">
        <v>1</v>
      </c>
      <c r="I1038" s="23" cm="1">
        <f t="array" ref="I1038">IF(D1038="","",(G1038*C1038)*0.00075)</f>
        <v>7.4985912000000008</v>
      </c>
      <c r="J1038" s="23" cm="1">
        <f t="array" ref="J1038">IF(D1038="","",(G1038*D1038)*0.00075)</f>
        <v>7.3913809500000003</v>
      </c>
      <c r="K1038" s="24" cm="1">
        <f t="array" ref="K1038">IF(D1038="","",J1038+I1038)</f>
        <v>14.889972150000002</v>
      </c>
      <c r="L1038" s="24" cm="1">
        <f t="array" ref="L1038">IF(D1038=0,0,(D1038-C1038)*G1038)</f>
        <v>-142.94700000000088</v>
      </c>
      <c r="M1038" s="25">
        <v>10133.67721905</v>
      </c>
      <c r="N1038" s="26" cm="1">
        <f t="array" ref="N1038">IFERROR((K1038-J1038)/J1038,"–")</f>
        <v>1.0145047658516371</v>
      </c>
      <c r="O1038" s="24" cm="1">
        <f t="array" ref="O1038">IF(D1038=0,0,L1038-K1038)</f>
        <v>-157.83697215000089</v>
      </c>
      <c r="P1038" s="23"/>
      <c r="Q1038" s="27"/>
    </row>
    <row r="1039" spans="1:17" ht="22.5" customHeight="1">
      <c r="A1039" s="16" t="s">
        <v>143</v>
      </c>
      <c r="B1039" s="42">
        <v>44489</v>
      </c>
      <c r="C1039" s="36">
        <v>4.25</v>
      </c>
      <c r="D1039" s="36">
        <v>4.5199999999999996</v>
      </c>
      <c r="E1039" s="30" cm="1">
        <f t="array" ref="E1039">IF(D1039="","",D1039-C1039)</f>
        <v>0.26999999999999957</v>
      </c>
      <c r="F1039" s="31" cm="1">
        <f t="array" ref="F1039">IF(D1039=0,"",(D1039-C1039)/C1039)</f>
        <v>6.3529411764705779E-2</v>
      </c>
      <c r="G1039" s="32">
        <v>823.5</v>
      </c>
      <c r="H1039" s="10">
        <v>1</v>
      </c>
      <c r="I1039" s="11" cm="1">
        <f t="array" ref="I1039">IF(D1039="","",(G1039*C1039)*0.00075)</f>
        <v>2.62490625</v>
      </c>
      <c r="J1039" s="11" cm="1">
        <f t="array" ref="J1039">IF(D1039="","",(G1039*D1039)*0.00075)</f>
        <v>2.7916650000000001</v>
      </c>
      <c r="K1039" s="33" cm="1">
        <f t="array" ref="K1039">IF(D1039="","",J1039+I1039)</f>
        <v>5.4165712500000005</v>
      </c>
      <c r="L1039" s="33" cm="1">
        <f t="array" ref="L1039">IF(D1039=0,0,(D1039-C1039)*G1039)</f>
        <v>222.34499999999966</v>
      </c>
      <c r="M1039" s="12">
        <v>3274.738335</v>
      </c>
      <c r="N1039" s="34" cm="1">
        <f t="array" ref="N1039">IFERROR((K1039-J1039)/J1039,"–")</f>
        <v>0.9402654867256639</v>
      </c>
      <c r="O1039" s="33" cm="1">
        <f t="array" ref="O1039">IF(D1039=0,0,L1039-K1039)</f>
        <v>216.92842874999965</v>
      </c>
      <c r="P1039" s="11"/>
      <c r="Q1039" s="35"/>
    </row>
    <row r="1040" spans="1:17" ht="22.5" customHeight="1">
      <c r="A1040" s="16" t="s">
        <v>91</v>
      </c>
      <c r="B1040" s="43">
        <v>44489</v>
      </c>
      <c r="C1040" s="37">
        <v>0.3281</v>
      </c>
      <c r="D1040" s="37">
        <v>0.32929999999999998</v>
      </c>
      <c r="E1040" s="19" cm="1">
        <f t="array" ref="E1040">IF(D1040="","",D1040-C1040)</f>
        <v>1.1999999999999789E-3</v>
      </c>
      <c r="F1040" s="20" cm="1">
        <f t="array" ref="F1040">IF(D1040=0,"",(D1040-C1040)/C1040)</f>
        <v>3.6574215178298655E-3</v>
      </c>
      <c r="G1040" s="21">
        <v>15236</v>
      </c>
      <c r="H1040" s="22">
        <v>1</v>
      </c>
      <c r="I1040" s="23" cm="1">
        <f t="array" ref="I1040">IF(D1040="","",(G1040*C1040)*0.00075)</f>
        <v>3.7491987</v>
      </c>
      <c r="J1040" s="23" cm="1">
        <f t="array" ref="J1040">IF(D1040="","",(G1040*D1040)*0.00075)</f>
        <v>3.7629110999999997</v>
      </c>
      <c r="K1040" s="24" cm="1">
        <f t="array" ref="K1040">IF(D1040="","",J1040+I1040)</f>
        <v>7.5121097999999993</v>
      </c>
      <c r="L1040" s="24" cm="1">
        <f t="array" ref="L1040">IF(D1040=0,0,(D1040-C1040)*G1040)</f>
        <v>18.283199999999677</v>
      </c>
      <c r="M1040" s="25">
        <v>4976.8854889000004</v>
      </c>
      <c r="N1040" s="26" cm="1">
        <f t="array" ref="N1040">IFERROR((K1040-J1040)/J1040,"–")</f>
        <v>0.99635590646826599</v>
      </c>
      <c r="O1040" s="24" cm="1">
        <f t="array" ref="O1040">IF(D1040=0,0,L1040-K1040)</f>
        <v>10.771090199999678</v>
      </c>
      <c r="P1040" s="23"/>
      <c r="Q1040" s="27"/>
    </row>
    <row r="1041" spans="1:17" ht="22.5" customHeight="1">
      <c r="A1041" s="16" t="s">
        <v>91</v>
      </c>
      <c r="B1041" s="42">
        <v>44489</v>
      </c>
      <c r="C1041" s="36">
        <v>0.3281</v>
      </c>
      <c r="D1041" s="36">
        <v>0.33</v>
      </c>
      <c r="E1041" s="30" cm="1">
        <f t="array" ref="E1041">IF(D1041="","",D1041-C1041)</f>
        <v>1.9000000000000128E-3</v>
      </c>
      <c r="F1041" s="31" cm="1">
        <f t="array" ref="F1041">IF(D1041=0,"",(D1041-C1041)/C1041)</f>
        <v>5.7909174032307609E-3</v>
      </c>
      <c r="G1041" s="32">
        <v>15236</v>
      </c>
      <c r="H1041" s="10">
        <v>1</v>
      </c>
      <c r="I1041" s="11" cm="1">
        <f t="array" ref="I1041">IF(D1041="","",(G1041*C1041)*0.00075)</f>
        <v>3.7491987</v>
      </c>
      <c r="J1041" s="11" cm="1">
        <f t="array" ref="J1041">IF(D1041="","",(G1041*D1041)*0.00075)</f>
        <v>3.7709100000000002</v>
      </c>
      <c r="K1041" s="33" cm="1">
        <f t="array" ref="K1041">IF(D1041="","",J1041+I1041)</f>
        <v>7.5201086999999998</v>
      </c>
      <c r="L1041" s="33" cm="1">
        <f t="array" ref="L1041">IF(D1041=0,0,(D1041-C1041)*G1041)</f>
        <v>28.948400000000195</v>
      </c>
      <c r="M1041" s="12">
        <v>4966.2122900000004</v>
      </c>
      <c r="N1041" s="34" cm="1">
        <f t="array" ref="N1041">IFERROR((K1041-J1041)/J1041,"–")</f>
        <v>0.99424242424242404</v>
      </c>
      <c r="O1041" s="33" cm="1">
        <f t="array" ref="O1041">IF(D1041=0,0,L1041-K1041)</f>
        <v>21.428291300000197</v>
      </c>
      <c r="P1041" s="11"/>
      <c r="Q1041" s="35"/>
    </row>
    <row r="1042" spans="1:17" ht="22.5" customHeight="1">
      <c r="A1042" s="16" t="s">
        <v>178</v>
      </c>
      <c r="B1042" s="43">
        <v>44489</v>
      </c>
      <c r="C1042" s="37">
        <v>4.2493999999999996</v>
      </c>
      <c r="D1042" s="37">
        <v>4.2508999999999997</v>
      </c>
      <c r="E1042" s="19" cm="1">
        <f t="array" ref="E1042">IF(D1042="","",D1042-C1042)</f>
        <v>1.5000000000000568E-3</v>
      </c>
      <c r="F1042" s="20" cm="1">
        <f t="array" ref="F1042">IF(D1042=0,"",(D1042-C1042)/C1042)</f>
        <v>3.5299101049561277E-4</v>
      </c>
      <c r="G1042" s="21">
        <v>7059.8</v>
      </c>
      <c r="H1042" s="22">
        <v>1</v>
      </c>
      <c r="I1042" s="23" cm="1">
        <f t="array" ref="I1042">IF(D1042="","",(G1042*C1042)*0.00075)</f>
        <v>22.49993559</v>
      </c>
      <c r="J1042" s="23" cm="1">
        <f t="array" ref="J1042">IF(D1042="","",(G1042*D1042)*0.00075)</f>
        <v>22.507877864999998</v>
      </c>
      <c r="K1042" s="24" cm="1">
        <f t="array" ref="K1042">IF(D1042="","",J1042+I1042)</f>
        <v>45.007813454999997</v>
      </c>
      <c r="L1042" s="24" cm="1">
        <f t="array" ref="L1042">IF(D1042=0,0,(D1042-C1042)*G1042)</f>
        <v>10.589700000000402</v>
      </c>
      <c r="M1042" s="25">
        <v>29966.816542134999</v>
      </c>
      <c r="N1042" s="26" cm="1">
        <f t="array" ref="N1042">IFERROR((K1042-J1042)/J1042,"–")</f>
        <v>0.9996471335481899</v>
      </c>
      <c r="O1042" s="24" cm="1">
        <f t="array" ref="O1042">IF(D1042=0,0,L1042-K1042)</f>
        <v>-34.418113454999599</v>
      </c>
      <c r="P1042" s="23"/>
      <c r="Q1042" s="27"/>
    </row>
    <row r="1043" spans="1:17" ht="22.5" customHeight="1">
      <c r="A1043" s="16" t="s">
        <v>87</v>
      </c>
      <c r="B1043" s="42">
        <v>44489</v>
      </c>
      <c r="C1043" s="36">
        <v>1.8545</v>
      </c>
      <c r="D1043" s="36">
        <v>1.8841000000000001</v>
      </c>
      <c r="E1043" s="30" cm="1">
        <f t="array" ref="E1043">IF(D1043="","",D1043-C1043)</f>
        <v>2.9600000000000071E-2</v>
      </c>
      <c r="F1043" s="31" cm="1">
        <f t="array" ref="F1043">IF(D1043=0,"",(D1043-C1043)/C1043)</f>
        <v>1.5961175519007855E-2</v>
      </c>
      <c r="G1043" s="32">
        <v>3000</v>
      </c>
      <c r="H1043" s="10">
        <v>1</v>
      </c>
      <c r="I1043" s="11" cm="1">
        <f t="array" ref="I1043">IF(D1043="","",(G1043*C1043)*0.00075)</f>
        <v>4.172625</v>
      </c>
      <c r="J1043" s="11" cm="1">
        <f t="array" ref="J1043">IF(D1043="","",(G1043*D1043)*0.00075)</f>
        <v>4.2392250000000002</v>
      </c>
      <c r="K1043" s="33" cm="1">
        <f t="array" ref="K1043">IF(D1043="","",J1043+I1043)</f>
        <v>8.4118500000000012</v>
      </c>
      <c r="L1043" s="33" cm="1">
        <f t="array" ref="L1043">IF(D1043=0,0,(D1043-C1043)*G1043)</f>
        <v>88.80000000000021</v>
      </c>
      <c r="M1043" s="12">
        <v>5470.4607749999996</v>
      </c>
      <c r="N1043" s="34" cm="1">
        <f t="array" ref="N1043">IFERROR((K1043-J1043)/J1043,"–")</f>
        <v>0.98428958123241883</v>
      </c>
      <c r="O1043" s="33" cm="1">
        <f t="array" ref="O1043">IF(D1043=0,0,L1043-K1043)</f>
        <v>80.388150000000209</v>
      </c>
      <c r="P1043" s="11"/>
      <c r="Q1043" s="35"/>
    </row>
    <row r="1044" spans="1:17" ht="22.5" customHeight="1">
      <c r="A1044" s="16" t="s">
        <v>87</v>
      </c>
      <c r="B1044" s="43">
        <v>44489</v>
      </c>
      <c r="C1044" s="37">
        <v>1.8545</v>
      </c>
      <c r="D1044" s="37">
        <v>1.91</v>
      </c>
      <c r="E1044" s="19" cm="1">
        <f t="array" ref="E1044">IF(D1044="","",D1044-C1044)</f>
        <v>5.5499999999999883E-2</v>
      </c>
      <c r="F1044" s="20" cm="1">
        <f t="array" ref="F1044">IF(D1044=0,"",(D1044-C1044)/C1044)</f>
        <v>2.9927204098139596E-2</v>
      </c>
      <c r="G1044" s="21">
        <v>3294</v>
      </c>
      <c r="H1044" s="22">
        <v>1</v>
      </c>
      <c r="I1044" s="23" cm="1">
        <f t="array" ref="I1044">IF(D1044="","",(G1044*C1044)*0.00075)</f>
        <v>4.58154225</v>
      </c>
      <c r="J1044" s="23" cm="1">
        <f t="array" ref="J1044">IF(D1044="","",(G1044*D1044)*0.00075)</f>
        <v>4.718655</v>
      </c>
      <c r="K1044" s="24" cm="1">
        <f t="array" ref="K1044">IF(D1044="","",J1044+I1044)</f>
        <v>9.3001972500000001</v>
      </c>
      <c r="L1044" s="24" cm="1">
        <f t="array" ref="L1044">IF(D1044=0,0,(D1044-C1044)*G1044)</f>
        <v>182.81699999999961</v>
      </c>
      <c r="M1044" s="25">
        <v>5921.1873450000003</v>
      </c>
      <c r="N1044" s="26" cm="1">
        <f t="array" ref="N1044">IFERROR((K1044-J1044)/J1044,"–")</f>
        <v>0.97094240837696333</v>
      </c>
      <c r="O1044" s="24" cm="1">
        <f t="array" ref="O1044">IF(D1044=0,0,L1044-K1044)</f>
        <v>173.51680274999961</v>
      </c>
      <c r="P1044" s="23"/>
      <c r="Q1044" s="27"/>
    </row>
    <row r="1045" spans="1:17" ht="22.5" customHeight="1">
      <c r="A1045" s="16" t="s">
        <v>87</v>
      </c>
      <c r="B1045" s="42">
        <v>44489</v>
      </c>
      <c r="C1045" s="36">
        <v>1.8545</v>
      </c>
      <c r="D1045" s="36">
        <v>1.9107000000000001</v>
      </c>
      <c r="E1045" s="30" cm="1">
        <f t="array" ref="E1045">IF(D1045="","",D1045-C1045)</f>
        <v>5.6200000000000028E-2</v>
      </c>
      <c r="F1045" s="31" cm="1">
        <f t="array" ref="F1045">IF(D1045=0,"",(D1045-C1045)/C1045)</f>
        <v>3.0304664330008103E-2</v>
      </c>
      <c r="G1045" s="32">
        <v>7507</v>
      </c>
      <c r="H1045" s="10">
        <v>1</v>
      </c>
      <c r="I1045" s="11" cm="1">
        <f t="array" ref="I1045">IF(D1045="","",(G1045*C1045)*0.00075)</f>
        <v>10.441298625</v>
      </c>
      <c r="J1045" s="11" cm="1">
        <f t="array" ref="J1045">IF(D1045="","",(G1045*D1045)*0.00075)</f>
        <v>10.757718675000001</v>
      </c>
      <c r="K1045" s="33" cm="1">
        <f t="array" ref="K1045">IF(D1045="","",J1045+I1045)</f>
        <v>21.199017300000001</v>
      </c>
      <c r="L1045" s="33" cm="1">
        <f t="array" ref="L1045">IF(D1045=0,0,(D1045-C1045)*G1045)</f>
        <v>421.89340000000021</v>
      </c>
      <c r="M1045" s="12">
        <v>13489.080381325</v>
      </c>
      <c r="N1045" s="34" cm="1">
        <f t="array" ref="N1045">IFERROR((K1045-J1045)/J1045,"–")</f>
        <v>0.9705866959752969</v>
      </c>
      <c r="O1045" s="33" cm="1">
        <f t="array" ref="O1045">IF(D1045=0,0,L1045-K1045)</f>
        <v>400.69438270000023</v>
      </c>
      <c r="P1045" s="11"/>
      <c r="Q1045" s="35"/>
    </row>
    <row r="1046" spans="1:17" ht="22.5" customHeight="1">
      <c r="A1046" s="16" t="s">
        <v>87</v>
      </c>
      <c r="B1046" s="43">
        <v>44489</v>
      </c>
      <c r="C1046" s="37">
        <v>1.8545</v>
      </c>
      <c r="D1046" s="37">
        <v>1.9031</v>
      </c>
      <c r="E1046" s="19" cm="1">
        <f t="array" ref="E1046">IF(D1046="","",D1046-C1046)</f>
        <v>4.8599999999999977E-2</v>
      </c>
      <c r="F1046" s="20" cm="1">
        <f t="array" ref="F1046">IF(D1046=0,"",(D1046-C1046)/C1046)</f>
        <v>2.6206524669722283E-2</v>
      </c>
      <c r="G1046" s="21">
        <v>2375</v>
      </c>
      <c r="H1046" s="22">
        <v>1</v>
      </c>
      <c r="I1046" s="23" cm="1">
        <f t="array" ref="I1046">IF(D1046="","",(G1046*C1046)*0.00075)</f>
        <v>3.3033281250000002</v>
      </c>
      <c r="J1046" s="23" cm="1">
        <f t="array" ref="J1046">IF(D1046="","",(G1046*D1046)*0.00075)</f>
        <v>3.3898968750000003</v>
      </c>
      <c r="K1046" s="24" cm="1">
        <f t="array" ref="K1046">IF(D1046="","",J1046+I1046)</f>
        <v>6.693225</v>
      </c>
      <c r="L1046" s="24" cm="1">
        <f t="array" ref="L1046">IF(D1046=0,0,(D1046-C1046)*G1046)</f>
        <v>115.42499999999994</v>
      </c>
      <c r="M1046" s="25">
        <v>4285.6226031249998</v>
      </c>
      <c r="N1046" s="26" cm="1">
        <f t="array" ref="N1046">IFERROR((K1046-J1046)/J1046,"–")</f>
        <v>0.9744627187220849</v>
      </c>
      <c r="O1046" s="24" cm="1">
        <f t="array" ref="O1046">IF(D1046=0,0,L1046-K1046)</f>
        <v>108.73177499999994</v>
      </c>
      <c r="P1046" s="23"/>
      <c r="Q1046" s="27"/>
    </row>
    <row r="1047" spans="1:17" ht="22.5" customHeight="1">
      <c r="A1047" s="16" t="s">
        <v>56</v>
      </c>
      <c r="B1047" s="55">
        <v>44489</v>
      </c>
      <c r="C1047" s="36">
        <v>3.6080000000000001E-2</v>
      </c>
      <c r="D1047" s="36">
        <v>3.6080000000000001E-2</v>
      </c>
      <c r="E1047" s="30" cm="1">
        <f t="array" ref="E1047">IF(D1047="","",D1047-C1047)</f>
        <v>0</v>
      </c>
      <c r="F1047" s="31" cm="1">
        <f t="array" ref="F1047">IF(D1047=0,"",(D1047-C1047)/C1047)</f>
        <v>0</v>
      </c>
      <c r="G1047" s="32">
        <v>277129.59999999998</v>
      </c>
      <c r="H1047" s="10">
        <v>1</v>
      </c>
      <c r="I1047" s="11" cm="1">
        <f t="array" ref="I1047">IF(D1047="","",(G1047*C1047)*0.00075)</f>
        <v>7.4991269759999994</v>
      </c>
      <c r="J1047" s="11" cm="1">
        <f t="array" ref="J1047">IF(D1047="","",(G1047*D1047)*0.00075)</f>
        <v>7.4991269759999994</v>
      </c>
      <c r="K1047" s="33" cm="1">
        <f t="array" ref="K1047">IF(D1047="","",J1047+I1047)</f>
        <v>14.998253951999999</v>
      </c>
      <c r="L1047" s="33" cm="1">
        <f t="array" ref="L1047">IF(D1047=0,0,(D1047-C1047)*G1047)</f>
        <v>0</v>
      </c>
      <c r="M1047" s="12">
        <v>9991.336841024</v>
      </c>
      <c r="N1047" s="34" cm="1">
        <f t="array" ref="N1047">IFERROR((K1047-J1047)/J1047,"–")</f>
        <v>1</v>
      </c>
      <c r="O1047" s="33" cm="1">
        <f t="array" ref="O1047">IF(D1047=0,0,L1047-K1047)</f>
        <v>-14.998253951999999</v>
      </c>
      <c r="P1047" s="11"/>
      <c r="Q1047" s="35"/>
    </row>
    <row r="1048" spans="1:17" ht="22.5" customHeight="1">
      <c r="A1048" s="16" t="s">
        <v>168</v>
      </c>
      <c r="B1048" s="52">
        <v>44489</v>
      </c>
      <c r="C1048" s="37">
        <v>1.7112000000000001</v>
      </c>
      <c r="D1048" s="37">
        <v>1.7390000000000001</v>
      </c>
      <c r="E1048" s="19" cm="1">
        <f t="array" ref="E1048">IF(D1048="","",D1048-C1048)</f>
        <v>2.7800000000000047E-2</v>
      </c>
      <c r="F1048" s="20" cm="1">
        <f t="array" ref="F1048">IF(D1048=0,"",(D1048-C1048)/C1048)</f>
        <v>1.6245909303412836E-2</v>
      </c>
      <c r="G1048" s="21">
        <v>4528.8999999999996</v>
      </c>
      <c r="H1048" s="22">
        <v>1</v>
      </c>
      <c r="I1048" s="23" cm="1">
        <f t="array" ref="I1048">IF(D1048="","",(G1048*C1048)*0.00075)</f>
        <v>5.8123902599999999</v>
      </c>
      <c r="J1048" s="23" cm="1">
        <f t="array" ref="J1048">IF(D1048="","",(G1048*D1048)*0.00075)</f>
        <v>5.9068178250000001</v>
      </c>
      <c r="K1048" s="24" cm="1">
        <f t="array" ref="K1048">IF(D1048="","",J1048+I1048)</f>
        <v>11.719208085</v>
      </c>
      <c r="L1048" s="24" cm="1">
        <f t="array" ref="L1048">IF(D1048=0,0,(D1048-C1048)*G1048)</f>
        <v>125.9034200000002</v>
      </c>
      <c r="M1048" s="25">
        <v>7618.0434421749997</v>
      </c>
      <c r="N1048" s="26" cm="1">
        <f t="array" ref="N1048">IFERROR((K1048-J1048)/J1048,"–")</f>
        <v>0.98401380103507763</v>
      </c>
      <c r="O1048" s="24" cm="1">
        <f t="array" ref="O1048">IF(D1048=0,0,L1048-K1048)</f>
        <v>114.18421191500019</v>
      </c>
      <c r="P1048" s="23"/>
      <c r="Q1048" s="27"/>
    </row>
    <row r="1049" spans="1:17" ht="22.5" customHeight="1">
      <c r="A1049" s="16" t="s">
        <v>168</v>
      </c>
      <c r="B1049" s="53">
        <v>44489</v>
      </c>
      <c r="C1049" s="36">
        <v>1.7112000000000001</v>
      </c>
      <c r="D1049" s="36">
        <v>1.75</v>
      </c>
      <c r="E1049" s="30" cm="1">
        <f t="array" ref="E1049">IF(D1049="","",D1049-C1049)</f>
        <v>3.8799999999999946E-2</v>
      </c>
      <c r="F1049" s="31" cm="1">
        <f t="array" ref="F1049">IF(D1049=0,"",(D1049-C1049)/C1049)</f>
        <v>2.2674146797568923E-2</v>
      </c>
      <c r="G1049" s="32">
        <v>6793.4</v>
      </c>
      <c r="H1049" s="10">
        <v>1</v>
      </c>
      <c r="I1049" s="11" cm="1">
        <f t="array" ref="I1049">IF(D1049="","",(G1049*C1049)*0.00075)</f>
        <v>8.7186495599999994</v>
      </c>
      <c r="J1049" s="11" cm="1">
        <f t="array" ref="J1049">IF(D1049="","",(G1049*D1049)*0.00075)</f>
        <v>8.9163374999999991</v>
      </c>
      <c r="K1049" s="33" cm="1">
        <f t="array" ref="K1049">IF(D1049="","",J1049+I1049)</f>
        <v>17.63498706</v>
      </c>
      <c r="L1049" s="33" cm="1">
        <f t="array" ref="L1049">IF(D1049=0,0,(D1049-C1049)*G1049)</f>
        <v>263.58391999999964</v>
      </c>
      <c r="M1049" s="12">
        <v>11352.3658225</v>
      </c>
      <c r="N1049" s="34" cm="1">
        <f t="array" ref="N1049">IFERROR((K1049-J1049)/J1049,"–")</f>
        <v>0.9778285714285716</v>
      </c>
      <c r="O1049" s="33" cm="1">
        <f t="array" ref="O1049">IF(D1049=0,0,L1049-K1049)</f>
        <v>245.94893293999962</v>
      </c>
      <c r="P1049" s="11"/>
      <c r="Q1049" s="35"/>
    </row>
    <row r="1050" spans="1:17" ht="22.5" customHeight="1">
      <c r="A1050" s="16" t="s">
        <v>168</v>
      </c>
      <c r="B1050" s="52">
        <v>44489</v>
      </c>
      <c r="C1050" s="37">
        <v>1.7112000000000001</v>
      </c>
      <c r="D1050" s="37">
        <v>1.77</v>
      </c>
      <c r="E1050" s="19" cm="1">
        <f t="array" ref="E1050">IF(D1050="","",D1050-C1050)</f>
        <v>5.8799999999999963E-2</v>
      </c>
      <c r="F1050" s="20" cm="1">
        <f t="array" ref="F1050">IF(D1050=0,"",(D1050-C1050)/C1050)</f>
        <v>3.4361851332398295E-2</v>
      </c>
      <c r="G1050" s="21">
        <v>6793.4</v>
      </c>
      <c r="H1050" s="22">
        <v>1</v>
      </c>
      <c r="I1050" s="23" cm="1">
        <f t="array" ref="I1050">IF(D1050="","",(G1050*C1050)*0.00075)</f>
        <v>8.7186495599999994</v>
      </c>
      <c r="J1050" s="23" cm="1">
        <f t="array" ref="J1050">IF(D1050="","",(G1050*D1050)*0.00075)</f>
        <v>9.0182384999999989</v>
      </c>
      <c r="K1050" s="24" cm="1">
        <f t="array" ref="K1050">IF(D1050="","",J1050+I1050)</f>
        <v>17.736888059999998</v>
      </c>
      <c r="L1050" s="24" cm="1">
        <f t="array" ref="L1050">IF(D1050=0,0,(D1050-C1050)*G1050)</f>
        <v>399.45191999999975</v>
      </c>
      <c r="M1050" s="25">
        <v>11216.3959215</v>
      </c>
      <c r="N1050" s="26" cm="1">
        <f t="array" ref="N1050">IFERROR((K1050-J1050)/J1050,"–")</f>
        <v>0.96677966101694923</v>
      </c>
      <c r="O1050" s="24" cm="1">
        <f t="array" ref="O1050">IF(D1050=0,0,L1050-K1050)</f>
        <v>381.71503193999973</v>
      </c>
      <c r="P1050" s="23"/>
      <c r="Q1050" s="27"/>
    </row>
    <row r="1051" spans="1:17" ht="22.5" customHeight="1">
      <c r="A1051" s="16" t="s">
        <v>46</v>
      </c>
      <c r="B1051" s="53">
        <v>44489</v>
      </c>
      <c r="C1051" s="36">
        <v>2.9</v>
      </c>
      <c r="D1051" s="36">
        <v>3.0539999999999998</v>
      </c>
      <c r="E1051" s="30" cm="1">
        <f t="array" ref="E1051">IF(D1051="","",D1051-C1051)</f>
        <v>0.15399999999999991</v>
      </c>
      <c r="F1051" s="31" cm="1">
        <f t="array" ref="F1051">IF(D1051=0,"",(D1051-C1051)/C1051)</f>
        <v>5.3103448275862039E-2</v>
      </c>
      <c r="G1051" s="32">
        <v>1000</v>
      </c>
      <c r="H1051" s="10">
        <v>1</v>
      </c>
      <c r="I1051" s="11" cm="1">
        <f t="array" ref="I1051">IF(D1051="","",(G1051*C1051)*0.00075)</f>
        <v>2.1750000000000003</v>
      </c>
      <c r="J1051" s="11" cm="1">
        <f t="array" ref="J1051">IF(D1051="","",(G1051*D1051)*0.00075)</f>
        <v>2.2905000000000002</v>
      </c>
      <c r="K1051" s="33" cm="1">
        <f t="array" ref="K1051">IF(D1051="","",J1051+I1051)</f>
        <v>4.4655000000000005</v>
      </c>
      <c r="L1051" s="33" cm="1">
        <f t="array" ref="L1051">IF(D1051=0,0,(D1051-C1051)*G1051)</f>
        <v>153.99999999999991</v>
      </c>
      <c r="M1051" s="12">
        <v>2743.7094999999999</v>
      </c>
      <c r="N1051" s="34" cm="1">
        <f t="array" ref="N1051">IFERROR((K1051-J1051)/J1051,"–")</f>
        <v>0.94957432874918146</v>
      </c>
      <c r="O1051" s="33" cm="1">
        <f t="array" ref="O1051">IF(D1051=0,0,L1051-K1051)</f>
        <v>149.53449999999992</v>
      </c>
      <c r="P1051" s="11"/>
      <c r="Q1051" s="35"/>
    </row>
    <row r="1052" spans="1:17" ht="22.5" customHeight="1">
      <c r="A1052" s="16" t="s">
        <v>46</v>
      </c>
      <c r="B1052" s="54">
        <v>44489</v>
      </c>
      <c r="C1052" s="37">
        <v>3</v>
      </c>
      <c r="D1052" s="37">
        <v>3.0569999999999999</v>
      </c>
      <c r="E1052" s="19" cm="1">
        <f t="array" ref="E1052">IF(D1052="","",D1052-C1052)</f>
        <v>5.699999999999994E-2</v>
      </c>
      <c r="F1052" s="20" cm="1">
        <f t="array" ref="F1052">IF(D1052=0,"",(D1052-C1052)/C1052)</f>
        <v>1.8999999999999979E-2</v>
      </c>
      <c r="G1052" s="21">
        <v>1518.6</v>
      </c>
      <c r="H1052" s="22">
        <v>1</v>
      </c>
      <c r="I1052" s="23" cm="1">
        <f t="array" ref="I1052">IF(D1052="","",(G1052*C1052)*0.00075)</f>
        <v>3.4168499999999997</v>
      </c>
      <c r="J1052" s="23" cm="1">
        <f t="array" ref="J1052">IF(D1052="","",(G1052*D1052)*0.00075)</f>
        <v>3.48177015</v>
      </c>
      <c r="K1052" s="24" cm="1">
        <f t="array" ref="K1052">IF(D1052="","",J1052+I1052)</f>
        <v>6.8986201499999993</v>
      </c>
      <c r="L1052" s="24" cm="1">
        <f t="array" ref="L1052">IF(D1052=0,0,(D1052-C1052)*G1052)</f>
        <v>86.560199999999909</v>
      </c>
      <c r="M1052" s="25">
        <v>4465.7580298499997</v>
      </c>
      <c r="N1052" s="26" cm="1">
        <f t="array" ref="N1052">IFERROR((K1052-J1052)/J1052,"–")</f>
        <v>0.98135426889106947</v>
      </c>
      <c r="O1052" s="24" cm="1">
        <f t="array" ref="O1052">IF(D1052=0,0,L1052-K1052)</f>
        <v>79.66157984999991</v>
      </c>
      <c r="P1052" s="23"/>
      <c r="Q1052" s="27"/>
    </row>
    <row r="1053" spans="1:17" ht="22.5" customHeight="1">
      <c r="A1053" s="16" t="s">
        <v>206</v>
      </c>
      <c r="B1053" s="55">
        <v>44490</v>
      </c>
      <c r="C1053" s="36">
        <v>22.506399999999999</v>
      </c>
      <c r="D1053" s="36">
        <v>22.6812</v>
      </c>
      <c r="E1053" s="30" cm="1">
        <f t="array" ref="E1053">IF(D1053="","",D1053-C1053)</f>
        <v>0.17480000000000118</v>
      </c>
      <c r="F1053" s="31" cm="1">
        <f t="array" ref="F1053">IF(D1053=0,"",(D1053-C1053)/C1053)</f>
        <v>7.7666796999964977E-3</v>
      </c>
      <c r="G1053" s="32">
        <v>291.58</v>
      </c>
      <c r="H1053" s="10">
        <v>1</v>
      </c>
      <c r="I1053" s="11" cm="1">
        <f t="array" ref="I1053">IF(D1053="","",(G1053*C1053)*0.00075)</f>
        <v>4.9218120839999999</v>
      </c>
      <c r="J1053" s="11" cm="1">
        <f t="array" ref="J1053">IF(D1053="","",(G1053*D1053)*0.00075)</f>
        <v>4.9600382220000006</v>
      </c>
      <c r="K1053" s="33" cm="1">
        <f t="array" ref="K1053">IF(D1053="","",J1053+I1053)</f>
        <v>9.8818503060000005</v>
      </c>
      <c r="L1053" s="33" cm="1">
        <f t="array" ref="L1053">IF(D1053=0,0,(D1053-C1053)*G1053)</f>
        <v>50.968184000000342</v>
      </c>
      <c r="M1053" s="12">
        <v>6506.487889778</v>
      </c>
      <c r="N1053" s="34" cm="1">
        <f t="array" ref="N1053">IFERROR((K1053-J1053)/J1053,"–")</f>
        <v>0.99229317672786255</v>
      </c>
      <c r="O1053" s="33" cm="1">
        <f t="array" ref="O1053">IF(D1053=0,0,L1053-K1053)</f>
        <v>41.086333694000345</v>
      </c>
      <c r="P1053" s="11"/>
      <c r="Q1053" s="35"/>
    </row>
    <row r="1054" spans="1:17" ht="22.5" customHeight="1">
      <c r="A1054" s="16" t="s">
        <v>206</v>
      </c>
      <c r="B1054" s="54">
        <v>44490</v>
      </c>
      <c r="C1054" s="37">
        <v>22.506399999999999</v>
      </c>
      <c r="D1054" s="37">
        <v>22.613399999999999</v>
      </c>
      <c r="E1054" s="19" cm="1">
        <f t="array" ref="E1054">IF(D1054="","",D1054-C1054)</f>
        <v>0.10699999999999932</v>
      </c>
      <c r="F1054" s="20" cm="1">
        <f t="array" ref="F1054">IF(D1054=0,"",(D1054-C1054)/C1054)</f>
        <v>4.7542032488536289E-3</v>
      </c>
      <c r="G1054" s="21">
        <v>656.07</v>
      </c>
      <c r="H1054" s="22">
        <v>1</v>
      </c>
      <c r="I1054" s="23" cm="1">
        <f t="array" ref="I1054">IF(D1054="","",(G1054*C1054)*0.00075)</f>
        <v>11.074330386000002</v>
      </c>
      <c r="J1054" s="23" cm="1">
        <f t="array" ref="J1054">IF(D1054="","",(G1054*D1054)*0.00075)</f>
        <v>11.1269800035</v>
      </c>
      <c r="K1054" s="24" cm="1">
        <f t="array" ref="K1054">IF(D1054="","",J1054+I1054)</f>
        <v>22.201310389500001</v>
      </c>
      <c r="L1054" s="24" cm="1">
        <f t="array" ref="L1054">IF(D1054=0,0,(D1054-C1054)*G1054)</f>
        <v>70.199489999999557</v>
      </c>
      <c r="M1054" s="25">
        <v>14684.447377996499</v>
      </c>
      <c r="N1054" s="26" cm="1">
        <f t="array" ref="N1054">IFERROR((K1054-J1054)/J1054,"–")</f>
        <v>0.99526829225149704</v>
      </c>
      <c r="O1054" s="24" cm="1">
        <f t="array" ref="O1054">IF(D1054=0,0,L1054-K1054)</f>
        <v>47.998179610499555</v>
      </c>
      <c r="P1054" s="23"/>
      <c r="Q1054" s="27"/>
    </row>
    <row r="1055" spans="1:17" ht="22.5" customHeight="1">
      <c r="A1055" s="16" t="s">
        <v>206</v>
      </c>
      <c r="B1055" s="55">
        <v>44490</v>
      </c>
      <c r="C1055" s="36">
        <v>22.506399999999999</v>
      </c>
      <c r="D1055" s="36">
        <v>22.6236</v>
      </c>
      <c r="E1055" s="30" cm="1">
        <f t="array" ref="E1055">IF(D1055="","",D1055-C1055)</f>
        <v>0.11720000000000041</v>
      </c>
      <c r="F1055" s="31" cm="1">
        <f t="array" ref="F1055">IF(D1055=0,"",(D1055-C1055)/C1055)</f>
        <v>5.2074076707070175E-3</v>
      </c>
      <c r="G1055" s="32">
        <v>303.73</v>
      </c>
      <c r="H1055" s="10">
        <v>1</v>
      </c>
      <c r="I1055" s="11" cm="1">
        <f t="array" ref="I1055">IF(D1055="","",(G1055*C1055)*0.00075)</f>
        <v>5.1269016540000001</v>
      </c>
      <c r="J1055" s="11" cm="1">
        <f t="array" ref="J1055">IF(D1055="","",(G1055*D1055)*0.00075)</f>
        <v>5.1535995210000003</v>
      </c>
      <c r="K1055" s="33" cm="1">
        <f t="array" ref="K1055">IF(D1055="","",J1055+I1055)</f>
        <v>10.280501175000001</v>
      </c>
      <c r="L1055" s="33" cm="1">
        <f t="array" ref="L1055">IF(D1055=0,0,(D1055-C1055)*G1055)</f>
        <v>35.597156000000126</v>
      </c>
      <c r="M1055" s="12">
        <v>6795.1181164789996</v>
      </c>
      <c r="N1055" s="34" cm="1">
        <f t="array" ref="N1055">IFERROR((K1055-J1055)/J1055,"–")</f>
        <v>0.99481956894570289</v>
      </c>
      <c r="O1055" s="33" cm="1">
        <f t="array" ref="O1055">IF(D1055=0,0,L1055-K1055)</f>
        <v>25.316654825000125</v>
      </c>
      <c r="P1055" s="11"/>
      <c r="Q1055" s="35"/>
    </row>
    <row r="1056" spans="1:17" ht="22.5" customHeight="1">
      <c r="A1056" s="16" t="s">
        <v>206</v>
      </c>
      <c r="B1056" s="54">
        <v>44490</v>
      </c>
      <c r="C1056" s="37">
        <v>22.506399999999999</v>
      </c>
      <c r="D1056" s="37">
        <v>22.6</v>
      </c>
      <c r="E1056" s="19" cm="1">
        <f t="array" ref="E1056">IF(D1056="","",D1056-C1056)</f>
        <v>9.3600000000002126E-2</v>
      </c>
      <c r="F1056" s="20" cm="1">
        <f t="array" ref="F1056">IF(D1056=0,"",(D1056-C1056)/C1056)</f>
        <v>4.1588170475954454E-3</v>
      </c>
      <c r="G1056" s="21">
        <v>303.72000000000003</v>
      </c>
      <c r="H1056" s="22">
        <v>1</v>
      </c>
      <c r="I1056" s="23" cm="1">
        <f t="array" ref="I1056">IF(D1056="","",(G1056*C1056)*0.00075)</f>
        <v>5.1267328560000003</v>
      </c>
      <c r="J1056" s="23" cm="1">
        <f t="array" ref="J1056">IF(D1056="","",(G1056*D1056)*0.00075)</f>
        <v>5.148054000000001</v>
      </c>
      <c r="K1056" s="24" cm="1">
        <f t="array" ref="K1056">IF(D1056="","",J1056+I1056)</f>
        <v>10.274786856000002</v>
      </c>
      <c r="L1056" s="24" cm="1">
        <f t="array" ref="L1056">IF(D1056=0,0,(D1056-C1056)*G1056)</f>
        <v>28.428192000000649</v>
      </c>
      <c r="M1056" s="25">
        <v>6802.0675620000002</v>
      </c>
      <c r="N1056" s="26" cm="1">
        <f t="array" ref="N1056">IFERROR((K1056-J1056)/J1056,"–")</f>
        <v>0.99585840707964601</v>
      </c>
      <c r="O1056" s="24" cm="1">
        <f t="array" ref="O1056">IF(D1056=0,0,L1056-K1056)</f>
        <v>18.153405144000647</v>
      </c>
      <c r="P1056" s="23"/>
      <c r="Q1056" s="27"/>
    </row>
    <row r="1057" spans="1:17" ht="22.5" customHeight="1">
      <c r="A1057" s="16" t="s">
        <v>178</v>
      </c>
      <c r="B1057" s="55">
        <v>44490</v>
      </c>
      <c r="C1057" s="36">
        <v>4.3684000000000003</v>
      </c>
      <c r="D1057" s="36">
        <v>4.42</v>
      </c>
      <c r="E1057" s="30" cm="1">
        <f t="array" ref="E1057">IF(D1057="","",D1057-C1057)</f>
        <v>5.1599999999999646E-2</v>
      </c>
      <c r="F1057" s="31" cm="1">
        <f t="array" ref="F1057">IF(D1057=0,"",(D1057-C1057)/C1057)</f>
        <v>1.1812105118578803E-2</v>
      </c>
      <c r="G1057" s="32">
        <v>1716.8</v>
      </c>
      <c r="H1057" s="10">
        <v>1</v>
      </c>
      <c r="I1057" s="11" cm="1">
        <f t="array" ref="I1057">IF(D1057="","",(G1057*C1057)*0.00075)</f>
        <v>5.6247518400000001</v>
      </c>
      <c r="J1057" s="11" cm="1">
        <f t="array" ref="J1057">IF(D1057="","",(G1057*D1057)*0.00075)</f>
        <v>5.691192</v>
      </c>
      <c r="K1057" s="33" cm="1">
        <f t="array" ref="K1057">IF(D1057="","",J1057+I1057)</f>
        <v>11.315943839999999</v>
      </c>
      <c r="L1057" s="33" cm="1">
        <f t="array" ref="L1057">IF(D1057=0,0,(D1057-C1057)*G1057)</f>
        <v>88.586879999999397</v>
      </c>
      <c r="M1057" s="12">
        <v>7405.3910480000004</v>
      </c>
      <c r="N1057" s="34" cm="1">
        <f t="array" ref="N1057">IFERROR((K1057-J1057)/J1057,"–")</f>
        <v>0.98832579185520342</v>
      </c>
      <c r="O1057" s="33" cm="1">
        <f t="array" ref="O1057">IF(D1057=0,0,L1057-K1057)</f>
        <v>77.270936159999394</v>
      </c>
      <c r="P1057" s="11"/>
      <c r="Q1057" s="35"/>
    </row>
    <row r="1058" spans="1:17" ht="22.5" customHeight="1">
      <c r="A1058" s="16" t="s">
        <v>178</v>
      </c>
      <c r="B1058" s="52">
        <v>44490</v>
      </c>
      <c r="C1058" s="37">
        <v>4.3684000000000003</v>
      </c>
      <c r="D1058" s="37">
        <v>4.4290000000000003</v>
      </c>
      <c r="E1058" s="19" cm="1">
        <f t="array" ref="E1058">IF(D1058="","",D1058-C1058)</f>
        <v>6.0599999999999987E-2</v>
      </c>
      <c r="F1058" s="20" cm="1">
        <f t="array" ref="F1058">IF(D1058=0,"",(D1058-C1058)/C1058)</f>
        <v>1.3872356011354267E-2</v>
      </c>
      <c r="G1058" s="21">
        <v>127.6</v>
      </c>
      <c r="H1058" s="22">
        <v>1</v>
      </c>
      <c r="I1058" s="23" cm="1">
        <f t="array" ref="I1058">IF(D1058="","",(G1058*C1058)*0.00075)</f>
        <v>0.41805587999999999</v>
      </c>
      <c r="J1058" s="23" cm="1">
        <f t="array" ref="J1058">IF(D1058="","",(G1058*D1058)*0.00075)</f>
        <v>0.42385529999999999</v>
      </c>
      <c r="K1058" s="24" cm="1">
        <f t="array" ref="K1058">IF(D1058="","",J1058+I1058)</f>
        <v>0.84191117999999998</v>
      </c>
      <c r="L1058" s="24" cm="1">
        <f t="array" ref="L1058">IF(D1058=0,0,(D1058-C1058)*G1058)</f>
        <v>7.7325599999999977</v>
      </c>
      <c r="M1058" s="25">
        <v>549.25142470000003</v>
      </c>
      <c r="N1058" s="26" cm="1">
        <f t="array" ref="N1058">IFERROR((K1058-J1058)/J1058,"–")</f>
        <v>0.98631745314969521</v>
      </c>
      <c r="O1058" s="24" cm="1">
        <f t="array" ref="O1058">IF(D1058=0,0,L1058-K1058)</f>
        <v>6.8906488199999973</v>
      </c>
      <c r="P1058" s="23"/>
      <c r="Q1058" s="27"/>
    </row>
    <row r="1059" spans="1:17" ht="22.5" customHeight="1">
      <c r="A1059" s="16" t="s">
        <v>178</v>
      </c>
      <c r="B1059" s="53">
        <v>44490</v>
      </c>
      <c r="C1059" s="36">
        <v>4.3684000000000003</v>
      </c>
      <c r="D1059" s="36">
        <v>4.4249999999999998</v>
      </c>
      <c r="E1059" s="30" cm="1">
        <f t="array" ref="E1059">IF(D1059="","",D1059-C1059)</f>
        <v>5.659999999999954E-2</v>
      </c>
      <c r="F1059" s="31" cm="1">
        <f t="array" ref="F1059">IF(D1059=0,"",(D1059-C1059)/C1059)</f>
        <v>1.2956688947898438E-2</v>
      </c>
      <c r="G1059" s="32">
        <v>1816</v>
      </c>
      <c r="H1059" s="10">
        <v>1</v>
      </c>
      <c r="I1059" s="11" cm="1">
        <f t="array" ref="I1059">IF(D1059="","",(G1059*C1059)*0.00075)</f>
        <v>5.9497608000000008</v>
      </c>
      <c r="J1059" s="11" cm="1">
        <f t="array" ref="J1059">IF(D1059="","",(G1059*D1059)*0.00075)</f>
        <v>6.0268499999999996</v>
      </c>
      <c r="K1059" s="33" cm="1">
        <f t="array" ref="K1059">IF(D1059="","",J1059+I1059)</f>
        <v>11.9766108</v>
      </c>
      <c r="L1059" s="33" cm="1">
        <f t="array" ref="L1059">IF(D1059=0,0,(D1059-C1059)*G1059)</f>
        <v>102.78559999999916</v>
      </c>
      <c r="M1059" s="12">
        <v>7824.2019499999997</v>
      </c>
      <c r="N1059" s="34" cm="1">
        <f t="array" ref="N1059">IFERROR((K1059-J1059)/J1059,"–")</f>
        <v>0.98720903954802264</v>
      </c>
      <c r="O1059" s="33" cm="1">
        <f t="array" ref="O1059">IF(D1059=0,0,L1059-K1059)</f>
        <v>90.808989199999161</v>
      </c>
      <c r="P1059" s="11"/>
      <c r="Q1059" s="35"/>
    </row>
    <row r="1060" spans="1:17" ht="22.5" customHeight="1">
      <c r="A1060" s="16" t="s">
        <v>178</v>
      </c>
      <c r="B1060" s="52">
        <v>44490</v>
      </c>
      <c r="C1060" s="37">
        <v>4.3684000000000003</v>
      </c>
      <c r="D1060" s="37">
        <v>4.42</v>
      </c>
      <c r="E1060" s="19" cm="1">
        <f t="array" ref="E1060">IF(D1060="","",D1060-C1060)</f>
        <v>5.1599999999999646E-2</v>
      </c>
      <c r="F1060" s="20" cm="1">
        <f t="array" ref="F1060">IF(D1060=0,"",(D1060-C1060)/C1060)</f>
        <v>1.1812105118578803E-2</v>
      </c>
      <c r="G1060" s="21">
        <v>1160</v>
      </c>
      <c r="H1060" s="22">
        <v>1</v>
      </c>
      <c r="I1060" s="23" cm="1">
        <f t="array" ref="I1060">IF(D1060="","",(G1060*C1060)*0.00075)</f>
        <v>3.8005080000000002</v>
      </c>
      <c r="J1060" s="23" cm="1">
        <f t="array" ref="J1060">IF(D1060="","",(G1060*D1060)*0.00075)</f>
        <v>3.8454000000000002</v>
      </c>
      <c r="K1060" s="24" cm="1">
        <f t="array" ref="K1060">IF(D1060="","",J1060+I1060)</f>
        <v>7.6459080000000004</v>
      </c>
      <c r="L1060" s="24" cm="1">
        <f t="array" ref="L1060">IF(D1060=0,0,(D1060-C1060)*G1060)</f>
        <v>59.85599999999959</v>
      </c>
      <c r="M1060" s="25">
        <v>5003.6426000000001</v>
      </c>
      <c r="N1060" s="26" cm="1">
        <f t="array" ref="N1060">IFERROR((K1060-J1060)/J1060,"–")</f>
        <v>0.98832579185520364</v>
      </c>
      <c r="O1060" s="24" cm="1">
        <f t="array" ref="O1060">IF(D1060=0,0,L1060-K1060)</f>
        <v>52.210091999999591</v>
      </c>
      <c r="P1060" s="23"/>
      <c r="Q1060" s="27"/>
    </row>
    <row r="1061" spans="1:17" ht="22.5" customHeight="1">
      <c r="A1061" s="16" t="s">
        <v>178</v>
      </c>
      <c r="B1061" s="53">
        <v>44490</v>
      </c>
      <c r="C1061" s="36">
        <v>4.3684000000000003</v>
      </c>
      <c r="D1061" s="36">
        <v>4.3920000000000003</v>
      </c>
      <c r="E1061" s="30" cm="1">
        <f t="array" ref="E1061">IF(D1061="","",D1061-C1061)</f>
        <v>2.3600000000000065E-2</v>
      </c>
      <c r="F1061" s="31" cm="1">
        <f t="array" ref="F1061">IF(D1061=0,"",(D1061-C1061)/C1061)</f>
        <v>5.4024356743888067E-3</v>
      </c>
      <c r="G1061" s="32">
        <v>1023.5</v>
      </c>
      <c r="H1061" s="10">
        <v>1</v>
      </c>
      <c r="I1061" s="11" cm="1">
        <f t="array" ref="I1061">IF(D1061="","",(G1061*C1061)*0.00075)</f>
        <v>3.3532930500000004</v>
      </c>
      <c r="J1061" s="11" cm="1">
        <f t="array" ref="J1061">IF(D1061="","",(G1061*D1061)*0.00075)</f>
        <v>3.3714090000000003</v>
      </c>
      <c r="K1061" s="33" cm="1">
        <f t="array" ref="K1061">IF(D1061="","",J1061+I1061)</f>
        <v>6.7247020500000012</v>
      </c>
      <c r="L1061" s="33" cm="1">
        <f t="array" ref="L1061">IF(D1061=0,0,(D1061-C1061)*G1061)</f>
        <v>24.154600000000066</v>
      </c>
      <c r="M1061" s="12">
        <v>4443.5313910000004</v>
      </c>
      <c r="N1061" s="34" cm="1">
        <f t="array" ref="N1061">IFERROR((K1061-J1061)/J1061,"–")</f>
        <v>0.99462659380692187</v>
      </c>
      <c r="O1061" s="33" cm="1">
        <f t="array" ref="O1061">IF(D1061=0,0,L1061-K1061)</f>
        <v>17.429897950000065</v>
      </c>
      <c r="P1061" s="11"/>
      <c r="Q1061" s="35"/>
    </row>
    <row r="1062" spans="1:17" ht="22.5" customHeight="1">
      <c r="A1062" s="16" t="s">
        <v>178</v>
      </c>
      <c r="B1062" s="52">
        <v>44490</v>
      </c>
      <c r="C1062" s="37">
        <v>4.3684000000000003</v>
      </c>
      <c r="D1062" s="37">
        <v>4.3849999999999998</v>
      </c>
      <c r="E1062" s="19" cm="1">
        <f t="array" ref="E1062">IF(D1062="","",D1062-C1062)</f>
        <v>1.6599999999999504E-2</v>
      </c>
      <c r="F1062" s="20" cm="1">
        <f t="array" ref="F1062">IF(D1062=0,"",(D1062-C1062)/C1062)</f>
        <v>3.8000183133411552E-3</v>
      </c>
      <c r="G1062" s="21">
        <v>1023.5</v>
      </c>
      <c r="H1062" s="22">
        <v>1</v>
      </c>
      <c r="I1062" s="23" cm="1">
        <f t="array" ref="I1062">IF(D1062="","",(G1062*C1062)*0.00075)</f>
        <v>3.3532930500000004</v>
      </c>
      <c r="J1062" s="23" cm="1">
        <f t="array" ref="J1062">IF(D1062="","",(G1062*D1062)*0.00075)</f>
        <v>3.3660356249999999</v>
      </c>
      <c r="K1062" s="24" cm="1">
        <f t="array" ref="K1062">IF(D1062="","",J1062+I1062)</f>
        <v>6.7193286749999999</v>
      </c>
      <c r="L1062" s="24" cm="1">
        <f t="array" ref="L1062">IF(D1062=0,0,(D1062-C1062)*G1062)</f>
        <v>16.990099999999494</v>
      </c>
      <c r="M1062" s="25">
        <v>4450.7012643750004</v>
      </c>
      <c r="N1062" s="26" cm="1">
        <f t="array" ref="N1062">IFERROR((K1062-J1062)/J1062,"–")</f>
        <v>0.99621436716077538</v>
      </c>
      <c r="O1062" s="24" cm="1">
        <f t="array" ref="O1062">IF(D1062=0,0,L1062-K1062)</f>
        <v>10.270771324999494</v>
      </c>
      <c r="P1062" s="23"/>
      <c r="Q1062" s="27"/>
    </row>
    <row r="1063" spans="1:17" ht="22.5" customHeight="1">
      <c r="A1063" s="16" t="s">
        <v>207</v>
      </c>
      <c r="B1063" s="53">
        <v>44490</v>
      </c>
      <c r="C1063" s="36">
        <v>57.11</v>
      </c>
      <c r="D1063" s="36">
        <v>38</v>
      </c>
      <c r="E1063" s="30" cm="1">
        <f t="array" ref="E1063">IF(D1063="","",D1063-C1063)</f>
        <v>-19.11</v>
      </c>
      <c r="F1063" s="31" cm="1">
        <f t="array" ref="F1063">IF(D1063=0,"",(D1063-C1063)/C1063)</f>
        <v>-0.33461740500787951</v>
      </c>
      <c r="G1063" s="32">
        <v>17.5</v>
      </c>
      <c r="H1063" s="10">
        <v>1</v>
      </c>
      <c r="I1063" s="11" cm="1">
        <f t="array" ref="I1063">IF(D1063="","",(G1063*C1063)*0.00075)</f>
        <v>0.74956875000000001</v>
      </c>
      <c r="J1063" s="11" cm="1">
        <f t="array" ref="J1063">IF(D1063="","",(G1063*D1063)*0.00075)</f>
        <v>0.49875000000000003</v>
      </c>
      <c r="K1063" s="33" cm="1">
        <f t="array" ref="K1063">IF(D1063="","",J1063+I1063)</f>
        <v>1.2483187500000001</v>
      </c>
      <c r="L1063" s="33" cm="1">
        <f t="array" ref="L1063">IF(D1063=0,0,(D1063-C1063)*G1063)</f>
        <v>-334.42500000000001</v>
      </c>
      <c r="M1063" s="12">
        <v>1333.3512499999999</v>
      </c>
      <c r="N1063" s="34" cm="1">
        <f t="array" ref="N1063">IFERROR((K1063-J1063)/J1063,"–")</f>
        <v>1.5028947368421055</v>
      </c>
      <c r="O1063" s="33" cm="1">
        <f t="array" ref="O1063">IF(D1063=0,0,L1063-K1063)</f>
        <v>-335.67331875000002</v>
      </c>
      <c r="P1063" s="11"/>
      <c r="Q1063" s="35"/>
    </row>
    <row r="1064" spans="1:17" ht="22.5" customHeight="1">
      <c r="A1064" s="16" t="s">
        <v>207</v>
      </c>
      <c r="B1064" s="52">
        <v>44490</v>
      </c>
      <c r="C1064" s="37">
        <v>57.11</v>
      </c>
      <c r="D1064" s="37">
        <v>35</v>
      </c>
      <c r="E1064" s="19" cm="1">
        <f t="array" ref="E1064">IF(D1064="","",D1064-C1064)</f>
        <v>-22.11</v>
      </c>
      <c r="F1064" s="20" cm="1">
        <f t="array" ref="F1064">IF(D1064=0,"",(D1064-C1064)/C1064)</f>
        <v>-0.38714760987567853</v>
      </c>
      <c r="G1064" s="21">
        <v>17.5</v>
      </c>
      <c r="H1064" s="22">
        <v>1</v>
      </c>
      <c r="I1064" s="23" cm="1">
        <f t="array" ref="I1064">IF(D1064="","",(G1064*C1064)*0.00075)</f>
        <v>0.74956875000000001</v>
      </c>
      <c r="J1064" s="23" cm="1">
        <f t="array" ref="J1064">IF(D1064="","",(G1064*D1064)*0.00075)</f>
        <v>0.45937500000000003</v>
      </c>
      <c r="K1064" s="24" cm="1">
        <f t="array" ref="K1064">IF(D1064="","",J1064+I1064)</f>
        <v>1.20894375</v>
      </c>
      <c r="L1064" s="24" cm="1">
        <f t="array" ref="L1064">IF(D1064=0,0,(D1064-C1064)*G1064)</f>
        <v>-386.92500000000001</v>
      </c>
      <c r="M1064" s="25">
        <v>1385.890625</v>
      </c>
      <c r="N1064" s="26" cm="1">
        <f t="array" ref="N1064">IFERROR((K1064-J1064)/J1064,"–")</f>
        <v>1.6317142857142855</v>
      </c>
      <c r="O1064" s="24" cm="1">
        <f t="array" ref="O1064">IF(D1064=0,0,L1064-K1064)</f>
        <v>-388.13394375000001</v>
      </c>
      <c r="P1064" s="23"/>
      <c r="Q1064" s="27"/>
    </row>
    <row r="1065" spans="1:17" ht="22.5" customHeight="1">
      <c r="A1065" s="16" t="s">
        <v>208</v>
      </c>
      <c r="B1065" s="42">
        <v>44490</v>
      </c>
      <c r="C1065" s="36">
        <v>0.55199969999999998</v>
      </c>
      <c r="D1065" s="36">
        <v>0.64908999999999994</v>
      </c>
      <c r="E1065" s="30" cm="1">
        <f t="array" ref="E1065">IF(D1065="","",D1065-C1065)</f>
        <v>9.7090299999999963E-2</v>
      </c>
      <c r="F1065" s="31" cm="1">
        <f t="array" ref="F1065">IF(D1065=0,"",(D1065-C1065)/C1065)</f>
        <v>0.17588832022915948</v>
      </c>
      <c r="G1065" s="32">
        <v>63100</v>
      </c>
      <c r="H1065" s="10">
        <v>1</v>
      </c>
      <c r="I1065" s="11" cm="1">
        <f t="array" ref="I1065">IF(D1065="","",(G1065*C1065)*0.00075)</f>
        <v>26.1233858025</v>
      </c>
      <c r="J1065" s="11" cm="1">
        <f t="array" ref="J1065">IF(D1065="","",(G1065*D1065)*0.00075)</f>
        <v>30.71818425</v>
      </c>
      <c r="K1065" s="33" cm="1">
        <f t="array" ref="K1065">IF(D1065="","",J1065+I1065)</f>
        <v>56.841570052500003</v>
      </c>
      <c r="L1065" s="33" cm="1">
        <f t="array" ref="L1065">IF(D1065=0,0,(D1065-C1065)*G1065)</f>
        <v>6126.3979299999974</v>
      </c>
      <c r="M1065" s="12">
        <v>28674.06495575</v>
      </c>
      <c r="N1065" s="34" cm="1">
        <f t="array" ref="N1065">IFERROR((K1065-J1065)/J1065,"–")</f>
        <v>0.85042089694803502</v>
      </c>
      <c r="O1065" s="33">
        <f>IF(D1065=0,0,L1065-K1065)</f>
        <v>6069.5563599474972</v>
      </c>
      <c r="P1065" s="14"/>
      <c r="Q1065" s="35"/>
    </row>
    <row r="1066" spans="1:17" ht="22.5" customHeight="1">
      <c r="A1066" s="16" t="s">
        <v>32</v>
      </c>
      <c r="B1066" s="43">
        <v>44490</v>
      </c>
      <c r="C1066" s="37">
        <v>0.158</v>
      </c>
      <c r="D1066" s="37">
        <v>0.15711</v>
      </c>
      <c r="E1066" s="19" cm="1">
        <f t="array" ref="E1066">IF(D1066="","",D1066-C1066)</f>
        <v>-8.900000000000019E-4</v>
      </c>
      <c r="F1066" s="20" cm="1">
        <f t="array" ref="F1066">IF(D1066=0,"",(D1066-C1066)/C1066)</f>
        <v>-5.6329113924050754E-3</v>
      </c>
      <c r="G1066" s="21">
        <v>22151.8</v>
      </c>
      <c r="H1066" s="22">
        <v>1</v>
      </c>
      <c r="I1066" s="23" cm="1">
        <f t="array" ref="I1066">IF(D1066="","",(G1066*C1066)*0.00075)</f>
        <v>2.6249883000000001</v>
      </c>
      <c r="J1066" s="23" cm="1">
        <f t="array" ref="J1066">IF(D1066="","",(G1066*D1066)*0.00075)</f>
        <v>2.6102019734999997</v>
      </c>
      <c r="K1066" s="24" cm="1">
        <f t="array" ref="K1066">IF(D1066="","",J1066+I1066)</f>
        <v>5.2351902734999998</v>
      </c>
      <c r="L1066" s="24" cm="1">
        <f t="array" ref="L1066">IF(D1066=0,0,(D1066-C1066)*G1066)</f>
        <v>-19.715102000000041</v>
      </c>
      <c r="M1066" s="25">
        <v>3517.0893000265</v>
      </c>
      <c r="N1066" s="26" cm="1">
        <f t="array" ref="N1066">IFERROR((K1066-J1066)/J1066,"–")</f>
        <v>1.0056648208261729</v>
      </c>
      <c r="O1066" s="24" cm="1">
        <f t="array" ref="O1066">IF(D1066=0,0,L1066-K1066)</f>
        <v>-24.95029227350004</v>
      </c>
      <c r="P1066" s="23"/>
      <c r="Q1066" s="27"/>
    </row>
    <row r="1067" spans="1:17" ht="22.5" customHeight="1">
      <c r="A1067" s="16" t="s">
        <v>32</v>
      </c>
      <c r="B1067" s="42">
        <v>44490</v>
      </c>
      <c r="C1067" s="36">
        <v>0.15856000000000001</v>
      </c>
      <c r="D1067" s="36">
        <v>0.15711</v>
      </c>
      <c r="E1067" s="30" cm="1">
        <f t="array" ref="E1067">IF(D1067="","",D1067-C1067)</f>
        <v>-1.4500000000000068E-3</v>
      </c>
      <c r="F1067" s="31" cm="1">
        <f t="array" ref="F1067">IF(D1067=0,"",(D1067-C1067)/C1067)</f>
        <v>-9.144803229061596E-3</v>
      </c>
      <c r="G1067" s="32">
        <v>22073.200000000001</v>
      </c>
      <c r="H1067" s="10">
        <v>1</v>
      </c>
      <c r="I1067" s="11" cm="1">
        <f t="array" ref="I1067">IF(D1067="","",(G1067*C1067)*0.00075)</f>
        <v>2.6249449440000001</v>
      </c>
      <c r="J1067" s="11" cm="1">
        <f t="array" ref="J1067">IF(D1067="","",(G1067*D1067)*0.00075)</f>
        <v>2.6009403390000001</v>
      </c>
      <c r="K1067" s="33" cm="1">
        <f t="array" ref="K1067">IF(D1067="","",J1067+I1067)</f>
        <v>5.2258852830000002</v>
      </c>
      <c r="L1067" s="33" cm="1">
        <f t="array" ref="L1067">IF(D1067=0,0,(D1067-C1067)*G1067)</f>
        <v>-32.006140000000151</v>
      </c>
      <c r="M1067" s="12">
        <v>3529.3317916609999</v>
      </c>
      <c r="N1067" s="34" cm="1">
        <f t="array" ref="N1067">IFERROR((K1067-J1067)/J1067,"–")</f>
        <v>1.0092292024696072</v>
      </c>
      <c r="O1067" s="33" cm="1">
        <f t="array" ref="O1067">IF(D1067=0,0,L1067-K1067)</f>
        <v>-37.232025283000155</v>
      </c>
      <c r="P1067" s="11"/>
      <c r="Q1067" s="35"/>
    </row>
    <row r="1068" spans="1:17" ht="22.5" customHeight="1">
      <c r="A1068" s="16" t="s">
        <v>32</v>
      </c>
      <c r="B1068" s="43">
        <v>44490</v>
      </c>
      <c r="C1068" s="37">
        <v>0.15898999999999999</v>
      </c>
      <c r="D1068" s="37">
        <v>0.15711</v>
      </c>
      <c r="E1068" s="19" cm="1">
        <f t="array" ref="E1068">IF(D1068="","",D1068-C1068)</f>
        <v>-1.8799999999999928E-3</v>
      </c>
      <c r="F1068" s="20" cm="1">
        <f t="array" ref="F1068">IF(D1068=0,"",(D1068-C1068)/C1068)</f>
        <v>-1.1824643059311862E-2</v>
      </c>
      <c r="G1068" s="21">
        <v>22013.4</v>
      </c>
      <c r="H1068" s="22">
        <v>1</v>
      </c>
      <c r="I1068" s="23" cm="1">
        <f t="array" ref="I1068">IF(D1068="","",(G1068*C1068)*0.00075)</f>
        <v>2.6249328495000004</v>
      </c>
      <c r="J1068" s="23" cm="1">
        <f t="array" ref="J1068">IF(D1068="","",(G1068*D1068)*0.00075)</f>
        <v>2.5938939555</v>
      </c>
      <c r="K1068" s="24" cm="1">
        <f t="array" ref="K1068">IF(D1068="","",J1068+I1068)</f>
        <v>5.2188268050000008</v>
      </c>
      <c r="L1068" s="24" cm="1">
        <f t="array" ref="L1068">IF(D1068=0,0,(D1068-C1068)*G1068)</f>
        <v>-41.385191999999847</v>
      </c>
      <c r="M1068" s="25">
        <v>3538.7017640445001</v>
      </c>
      <c r="N1068" s="26" cm="1">
        <f t="array" ref="N1068">IFERROR((K1068-J1068)/J1068,"–")</f>
        <v>1.0119661383743876</v>
      </c>
      <c r="O1068" s="24" cm="1">
        <f t="array" ref="O1068">IF(D1068=0,0,L1068-K1068)</f>
        <v>-46.604018804999846</v>
      </c>
      <c r="P1068" s="23"/>
      <c r="Q1068" s="27"/>
    </row>
    <row r="1069" spans="1:17" ht="22.5" customHeight="1">
      <c r="A1069" s="16" t="s">
        <v>210</v>
      </c>
      <c r="B1069" s="53">
        <v>44491</v>
      </c>
      <c r="C1069" s="36">
        <v>3.3488999999999998E-2</v>
      </c>
      <c r="D1069" s="36">
        <v>3.3509999999999998E-2</v>
      </c>
      <c r="E1069" s="30" cm="1">
        <f t="array" ref="E1069">IF(D1069="","",D1069-C1069)</f>
        <v>2.1000000000000185E-5</v>
      </c>
      <c r="F1069" s="31" cm="1">
        <f t="array" ref="F1069">IF(D1069=0,"",(D1069-C1069)/C1069)</f>
        <v>6.2707157574129371E-4</v>
      </c>
      <c r="G1069" s="32">
        <v>895809</v>
      </c>
      <c r="H1069" s="10">
        <v>1</v>
      </c>
      <c r="I1069" s="11" cm="1">
        <f t="array" ref="I1069">IF(D1069="","",(G1069*C1069)*0.00075)</f>
        <v>22.49981070075</v>
      </c>
      <c r="J1069" s="11" cm="1">
        <f t="array" ref="J1069">IF(D1069="","",(G1069*D1069)*0.00075)</f>
        <v>22.5139196925</v>
      </c>
      <c r="K1069" s="33" cm="1">
        <f t="array" ref="K1069">IF(D1069="","",J1069+I1069)</f>
        <v>45.01373039325</v>
      </c>
      <c r="L1069" s="33" cm="1">
        <f t="array" ref="L1069">IF(D1069=0,0,(D1069-C1069)*G1069)</f>
        <v>18.811989000000167</v>
      </c>
      <c r="M1069" s="12">
        <v>29958.4216923075</v>
      </c>
      <c r="N1069" s="34" cm="1">
        <f t="array" ref="N1069">IFERROR((K1069-J1069)/J1069,"–")</f>
        <v>0.99937332139659807</v>
      </c>
      <c r="O1069" s="33" cm="1">
        <f t="array" ref="O1069">IF(D1069=0,0,L1069-K1069)</f>
        <v>-26.201741393249833</v>
      </c>
      <c r="P1069" s="11"/>
      <c r="Q1069" s="35"/>
    </row>
    <row r="1070" spans="1:17" ht="22.5" customHeight="1">
      <c r="A1070" s="16" t="s">
        <v>211</v>
      </c>
      <c r="B1070" s="52">
        <v>44491</v>
      </c>
      <c r="C1070" s="37">
        <v>0.33108900000000002</v>
      </c>
      <c r="D1070" s="37">
        <v>0.33400000000000002</v>
      </c>
      <c r="E1070" s="19" cm="1">
        <f t="array" ref="E1070">IF(D1070="","",D1070-C1070)</f>
        <v>2.9109999999999969E-3</v>
      </c>
      <c r="F1070" s="20" cm="1">
        <f t="array" ref="F1070">IF(D1070=0,"",(D1070-C1070)/C1070)</f>
        <v>8.7921978682468961E-3</v>
      </c>
      <c r="G1070" s="21">
        <v>18122</v>
      </c>
      <c r="H1070" s="22">
        <v>1</v>
      </c>
      <c r="I1070" s="23" cm="1">
        <f t="array" ref="I1070">IF(D1070="","",(G1070*C1070)*0.00075)</f>
        <v>4.4999961434999998</v>
      </c>
      <c r="J1070" s="23" cm="1">
        <f t="array" ref="J1070">IF(D1070="","",(G1070*D1070)*0.00075)</f>
        <v>4.5395610000000008</v>
      </c>
      <c r="K1070" s="24" cm="1">
        <f t="array" ref="K1070">IF(D1070="","",J1070+I1070)</f>
        <v>9.0395571435000015</v>
      </c>
      <c r="L1070" s="24" cm="1">
        <f t="array" ref="L1070">IF(D1070=0,0,(D1070-C1070)*G1070)</f>
        <v>52.753141999999947</v>
      </c>
      <c r="M1070" s="25">
        <v>5942.7021549999999</v>
      </c>
      <c r="N1070" s="26" cm="1">
        <f t="array" ref="N1070">IFERROR((K1070-J1070)/J1070,"–")</f>
        <v>0.99128443113772446</v>
      </c>
      <c r="O1070" s="24" cm="1">
        <f t="array" ref="O1070">IF(D1070=0,0,L1070-K1070)</f>
        <v>43.713584856499949</v>
      </c>
      <c r="P1070" s="23"/>
      <c r="Q1070" s="27"/>
    </row>
    <row r="1071" spans="1:17" ht="22.5" customHeight="1">
      <c r="A1071" s="16" t="s">
        <v>148</v>
      </c>
      <c r="B1071" s="53">
        <v>44492</v>
      </c>
      <c r="C1071" s="36">
        <v>8.2580000000000001E-2</v>
      </c>
      <c r="D1071" s="36">
        <v>8.2100000000000006E-2</v>
      </c>
      <c r="E1071" s="30" cm="1">
        <f t="array" ref="E1071">IF(D1071="","",D1071-C1071)</f>
        <v>-4.7999999999999432E-4</v>
      </c>
      <c r="F1071" s="31" cm="1">
        <f t="array" ref="F1071">IF(D1071=0,"",(D1071-C1071)/C1071)</f>
        <v>-5.8125454105109504E-3</v>
      </c>
      <c r="G1071" s="32">
        <v>243282</v>
      </c>
      <c r="H1071" s="10">
        <v>1</v>
      </c>
      <c r="I1071" s="11" cm="1">
        <f t="array" ref="I1071">IF(D1071="","",(G1071*C1071)*0.00075)</f>
        <v>15.06767067</v>
      </c>
      <c r="J1071" s="11" cm="1">
        <f t="array" ref="J1071">IF(D1071="","",(G1071*D1071)*0.00075)</f>
        <v>14.98008915</v>
      </c>
      <c r="K1071" s="33" cm="1">
        <f t="array" ref="K1071">IF(D1071="","",J1071+I1071)</f>
        <v>30.04775982</v>
      </c>
      <c r="L1071" s="33" cm="1">
        <f t="array" ref="L1071">IF(D1071=0,0,(D1071-C1071)*G1071)</f>
        <v>-116.77535999999861</v>
      </c>
      <c r="M1071" s="12">
        <v>20192.022830850001</v>
      </c>
      <c r="N1071" s="34" cm="1">
        <f t="array" ref="N1071">IFERROR((K1071-J1071)/J1071,"–")</f>
        <v>1.0058465286236298</v>
      </c>
      <c r="O1071" s="33" cm="1">
        <f t="array" ref="O1071">IF(D1071=0,0,L1071-K1071)</f>
        <v>-146.82311981999862</v>
      </c>
      <c r="P1071" s="11"/>
      <c r="Q1071" s="35"/>
    </row>
    <row r="1072" spans="1:17" ht="22.5" customHeight="1">
      <c r="A1072" s="16" t="s">
        <v>148</v>
      </c>
      <c r="B1072" s="52">
        <v>44492</v>
      </c>
      <c r="C1072" s="37">
        <v>8.2239999999999994E-2</v>
      </c>
      <c r="D1072" s="37">
        <v>8.2100000000000006E-2</v>
      </c>
      <c r="E1072" s="19" cm="1">
        <f t="array" ref="E1072">IF(D1072="","",D1072-C1072)</f>
        <v>-1.3999999999998736E-4</v>
      </c>
      <c r="F1072" s="20" cm="1">
        <f t="array" ref="F1072">IF(D1072=0,"",(D1072-C1072)/C1072)</f>
        <v>-1.7023346303500411E-3</v>
      </c>
      <c r="G1072" s="21">
        <v>243282</v>
      </c>
      <c r="H1072" s="22">
        <v>1</v>
      </c>
      <c r="I1072" s="23" cm="1">
        <f t="array" ref="I1072">IF(D1072="","",(G1072*C1072)*0.00075)</f>
        <v>15.00563376</v>
      </c>
      <c r="J1072" s="23" cm="1">
        <f t="array" ref="J1072">IF(D1072="","",(G1072*D1072)*0.00075)</f>
        <v>14.98008915</v>
      </c>
      <c r="K1072" s="24" cm="1">
        <f t="array" ref="K1072">IF(D1072="","",J1072+I1072)</f>
        <v>29.98572291</v>
      </c>
      <c r="L1072" s="24" cm="1">
        <f t="array" ref="L1072">IF(D1072=0,0,(D1072-C1072)*G1072)</f>
        <v>-34.059479999996924</v>
      </c>
      <c r="M1072" s="25">
        <v>20026.591070850001</v>
      </c>
      <c r="N1072" s="26" cm="1">
        <f t="array" ref="N1072">IFERROR((K1072-J1072)/J1072,"–")</f>
        <v>1.0017052375152253</v>
      </c>
      <c r="O1072" s="24" cm="1">
        <f t="array" ref="O1072">IF(D1072=0,0,L1072-K1072)</f>
        <v>-64.045202909996931</v>
      </c>
      <c r="P1072" s="23"/>
      <c r="Q1072" s="27"/>
    </row>
    <row r="1073" spans="1:17" ht="22.5" customHeight="1">
      <c r="A1073" s="16" t="s">
        <v>106</v>
      </c>
      <c r="B1073" s="55">
        <v>44492</v>
      </c>
      <c r="C1073" s="36">
        <v>0.97309999999999997</v>
      </c>
      <c r="D1073" s="36">
        <v>0.93400000000000005</v>
      </c>
      <c r="E1073" s="30" cm="1">
        <f t="array" ref="E1073">IF(D1073="","",D1073-C1073)</f>
        <v>-3.9099999999999913E-2</v>
      </c>
      <c r="F1073" s="31" cm="1">
        <f t="array" ref="F1073">IF(D1073=0,"",(D1073-C1073)/C1073)</f>
        <v>-4.0180865275922219E-2</v>
      </c>
      <c r="G1073" s="32">
        <v>3080</v>
      </c>
      <c r="H1073" s="10">
        <v>1</v>
      </c>
      <c r="I1073" s="11" cm="1">
        <f t="array" ref="I1073">IF(D1073="","",(G1073*C1073)*0.00075)</f>
        <v>2.2478609999999999</v>
      </c>
      <c r="J1073" s="11" cm="1">
        <f t="array" ref="J1073">IF(D1073="","",(G1073*D1073)*0.00075)</f>
        <v>2.1575400000000005</v>
      </c>
      <c r="K1073" s="33" cm="1">
        <f t="array" ref="K1073">IF(D1073="","",J1073+I1073)</f>
        <v>4.4054010000000003</v>
      </c>
      <c r="L1073" s="33" cm="1">
        <f t="array" ref="L1073">IF(D1073=0,0,(D1073-C1073)*G1073)</f>
        <v>-120.42799999999973</v>
      </c>
      <c r="M1073" s="12">
        <v>3115.4184599999999</v>
      </c>
      <c r="N1073" s="34" cm="1">
        <f t="array" ref="N1073">IFERROR((K1073-J1073)/J1073,"–")</f>
        <v>1.0418629550321197</v>
      </c>
      <c r="O1073" s="33" cm="1">
        <f t="array" ref="O1073">IF(D1073=0,0,L1073-K1073)</f>
        <v>-124.83340099999972</v>
      </c>
      <c r="P1073" s="11"/>
      <c r="Q1073" s="35"/>
    </row>
    <row r="1074" spans="1:17" ht="22.5" customHeight="1">
      <c r="A1074" s="16" t="s">
        <v>83</v>
      </c>
      <c r="B1074" s="43">
        <v>44493</v>
      </c>
      <c r="C1074" s="37">
        <v>3.2296999999999999E-2</v>
      </c>
      <c r="D1074" s="37">
        <v>3.2500000000000001E-2</v>
      </c>
      <c r="E1074" s="19" cm="1">
        <f t="array" ref="E1074">IF(D1074="","",D1074-C1074)</f>
        <v>2.0300000000000179E-4</v>
      </c>
      <c r="F1074" s="20" cm="1">
        <f t="array" ref="F1074">IF(D1074=0,"",(D1074-C1074)/C1074)</f>
        <v>6.2854135058984361E-3</v>
      </c>
      <c r="G1074" s="21">
        <v>278661</v>
      </c>
      <c r="H1074" s="22">
        <v>1</v>
      </c>
      <c r="I1074" s="23" cm="1">
        <f t="array" ref="I1074">IF(D1074="","",(G1074*C1074)*0.00075)</f>
        <v>6.7499357377500004</v>
      </c>
      <c r="J1074" s="23" cm="1">
        <f t="array" ref="J1074">IF(D1074="","",(G1074*D1074)*0.00075)</f>
        <v>6.7923618750000001</v>
      </c>
      <c r="K1074" s="24" cm="1">
        <f t="array" ref="K1074">IF(D1074="","",J1074+I1074)</f>
        <v>13.542297612750001</v>
      </c>
      <c r="L1074" s="24" cm="1">
        <f t="array" ref="L1074">IF(D1074=0,0,(D1074-C1074)*G1074)</f>
        <v>56.568183000000502</v>
      </c>
      <c r="M1074" s="25">
        <v>8936.5537721250003</v>
      </c>
      <c r="N1074" s="26" cm="1">
        <f t="array" ref="N1074">IFERROR((K1074-J1074)/J1074,"–")</f>
        <v>0.99375384615384632</v>
      </c>
      <c r="O1074" s="24" cm="1">
        <f t="array" ref="O1074">IF(D1074=0,0,L1074-K1074)</f>
        <v>43.025885387250497</v>
      </c>
      <c r="P1074" s="23"/>
      <c r="Q1074" s="27"/>
    </row>
    <row r="1075" spans="1:17" ht="22.5" customHeight="1">
      <c r="A1075" s="16" t="s">
        <v>93</v>
      </c>
      <c r="B1075" s="42">
        <v>44493</v>
      </c>
      <c r="C1075" s="36">
        <v>4.6875</v>
      </c>
      <c r="D1075" s="36">
        <v>4.7506000000000004</v>
      </c>
      <c r="E1075" s="30" cm="1">
        <f t="array" ref="E1075">IF(D1075="","",D1075-C1075)</f>
        <v>6.3100000000000378E-2</v>
      </c>
      <c r="F1075" s="31" cm="1">
        <f t="array" ref="F1075">IF(D1075=0,"",(D1075-C1075)/C1075)</f>
        <v>1.3461333333333414E-2</v>
      </c>
      <c r="G1075" s="32">
        <v>1920</v>
      </c>
      <c r="H1075" s="10">
        <v>1</v>
      </c>
      <c r="I1075" s="11" cm="1">
        <f t="array" ref="I1075">IF(D1075="","",(G1075*C1075)*0.00075)</f>
        <v>6.75</v>
      </c>
      <c r="J1075" s="11" cm="1">
        <f t="array" ref="J1075">IF(D1075="","",(G1075*D1075)*0.00075)</f>
        <v>6.8408639999999998</v>
      </c>
      <c r="K1075" s="33" cm="1">
        <f t="array" ref="K1075">IF(D1075="","",J1075+I1075)</f>
        <v>13.590864</v>
      </c>
      <c r="L1075" s="33" cm="1">
        <f t="array" ref="L1075">IF(D1075=0,0,(D1075-C1075)*G1075)</f>
        <v>121.15200000000073</v>
      </c>
      <c r="M1075" s="12">
        <v>8872.0071360000002</v>
      </c>
      <c r="N1075" s="34" cm="1">
        <f t="array" ref="N1075">IFERROR((K1075-J1075)/J1075,"–")</f>
        <v>0.98671746726729259</v>
      </c>
      <c r="O1075" s="33" cm="1">
        <f t="array" ref="O1075">IF(D1075=0,0,L1075-K1075)</f>
        <v>107.56113600000073</v>
      </c>
      <c r="P1075" s="11"/>
      <c r="Q1075" s="35"/>
    </row>
    <row r="1076" spans="1:17" ht="22.5" customHeight="1">
      <c r="A1076" s="16" t="s">
        <v>132</v>
      </c>
      <c r="B1076" s="43">
        <v>44494</v>
      </c>
      <c r="C1076" s="37">
        <v>6.6820000000000004E-2</v>
      </c>
      <c r="D1076" s="37">
        <v>6.7299999999999999E-2</v>
      </c>
      <c r="E1076" s="19" cm="1">
        <f t="array" ref="E1076">IF(D1076="","",D1076-C1076)</f>
        <v>4.7999999999999432E-4</v>
      </c>
      <c r="F1076" s="20" cm="1">
        <f t="array" ref="F1076">IF(D1076=0,"",(D1076-C1076)/C1076)</f>
        <v>7.1834780005985378E-3</v>
      </c>
      <c r="G1076" s="21">
        <v>112235</v>
      </c>
      <c r="H1076" s="22">
        <v>1</v>
      </c>
      <c r="I1076" s="23" cm="1">
        <f t="array" ref="I1076">IF(D1076="","",(G1076*C1076)*0.00075)</f>
        <v>5.6246570250000012</v>
      </c>
      <c r="J1076" s="23" cm="1">
        <f t="array" ref="J1076">IF(D1076="","",(G1076*D1076)*0.00075)</f>
        <v>5.6650616249999999</v>
      </c>
      <c r="K1076" s="24" cm="1">
        <f t="array" ref="K1076">IF(D1076="","",J1076+I1076)</f>
        <v>11.289718650000001</v>
      </c>
      <c r="L1076" s="24" cm="1">
        <f t="array" ref="L1076">IF(D1076=0,0,(D1076-C1076)*G1076)</f>
        <v>53.872799999999366</v>
      </c>
      <c r="M1076" s="25">
        <v>7440.004838375</v>
      </c>
      <c r="N1076" s="26" cm="1">
        <f t="array" ref="N1076">IFERROR((K1076-J1076)/J1076,"–")</f>
        <v>0.99286775631500768</v>
      </c>
      <c r="O1076" s="24" cm="1">
        <f t="array" ref="O1076">IF(D1076=0,0,L1076-K1076)</f>
        <v>42.583081349999361</v>
      </c>
      <c r="P1076" s="23"/>
      <c r="Q1076" s="27"/>
    </row>
    <row r="1077" spans="1:17" ht="22.5" customHeight="1">
      <c r="A1077" s="16" t="s">
        <v>132</v>
      </c>
      <c r="B1077" s="42">
        <v>44494</v>
      </c>
      <c r="C1077" s="36">
        <v>6.6820000000000004E-2</v>
      </c>
      <c r="D1077" s="36">
        <v>6.7299999999999999E-2</v>
      </c>
      <c r="E1077" s="30" cm="1">
        <f t="array" ref="E1077">IF(D1077="","",D1077-C1077)</f>
        <v>4.7999999999999432E-4</v>
      </c>
      <c r="F1077" s="31" cm="1">
        <f t="array" ref="F1077">IF(D1077=0,"",(D1077-C1077)/C1077)</f>
        <v>7.1834780005985378E-3</v>
      </c>
      <c r="G1077" s="32">
        <v>84176</v>
      </c>
      <c r="H1077" s="10">
        <v>1</v>
      </c>
      <c r="I1077" s="11" cm="1">
        <f t="array" ref="I1077">IF(D1077="","",(G1077*C1077)*0.00075)</f>
        <v>4.2184802400000008</v>
      </c>
      <c r="J1077" s="11" cm="1">
        <f t="array" ref="J1077">IF(D1077="","",(G1077*D1077)*0.00075)</f>
        <v>4.2487835999999994</v>
      </c>
      <c r="K1077" s="33" cm="1">
        <f t="array" ref="K1077">IF(D1077="","",J1077+I1077)</f>
        <v>8.4672638400000011</v>
      </c>
      <c r="L1077" s="33" cm="1">
        <f t="array" ref="L1077">IF(D1077=0,0,(D1077-C1077)*G1077)</f>
        <v>40.404479999999523</v>
      </c>
      <c r="M1077" s="12">
        <v>5579.9870564000003</v>
      </c>
      <c r="N1077" s="34" cm="1">
        <f t="array" ref="N1077">IFERROR((K1077-J1077)/J1077,"–")</f>
        <v>0.9928677563150079</v>
      </c>
      <c r="O1077" s="33" cm="1">
        <f t="array" ref="O1077">IF(D1077=0,0,L1077-K1077)</f>
        <v>31.937216159999522</v>
      </c>
      <c r="P1077" s="11"/>
      <c r="Q1077" s="35"/>
    </row>
    <row r="1078" spans="1:17" ht="22.5" customHeight="1">
      <c r="A1078" s="16" t="s">
        <v>132</v>
      </c>
      <c r="B1078" s="43">
        <v>44494</v>
      </c>
      <c r="C1078" s="37">
        <v>6.6820000000000004E-2</v>
      </c>
      <c r="D1078" s="37">
        <v>6.7000000000000004E-2</v>
      </c>
      <c r="E1078" s="19" cm="1">
        <f t="array" ref="E1078">IF(D1078="","",D1078-C1078)</f>
        <v>1.799999999999996E-4</v>
      </c>
      <c r="F1078" s="20" cm="1">
        <f t="array" ref="F1078">IF(D1078=0,"",(D1078-C1078)/C1078)</f>
        <v>2.6938042502244776E-3</v>
      </c>
      <c r="G1078" s="21">
        <v>137847</v>
      </c>
      <c r="H1078" s="22">
        <v>1</v>
      </c>
      <c r="I1078" s="23" cm="1">
        <f t="array" ref="I1078">IF(D1078="","",(G1078*C1078)*0.00075)</f>
        <v>6.9082024050000008</v>
      </c>
      <c r="J1078" s="23" cm="1">
        <f t="array" ref="J1078">IF(D1078="","",(G1078*D1078)*0.00075)</f>
        <v>6.9268117499999997</v>
      </c>
      <c r="K1078" s="24" cm="1">
        <f t="array" ref="K1078">IF(D1078="","",J1078+I1078)</f>
        <v>13.835014155</v>
      </c>
      <c r="L1078" s="24" cm="1">
        <f t="array" ref="L1078">IF(D1078=0,0,(D1078-C1078)*G1078)</f>
        <v>24.812459999999945</v>
      </c>
      <c r="M1078" s="25">
        <v>9179.19726825</v>
      </c>
      <c r="N1078" s="26" cm="1">
        <f t="array" ref="N1078">IFERROR((K1078-J1078)/J1078,"–")</f>
        <v>0.99731343283582097</v>
      </c>
      <c r="O1078" s="24" cm="1">
        <f t="array" ref="O1078">IF(D1078=0,0,L1078-K1078)</f>
        <v>10.977445844999945</v>
      </c>
      <c r="P1078" s="23"/>
      <c r="Q1078" s="27"/>
    </row>
    <row r="1079" spans="1:17" ht="22.5" customHeight="1">
      <c r="A1079" s="16" t="s">
        <v>132</v>
      </c>
      <c r="B1079" s="42">
        <v>44494</v>
      </c>
      <c r="C1079" s="36">
        <v>6.6820000000000004E-2</v>
      </c>
      <c r="D1079" s="36">
        <v>6.7100000000000007E-2</v>
      </c>
      <c r="E1079" s="30" cm="1">
        <f t="array" ref="E1079">IF(D1079="","",D1079-C1079)</f>
        <v>2.8000000000000247E-4</v>
      </c>
      <c r="F1079" s="31" cm="1">
        <f t="array" ref="F1079">IF(D1079=0,"",(D1079-C1079)/C1079)</f>
        <v>4.1903621670158998E-3</v>
      </c>
      <c r="G1079" s="32">
        <v>114682</v>
      </c>
      <c r="H1079" s="10">
        <v>1</v>
      </c>
      <c r="I1079" s="11" cm="1">
        <f t="array" ref="I1079">IF(D1079="","",(G1079*C1079)*0.00075)</f>
        <v>5.7472884300000002</v>
      </c>
      <c r="J1079" s="11" cm="1">
        <f t="array" ref="J1079">IF(D1079="","",(G1079*D1079)*0.00075)</f>
        <v>5.7713716500000007</v>
      </c>
      <c r="K1079" s="33" cm="1">
        <f t="array" ref="K1079">IF(D1079="","",J1079+I1079)</f>
        <v>11.51866008</v>
      </c>
      <c r="L1079" s="33" cm="1">
        <f t="array" ref="L1079">IF(D1079=0,0,(D1079-C1079)*G1079)</f>
        <v>32.110960000000283</v>
      </c>
      <c r="M1079" s="12">
        <v>7625.1689083499996</v>
      </c>
      <c r="N1079" s="34" cm="1">
        <f t="array" ref="N1079">IFERROR((K1079-J1079)/J1079,"–")</f>
        <v>0.99582712369597592</v>
      </c>
      <c r="O1079" s="33" cm="1">
        <f t="array" ref="O1079">IF(D1079=0,0,L1079-K1079)</f>
        <v>20.592299920000283</v>
      </c>
      <c r="P1079" s="11"/>
      <c r="Q1079" s="35"/>
    </row>
    <row r="1080" spans="1:17" ht="22.5" customHeight="1">
      <c r="A1080" s="16" t="s">
        <v>14</v>
      </c>
      <c r="B1080" s="43">
        <v>44494</v>
      </c>
      <c r="C1080" s="37">
        <v>2.3572000000000002</v>
      </c>
      <c r="D1080" s="37">
        <v>2.363</v>
      </c>
      <c r="E1080" s="19" cm="1">
        <f t="array" ref="E1080">IF(D1080="","",D1080-C1080)</f>
        <v>5.7999999999998053E-3</v>
      </c>
      <c r="F1080" s="20" cm="1">
        <f t="array" ref="F1080">IF(D1080=0,"",(D1080-C1080)/C1080)</f>
        <v>2.4605464109960142E-3</v>
      </c>
      <c r="G1080" s="21">
        <v>3393.8</v>
      </c>
      <c r="H1080" s="22">
        <v>1</v>
      </c>
      <c r="I1080" s="23" cm="1">
        <f t="array" ref="I1080">IF(D1080="","",(G1080*C1080)*0.00075)</f>
        <v>5.9998990200000009</v>
      </c>
      <c r="J1080" s="23" cm="1">
        <f t="array" ref="J1080">IF(D1080="","",(G1080*D1080)*0.00075)</f>
        <v>6.014662050000001</v>
      </c>
      <c r="K1080" s="24" cm="1">
        <f t="array" ref="K1080">IF(D1080="","",J1080+I1080)</f>
        <v>12.014561070000003</v>
      </c>
      <c r="L1080" s="24" cm="1">
        <f t="array" ref="L1080">IF(D1080=0,0,(D1080-C1080)*G1080)</f>
        <v>19.684039999999339</v>
      </c>
      <c r="M1080" s="25">
        <v>7974.1666579499997</v>
      </c>
      <c r="N1080" s="26" cm="1">
        <f t="array" ref="N1080">IFERROR((K1080-J1080)/J1080,"–")</f>
        <v>0.99754549301735096</v>
      </c>
      <c r="O1080" s="24" cm="1">
        <f t="array" ref="O1080">IF(D1080=0,0,L1080-K1080)</f>
        <v>7.669478929999336</v>
      </c>
      <c r="P1080" s="23"/>
      <c r="Q1080" s="27"/>
    </row>
    <row r="1081" spans="1:17" ht="22.5" customHeight="1">
      <c r="A1081" s="16" t="s">
        <v>14</v>
      </c>
      <c r="B1081" s="42">
        <v>44494</v>
      </c>
      <c r="C1081" s="36">
        <v>2.3572000000000002</v>
      </c>
      <c r="D1081" s="36">
        <v>2.3650000000000002</v>
      </c>
      <c r="E1081" s="30" cm="1">
        <f t="array" ref="E1081">IF(D1081="","",D1081-C1081)</f>
        <v>7.8000000000000291E-3</v>
      </c>
      <c r="F1081" s="31" cm="1">
        <f t="array" ref="F1081">IF(D1081=0,"",(D1081-C1081)/C1081)</f>
        <v>3.3090106906499359E-3</v>
      </c>
      <c r="G1081" s="32">
        <v>2545.3000000000002</v>
      </c>
      <c r="H1081" s="10">
        <v>1</v>
      </c>
      <c r="I1081" s="11" cm="1">
        <f t="array" ref="I1081">IF(D1081="","",(G1081*C1081)*0.00075)</f>
        <v>4.4998358700000001</v>
      </c>
      <c r="J1081" s="11" cm="1">
        <f t="array" ref="J1081">IF(D1081="","",(G1081*D1081)*0.00075)</f>
        <v>4.5147258750000008</v>
      </c>
      <c r="K1081" s="33" cm="1">
        <f t="array" ref="K1081">IF(D1081="","",J1081+I1081)</f>
        <v>9.0145617450000017</v>
      </c>
      <c r="L1081" s="33" cm="1">
        <f t="array" ref="L1081">IF(D1081=0,0,(D1081-C1081)*G1081)</f>
        <v>19.853340000000074</v>
      </c>
      <c r="M1081" s="12">
        <v>5975.4130941249996</v>
      </c>
      <c r="N1081" s="34" cm="1">
        <f t="array" ref="N1081">IFERROR((K1081-J1081)/J1081,"–")</f>
        <v>0.99670190274841441</v>
      </c>
      <c r="O1081" s="33" cm="1">
        <f t="array" ref="O1081">IF(D1081=0,0,L1081-K1081)</f>
        <v>10.838778255000072</v>
      </c>
      <c r="P1081" s="11"/>
      <c r="Q1081" s="35"/>
    </row>
    <row r="1082" spans="1:17" ht="22.5" customHeight="1">
      <c r="A1082" s="16" t="s">
        <v>14</v>
      </c>
      <c r="B1082" s="43">
        <v>44494</v>
      </c>
      <c r="C1082" s="37">
        <v>2.3572000000000002</v>
      </c>
      <c r="D1082" s="37">
        <v>2.37</v>
      </c>
      <c r="E1082" s="19" cm="1">
        <f t="array" ref="E1082">IF(D1082="","",D1082-C1082)</f>
        <v>1.2799999999999923E-2</v>
      </c>
      <c r="F1082" s="20" cm="1">
        <f t="array" ref="F1082">IF(D1082=0,"",(D1082-C1082)/C1082)</f>
        <v>5.4301713897844566E-3</v>
      </c>
      <c r="G1082" s="21">
        <v>7636.2</v>
      </c>
      <c r="H1082" s="22">
        <v>1</v>
      </c>
      <c r="I1082" s="23" cm="1">
        <f t="array" ref="I1082">IF(D1082="","",(G1082*C1082)*0.00075)</f>
        <v>13.500037980000002</v>
      </c>
      <c r="J1082" s="23" cm="1">
        <f t="array" ref="J1082">IF(D1082="","",(G1082*D1082)*0.00075)</f>
        <v>13.573345500000002</v>
      </c>
      <c r="K1082" s="24" cm="1">
        <f t="array" ref="K1082">IF(D1082="","",J1082+I1082)</f>
        <v>27.073383480000004</v>
      </c>
      <c r="L1082" s="24" cm="1">
        <f t="array" ref="L1082">IF(D1082=0,0,(D1082-C1082)*G1082)</f>
        <v>97.743359999999413</v>
      </c>
      <c r="M1082" s="25">
        <v>17888.7339345</v>
      </c>
      <c r="N1082" s="26" cm="1">
        <f t="array" ref="N1082">IFERROR((K1082-J1082)/J1082,"–")</f>
        <v>0.99459915611814342</v>
      </c>
      <c r="O1082" s="24" cm="1">
        <f t="array" ref="O1082">IF(D1082=0,0,L1082-K1082)</f>
        <v>70.669976519999409</v>
      </c>
      <c r="P1082" s="23"/>
      <c r="Q1082" s="27"/>
    </row>
    <row r="1083" spans="1:17" ht="22.5" customHeight="1">
      <c r="A1083" s="16" t="s">
        <v>210</v>
      </c>
      <c r="B1083" s="42">
        <v>44494</v>
      </c>
      <c r="C1083" s="36">
        <v>3.6659999999999998E-2</v>
      </c>
      <c r="D1083" s="36">
        <v>3.6540000000000003E-2</v>
      </c>
      <c r="E1083" s="30" cm="1">
        <f t="array" ref="E1083">IF(D1083="","",D1083-C1083)</f>
        <v>-1.1999999999999511E-4</v>
      </c>
      <c r="F1083" s="31" cm="1">
        <f t="array" ref="F1083">IF(D1083=0,"",(D1083-C1083)/C1083)</f>
        <v>-3.2733224222584591E-3</v>
      </c>
      <c r="G1083" s="32">
        <v>67956</v>
      </c>
      <c r="H1083" s="10">
        <v>1</v>
      </c>
      <c r="I1083" s="11" cm="1">
        <f t="array" ref="I1083">IF(D1083="","",(G1083*C1083)*0.00075)</f>
        <v>1.8684502199999999</v>
      </c>
      <c r="J1083" s="11" cm="1">
        <f t="array" ref="J1083">IF(D1083="","",(G1083*D1083)*0.00075)</f>
        <v>1.8623341800000004</v>
      </c>
      <c r="K1083" s="33" cm="1">
        <f t="array" ref="K1083">IF(D1083="","",J1083+I1083)</f>
        <v>3.7307844000000001</v>
      </c>
      <c r="L1083" s="33" cm="1">
        <f t="array" ref="L1083">IF(D1083=0,0,(D1083-C1083)*G1083)</f>
        <v>-8.1547199999996671</v>
      </c>
      <c r="M1083" s="12">
        <v>2497.5593458200001</v>
      </c>
      <c r="N1083" s="34" cm="1">
        <f t="array" ref="N1083">IFERROR((K1083-J1083)/J1083,"–")</f>
        <v>1.003284072249589</v>
      </c>
      <c r="O1083" s="33" cm="1">
        <f t="array" ref="O1083">IF(D1083=0,0,L1083-K1083)</f>
        <v>-11.885504399999668</v>
      </c>
      <c r="P1083" s="11"/>
      <c r="Q1083" s="35"/>
    </row>
    <row r="1084" spans="1:17" ht="22.5" customHeight="1">
      <c r="A1084" s="16" t="s">
        <v>210</v>
      </c>
      <c r="B1084" s="43">
        <v>44494</v>
      </c>
      <c r="C1084" s="37">
        <v>3.6659999999999998E-2</v>
      </c>
      <c r="D1084" s="37">
        <v>3.6589999999999998E-2</v>
      </c>
      <c r="E1084" s="19" cm="1">
        <f t="array" ref="E1084">IF(D1084="","",D1084-C1084)</f>
        <v>-7.0000000000000617E-5</v>
      </c>
      <c r="F1084" s="20" cm="1">
        <f t="array" ref="F1084">IF(D1084=0,"",(D1084-C1084)/C1084)</f>
        <v>-1.9094380796508626E-3</v>
      </c>
      <c r="G1084" s="21">
        <v>477525</v>
      </c>
      <c r="H1084" s="22">
        <v>1</v>
      </c>
      <c r="I1084" s="23" cm="1">
        <f t="array" ref="I1084">IF(D1084="","",(G1084*C1084)*0.00075)</f>
        <v>13.129549875</v>
      </c>
      <c r="J1084" s="23" cm="1">
        <f t="array" ref="J1084">IF(D1084="","",(G1084*D1084)*0.00075)</f>
        <v>13.104479812499999</v>
      </c>
      <c r="K1084" s="24" cm="1">
        <f t="array" ref="K1084">IF(D1084="","",J1084+I1084)</f>
        <v>26.234029687499998</v>
      </c>
      <c r="L1084" s="24" cm="1">
        <f t="array" ref="L1084">IF(D1084=0,0,(D1084-C1084)*G1084)</f>
        <v>-33.426750000000297</v>
      </c>
      <c r="M1084" s="25">
        <v>17526.388770187499</v>
      </c>
      <c r="N1084" s="26" cm="1">
        <f t="array" ref="N1084">IFERROR((K1084-J1084)/J1084,"–")</f>
        <v>1.0019130910084721</v>
      </c>
      <c r="O1084" s="24" cm="1">
        <f t="array" ref="O1084">IF(D1084=0,0,L1084-K1084)</f>
        <v>-59.660779687500295</v>
      </c>
      <c r="P1084" s="23"/>
      <c r="Q1084" s="27"/>
    </row>
    <row r="1085" spans="1:17" ht="22.5" customHeight="1">
      <c r="A1085" s="16" t="s">
        <v>130</v>
      </c>
      <c r="B1085" s="42">
        <v>44494</v>
      </c>
      <c r="C1085" s="36">
        <v>0.81079999999999997</v>
      </c>
      <c r="D1085" s="36">
        <v>0.82010000000000005</v>
      </c>
      <c r="E1085" s="30" cm="1">
        <f t="array" ref="E1085">IF(D1085="","",D1085-C1085)</f>
        <v>9.300000000000086E-3</v>
      </c>
      <c r="F1085" s="31" cm="1">
        <f t="array" ref="F1085">IF(D1085=0,"",(D1085-C1085)/C1085)</f>
        <v>1.1470152935372579E-2</v>
      </c>
      <c r="G1085" s="32">
        <v>12332</v>
      </c>
      <c r="H1085" s="10">
        <v>1</v>
      </c>
      <c r="I1085" s="11" cm="1">
        <f t="array" ref="I1085">IF(D1085="","",(G1085*C1085)*0.00075)</f>
        <v>7.4990891999999993</v>
      </c>
      <c r="J1085" s="11" cm="1">
        <f t="array" ref="J1085">IF(D1085="","",(G1085*D1085)*0.00075)</f>
        <v>7.5851049000000001</v>
      </c>
      <c r="K1085" s="33" cm="1">
        <f t="array" ref="K1085">IF(D1085="","",J1085+I1085)</f>
        <v>15.084194099999999</v>
      </c>
      <c r="L1085" s="33" cm="1">
        <f t="array" ref="L1085">IF(D1085=0,0,(D1085-C1085)*G1085)</f>
        <v>114.68760000000105</v>
      </c>
      <c r="M1085" s="12">
        <v>9876.5128951000006</v>
      </c>
      <c r="N1085" s="34" cm="1">
        <f t="array" ref="N1085">IFERROR((K1085-J1085)/J1085,"–")</f>
        <v>0.98865991952200938</v>
      </c>
      <c r="O1085" s="33" cm="1">
        <f t="array" ref="O1085">IF(D1085=0,0,L1085-K1085)</f>
        <v>99.60340590000105</v>
      </c>
      <c r="P1085" s="11"/>
      <c r="Q1085" s="35"/>
    </row>
    <row r="1086" spans="1:17" ht="22.5" customHeight="1">
      <c r="A1086" s="16" t="s">
        <v>153</v>
      </c>
      <c r="B1086" s="43">
        <v>44494</v>
      </c>
      <c r="C1086" s="37">
        <v>0.20588000000000001</v>
      </c>
      <c r="D1086" s="37">
        <v>0.20430000000000001</v>
      </c>
      <c r="E1086" s="19" cm="1">
        <f t="array" ref="E1086">IF(D1086="","",D1086-C1086)</f>
        <v>-1.5799999999999981E-3</v>
      </c>
      <c r="F1086" s="20" cm="1">
        <f t="array" ref="F1086">IF(D1086=0,"",(D1086-C1086)/C1086)</f>
        <v>-7.674373421410521E-3</v>
      </c>
      <c r="G1086" s="21">
        <v>77712</v>
      </c>
      <c r="H1086" s="22">
        <v>1</v>
      </c>
      <c r="I1086" s="23" cm="1">
        <f t="array" ref="I1086">IF(D1086="","",(G1086*C1086)*0.00075)</f>
        <v>11.999509919999999</v>
      </c>
      <c r="J1086" s="23" cm="1">
        <f t="array" ref="J1086">IF(D1086="","",(G1086*D1086)*0.00075)</f>
        <v>11.907421200000002</v>
      </c>
      <c r="K1086" s="24" cm="1">
        <f t="array" ref="K1086">IF(D1086="","",J1086+I1086)</f>
        <v>23.906931120000003</v>
      </c>
      <c r="L1086" s="24" cm="1">
        <f t="array" ref="L1086">IF(D1086=0,0,(D1086-C1086)*G1086)</f>
        <v>-122.78495999999986</v>
      </c>
      <c r="M1086" s="25">
        <v>16110.224098799999</v>
      </c>
      <c r="N1086" s="26" cm="1">
        <f t="array" ref="N1086">IFERROR((K1086-J1086)/J1086,"–")</f>
        <v>1.0077337249143417</v>
      </c>
      <c r="O1086" s="24" cm="1">
        <f t="array" ref="O1086">IF(D1086=0,0,L1086-K1086)</f>
        <v>-146.69189111999987</v>
      </c>
      <c r="P1086" s="23"/>
      <c r="Q1086" s="27"/>
    </row>
    <row r="1087" spans="1:17" ht="22.5" customHeight="1">
      <c r="A1087" s="16" t="s">
        <v>153</v>
      </c>
      <c r="B1087" s="42">
        <v>44494</v>
      </c>
      <c r="C1087" s="36">
        <v>0.20588000000000001</v>
      </c>
      <c r="D1087" s="36">
        <v>0.20399999999999999</v>
      </c>
      <c r="E1087" s="30" cm="1">
        <f t="array" ref="E1087">IF(D1087="","",D1087-C1087)</f>
        <v>-1.8800000000000205E-3</v>
      </c>
      <c r="F1087" s="31" cm="1">
        <f t="array" ref="F1087">IF(D1087=0,"",(D1087-C1087)/C1087)</f>
        <v>-9.1315329318050337E-3</v>
      </c>
      <c r="G1087" s="32">
        <v>77712</v>
      </c>
      <c r="H1087" s="10">
        <v>1</v>
      </c>
      <c r="I1087" s="11" cm="1">
        <f t="array" ref="I1087">IF(D1087="","",(G1087*C1087)*0.00075)</f>
        <v>11.999509919999999</v>
      </c>
      <c r="J1087" s="11" cm="1">
        <f t="array" ref="J1087">IF(D1087="","",(G1087*D1087)*0.00075)</f>
        <v>11.889936000000001</v>
      </c>
      <c r="K1087" s="33" cm="1">
        <f t="array" ref="K1087">IF(D1087="","",J1087+I1087)</f>
        <v>23.88944592</v>
      </c>
      <c r="L1087" s="33" cm="1">
        <f t="array" ref="L1087">IF(D1087=0,0,(D1087-C1087)*G1087)</f>
        <v>-146.09856000000158</v>
      </c>
      <c r="M1087" s="12">
        <v>16133.555184000001</v>
      </c>
      <c r="N1087" s="34" cm="1">
        <f t="array" ref="N1087">IFERROR((K1087-J1087)/J1087,"–")</f>
        <v>1.0092156862745096</v>
      </c>
      <c r="O1087" s="33" cm="1">
        <f t="array" ref="O1087">IF(D1087=0,0,L1087-K1087)</f>
        <v>-169.98800592000157</v>
      </c>
      <c r="P1087" s="11"/>
      <c r="Q1087" s="35"/>
    </row>
    <row r="1088" spans="1:17" ht="22.5" customHeight="1">
      <c r="A1088" s="16" t="s">
        <v>124</v>
      </c>
      <c r="B1088" s="43">
        <v>44494</v>
      </c>
      <c r="C1088" s="37">
        <v>1.5523</v>
      </c>
      <c r="D1088" s="37">
        <v>1.5825</v>
      </c>
      <c r="E1088" s="19" cm="1">
        <f t="array" ref="E1088">IF(D1088="","",D1088-C1088)</f>
        <v>3.0200000000000005E-2</v>
      </c>
      <c r="F1088" s="20" cm="1">
        <f t="array" ref="F1088">IF(D1088=0,"",(D1088-C1088)/C1088)</f>
        <v>1.9455002254718808E-2</v>
      </c>
      <c r="G1088" s="21">
        <v>12883.3</v>
      </c>
      <c r="H1088" s="22">
        <v>1</v>
      </c>
      <c r="I1088" s="23" cm="1">
        <f t="array" ref="I1088">IF(D1088="","",(G1088*C1088)*0.00075)</f>
        <v>14.999059942499999</v>
      </c>
      <c r="J1088" s="23" cm="1">
        <f t="array" ref="J1088">IF(D1088="","",(G1088*D1088)*0.00075)</f>
        <v>15.290866687499998</v>
      </c>
      <c r="K1088" s="24" cm="1">
        <f t="array" ref="K1088">IF(D1088="","",J1088+I1088)</f>
        <v>30.289926629999997</v>
      </c>
      <c r="L1088" s="24" cm="1">
        <f t="array" ref="L1088">IF(D1088=0,0,(D1088-C1088)*G1088)</f>
        <v>389.07566000000003</v>
      </c>
      <c r="M1088" s="25">
        <v>19594.380063312499</v>
      </c>
      <c r="N1088" s="26" cm="1">
        <f t="array" ref="N1088">IFERROR((K1088-J1088)/J1088,"–")</f>
        <v>0.98091627172195905</v>
      </c>
      <c r="O1088" s="24" cm="1">
        <f t="array" ref="O1088">IF(D1088=0,0,L1088-K1088)</f>
        <v>358.78573337</v>
      </c>
      <c r="P1088" s="23"/>
      <c r="Q1088" s="27"/>
    </row>
    <row r="1089" spans="1:17" ht="22.5" customHeight="1">
      <c r="A1089" s="16" t="s">
        <v>124</v>
      </c>
      <c r="B1089" s="42">
        <v>44494</v>
      </c>
      <c r="C1089" s="36">
        <v>1.5798000000000001</v>
      </c>
      <c r="D1089" s="36">
        <v>1.58</v>
      </c>
      <c r="E1089" s="30" cm="1">
        <f t="array" ref="E1089">IF(D1089="","",D1089-C1089)</f>
        <v>1.9999999999997797E-4</v>
      </c>
      <c r="F1089" s="31" cm="1">
        <f t="array" ref="F1089">IF(D1089=0,"",(D1089-C1089)/C1089)</f>
        <v>1.2659830358271803E-4</v>
      </c>
      <c r="G1089" s="32">
        <v>16615.8</v>
      </c>
      <c r="H1089" s="10">
        <v>1</v>
      </c>
      <c r="I1089" s="11" cm="1">
        <f t="array" ref="I1089">IF(D1089="","",(G1089*C1089)*0.00075)</f>
        <v>19.687230630000002</v>
      </c>
      <c r="J1089" s="11" cm="1">
        <f t="array" ref="J1089">IF(D1089="","",(G1089*D1089)*0.00075)</f>
        <v>19.689723000000001</v>
      </c>
      <c r="K1089" s="33" cm="1">
        <f t="array" ref="K1089">IF(D1089="","",J1089+I1089)</f>
        <v>39.376953630000003</v>
      </c>
      <c r="L1089" s="33" cm="1">
        <f t="array" ref="L1089">IF(D1089=0,0,(D1089-C1089)*G1089)</f>
        <v>3.3231599999996337</v>
      </c>
      <c r="M1089" s="12">
        <v>26226.627957000001</v>
      </c>
      <c r="N1089" s="34" cm="1">
        <f t="array" ref="N1089">IFERROR((K1089-J1089)/J1089,"–")</f>
        <v>0.99987341772151905</v>
      </c>
      <c r="O1089" s="33" cm="1">
        <f t="array" ref="O1089">IF(D1089=0,0,L1089-K1089)</f>
        <v>-36.053793630000371</v>
      </c>
      <c r="P1089" s="11"/>
      <c r="Q1089" s="35"/>
    </row>
    <row r="1090" spans="1:17" ht="22.5" customHeight="1">
      <c r="A1090" s="16" t="s">
        <v>46</v>
      </c>
      <c r="B1090" s="43">
        <v>44494</v>
      </c>
      <c r="C1090" s="37">
        <v>3.0169999999999999</v>
      </c>
      <c r="D1090" s="37">
        <v>3.03</v>
      </c>
      <c r="E1090" s="19" cm="1">
        <f t="array" ref="E1090">IF(D1090="","",D1090-C1090)</f>
        <v>1.2999999999999901E-2</v>
      </c>
      <c r="F1090" s="20" cm="1">
        <f t="array" ref="F1090">IF(D1090=0,"",(D1090-C1090)/C1090)</f>
        <v>4.308916141862745E-3</v>
      </c>
      <c r="G1090" s="21">
        <v>2651.5</v>
      </c>
      <c r="H1090" s="22">
        <v>1</v>
      </c>
      <c r="I1090" s="23" cm="1">
        <f t="array" ref="I1090">IF(D1090="","",(G1090*C1090)*0.00075)</f>
        <v>5.999681625</v>
      </c>
      <c r="J1090" s="23" cm="1">
        <f t="array" ref="J1090">IF(D1090="","",(G1090*D1090)*0.00075)</f>
        <v>6.0255337499999992</v>
      </c>
      <c r="K1090" s="24" cm="1">
        <f t="array" ref="K1090">IF(D1090="","",J1090+I1090)</f>
        <v>12.025215374999998</v>
      </c>
      <c r="L1090" s="24" cm="1">
        <f t="array" ref="L1090">IF(D1090=0,0,(D1090-C1090)*G1090)</f>
        <v>34.469499999999734</v>
      </c>
      <c r="M1090" s="25">
        <v>7959.0804662500004</v>
      </c>
      <c r="N1090" s="26" cm="1">
        <f t="array" ref="N1090">IFERROR((K1090-J1090)/J1090,"–")</f>
        <v>0.99570957095709567</v>
      </c>
      <c r="O1090" s="24" cm="1">
        <f t="array" ref="O1090">IF(D1090=0,0,L1090-K1090)</f>
        <v>22.444284624999735</v>
      </c>
      <c r="P1090" s="23"/>
      <c r="Q1090" s="27"/>
    </row>
    <row r="1091" spans="1:17" ht="22.5" customHeight="1">
      <c r="A1091" s="16" t="s">
        <v>46</v>
      </c>
      <c r="B1091" s="42">
        <v>44494</v>
      </c>
      <c r="C1091" s="36">
        <v>3.0169999999999999</v>
      </c>
      <c r="D1091" s="36">
        <v>3.0369999999999999</v>
      </c>
      <c r="E1091" s="30" cm="1">
        <f t="array" ref="E1091">IF(D1091="","",D1091-C1091)</f>
        <v>2.0000000000000018E-2</v>
      </c>
      <c r="F1091" s="31" cm="1">
        <f t="array" ref="F1091">IF(D1091=0,"",(D1091-C1091)/C1091)</f>
        <v>6.6291017567119718E-3</v>
      </c>
      <c r="G1091" s="32">
        <v>1988.6</v>
      </c>
      <c r="H1091" s="10">
        <v>1</v>
      </c>
      <c r="I1091" s="11" cm="1">
        <f t="array" ref="I1091">IF(D1091="","",(G1091*C1091)*0.00075)</f>
        <v>4.49970465</v>
      </c>
      <c r="J1091" s="11" cm="1">
        <f t="array" ref="J1091">IF(D1091="","",(G1091*D1091)*0.00075)</f>
        <v>4.5295336499999994</v>
      </c>
      <c r="K1091" s="33" cm="1">
        <f t="array" ref="K1091">IF(D1091="","",J1091+I1091)</f>
        <v>9.0292382999999994</v>
      </c>
      <c r="L1091" s="33" cm="1">
        <f t="array" ref="L1091">IF(D1091=0,0,(D1091-C1091)*G1091)</f>
        <v>39.772000000000034</v>
      </c>
      <c r="M1091" s="12">
        <v>5955.3046663499999</v>
      </c>
      <c r="N1091" s="34" cm="1">
        <f t="array" ref="N1091">IFERROR((K1091-J1091)/J1091,"–")</f>
        <v>0.99341455383602251</v>
      </c>
      <c r="O1091" s="33" cm="1">
        <f t="array" ref="O1091">IF(D1091=0,0,L1091-K1091)</f>
        <v>30.742761700000035</v>
      </c>
      <c r="P1091" s="11"/>
      <c r="Q1091" s="35"/>
    </row>
    <row r="1092" spans="1:17" ht="22.5" customHeight="1">
      <c r="A1092" s="16" t="s">
        <v>46</v>
      </c>
      <c r="B1092" s="43">
        <v>44494</v>
      </c>
      <c r="C1092" s="37">
        <v>3.0169999999999999</v>
      </c>
      <c r="D1092" s="37">
        <v>3.028</v>
      </c>
      <c r="E1092" s="19" cm="1">
        <f t="array" ref="E1092">IF(D1092="","",D1092-C1092)</f>
        <v>1.1000000000000121E-2</v>
      </c>
      <c r="F1092" s="20" cm="1">
        <f t="array" ref="F1092">IF(D1092=0,"",(D1092-C1092)/C1092)</f>
        <v>3.6460059661916214E-3</v>
      </c>
      <c r="G1092" s="21">
        <v>2983</v>
      </c>
      <c r="H1092" s="22">
        <v>1</v>
      </c>
      <c r="I1092" s="23" cm="1">
        <f t="array" ref="I1092">IF(D1092="","",(G1092*C1092)*0.00075)</f>
        <v>6.7497832499999992</v>
      </c>
      <c r="J1092" s="23" cm="1">
        <f t="array" ref="J1092">IF(D1092="","",(G1092*D1092)*0.00075)</f>
        <v>6.7743929999999999</v>
      </c>
      <c r="K1092" s="24" cm="1">
        <f t="array" ref="K1092">IF(D1092="","",J1092+I1092)</f>
        <v>13.52417625</v>
      </c>
      <c r="L1092" s="24" cm="1">
        <f t="array" ref="L1092">IF(D1092=0,0,(D1092-C1092)*G1092)</f>
        <v>32.813000000000358</v>
      </c>
      <c r="M1092" s="25">
        <v>8960.1236069999995</v>
      </c>
      <c r="N1092" s="26" cm="1">
        <f t="array" ref="N1092">IFERROR((K1092-J1092)/J1092,"–")</f>
        <v>0.99636723910171732</v>
      </c>
      <c r="O1092" s="24" cm="1">
        <f t="array" ref="O1092">IF(D1092=0,0,L1092-K1092)</f>
        <v>19.288823750000358</v>
      </c>
      <c r="P1092" s="23"/>
      <c r="Q1092" s="27"/>
    </row>
    <row r="1093" spans="1:17" ht="22.5" customHeight="1">
      <c r="A1093" s="16" t="s">
        <v>46</v>
      </c>
      <c r="B1093" s="42">
        <v>44494</v>
      </c>
      <c r="C1093" s="36">
        <v>3.0169999999999999</v>
      </c>
      <c r="D1093" s="36">
        <v>3.04</v>
      </c>
      <c r="E1093" s="30" cm="1">
        <f t="array" ref="E1093">IF(D1093="","",D1093-C1093)</f>
        <v>2.3000000000000131E-2</v>
      </c>
      <c r="F1093" s="31" cm="1">
        <f t="array" ref="F1093">IF(D1093=0,"",(D1093-C1093)/C1093)</f>
        <v>7.6234670202188042E-3</v>
      </c>
      <c r="G1093" s="32">
        <v>256.2</v>
      </c>
      <c r="H1093" s="10">
        <v>1</v>
      </c>
      <c r="I1093" s="11" cm="1">
        <f t="array" ref="I1093">IF(D1093="","",(G1093*C1093)*0.00075)</f>
        <v>0.57971655</v>
      </c>
      <c r="J1093" s="11" cm="1">
        <f t="array" ref="J1093">IF(D1093="","",(G1093*D1093)*0.00075)</f>
        <v>0.58413599999999999</v>
      </c>
      <c r="K1093" s="33" cm="1">
        <f t="array" ref="K1093">IF(D1093="","",J1093+I1093)</f>
        <v>1.1638525500000001</v>
      </c>
      <c r="L1093" s="33" cm="1">
        <f t="array" ref="L1093">IF(D1093=0,0,(D1093-C1093)*G1093)</f>
        <v>5.8926000000000336</v>
      </c>
      <c r="M1093" s="12">
        <v>766.47866399999998</v>
      </c>
      <c r="N1093" s="34" cm="1">
        <f t="array" ref="N1093">IFERROR((K1093-J1093)/J1093,"–")</f>
        <v>0.99243421052631597</v>
      </c>
      <c r="O1093" s="33" cm="1">
        <f t="array" ref="O1093">IF(D1093=0,0,L1093-K1093)</f>
        <v>4.7287474500000339</v>
      </c>
      <c r="P1093" s="11"/>
      <c r="Q1093" s="35"/>
    </row>
    <row r="1094" spans="1:17" ht="22.5" customHeight="1">
      <c r="A1094" s="16" t="s">
        <v>46</v>
      </c>
      <c r="B1094" s="43">
        <v>44494</v>
      </c>
      <c r="C1094" s="37">
        <v>3.0169999999999999</v>
      </c>
      <c r="D1094" s="37">
        <v>3.0249999999999999</v>
      </c>
      <c r="E1094" s="19" cm="1">
        <f t="array" ref="E1094">IF(D1094="","",D1094-C1094)</f>
        <v>8.0000000000000071E-3</v>
      </c>
      <c r="F1094" s="20" cm="1">
        <f t="array" ref="F1094">IF(D1094=0,"",(D1094-C1094)/C1094)</f>
        <v>2.6516407026847886E-3</v>
      </c>
      <c r="G1094" s="21">
        <v>2726.9</v>
      </c>
      <c r="H1094" s="22">
        <v>1</v>
      </c>
      <c r="I1094" s="23" cm="1">
        <f t="array" ref="I1094">IF(D1094="","",(G1094*C1094)*0.00075)</f>
        <v>6.1702929750000006</v>
      </c>
      <c r="J1094" s="23" cm="1">
        <f t="array" ref="J1094">IF(D1094="","",(G1094*D1094)*0.00075)</f>
        <v>6.1866543749999998</v>
      </c>
      <c r="K1094" s="24" cm="1">
        <f t="array" ref="K1094">IF(D1094="","",J1094+I1094)</f>
        <v>12.35694735</v>
      </c>
      <c r="L1094" s="24" cm="1">
        <f t="array" ref="L1094">IF(D1094=0,0,(D1094-C1094)*G1094)</f>
        <v>21.815200000000019</v>
      </c>
      <c r="M1094" s="25">
        <v>8199.0554456249993</v>
      </c>
      <c r="N1094" s="26" cm="1">
        <f t="array" ref="N1094">IFERROR((K1094-J1094)/J1094,"–")</f>
        <v>0.99735537190082657</v>
      </c>
      <c r="O1094" s="24" cm="1">
        <f t="array" ref="O1094">IF(D1094=0,0,L1094-K1094)</f>
        <v>9.4582526500000181</v>
      </c>
      <c r="P1094" s="23"/>
      <c r="Q1094" s="27"/>
    </row>
    <row r="1095" spans="1:17" ht="22.5" customHeight="1">
      <c r="A1095" s="16" t="s">
        <v>157</v>
      </c>
      <c r="B1095" s="42">
        <v>44495</v>
      </c>
      <c r="C1095" s="36">
        <v>0.5333</v>
      </c>
      <c r="D1095" s="36">
        <v>0.53600000000000003</v>
      </c>
      <c r="E1095" s="30" cm="1">
        <f t="array" ref="E1095">IF(D1095="","",D1095-C1095)</f>
        <v>2.7000000000000357E-3</v>
      </c>
      <c r="F1095" s="31" cm="1">
        <f t="array" ref="F1095">IF(D1095=0,"",(D1095-C1095)/C1095)</f>
        <v>5.0628164260266935E-3</v>
      </c>
      <c r="G1095" s="32">
        <v>15000</v>
      </c>
      <c r="H1095" s="10">
        <v>1</v>
      </c>
      <c r="I1095" s="11" cm="1">
        <f t="array" ref="I1095">IF(D1095="","",(G1095*C1095)*0.00075)</f>
        <v>5.999625</v>
      </c>
      <c r="J1095" s="11" cm="1">
        <f t="array" ref="J1095">IF(D1095="","",(G1095*D1095)*0.00075)</f>
        <v>6.0300000000000011</v>
      </c>
      <c r="K1095" s="33" cm="1">
        <f t="array" ref="K1095">IF(D1095="","",J1095+I1095)</f>
        <v>12.029625000000001</v>
      </c>
      <c r="L1095" s="33" cm="1">
        <f t="array" ref="L1095">IF(D1095=0,0,(D1095-C1095)*G1095)</f>
        <v>40.500000000000533</v>
      </c>
      <c r="M1095" s="12">
        <v>7952.97</v>
      </c>
      <c r="N1095" s="34" cm="1">
        <f t="array" ref="N1095">IFERROR((K1095-J1095)/J1095,"–")</f>
        <v>0.99496268656716402</v>
      </c>
      <c r="O1095" s="33" cm="1">
        <f t="array" ref="O1095">IF(D1095=0,0,L1095-K1095)</f>
        <v>28.47037500000053</v>
      </c>
      <c r="P1095" s="11"/>
      <c r="Q1095" s="35"/>
    </row>
    <row r="1096" spans="1:17" ht="22.5" customHeight="1">
      <c r="A1096" s="16" t="s">
        <v>157</v>
      </c>
      <c r="B1096" s="43">
        <v>44495</v>
      </c>
      <c r="C1096" s="37">
        <v>0.5333</v>
      </c>
      <c r="D1096" s="37">
        <v>0.53500000000000003</v>
      </c>
      <c r="E1096" s="19" cm="1">
        <f t="array" ref="E1096">IF(D1096="","",D1096-C1096)</f>
        <v>1.7000000000000348E-3</v>
      </c>
      <c r="F1096" s="20" cm="1">
        <f t="array" ref="F1096">IF(D1096=0,"",(D1096-C1096)/C1096)</f>
        <v>3.1876992312020154E-3</v>
      </c>
      <c r="G1096" s="21">
        <v>11250</v>
      </c>
      <c r="H1096" s="22">
        <v>1</v>
      </c>
      <c r="I1096" s="23" cm="1">
        <f t="array" ref="I1096">IF(D1096="","",(G1096*C1096)*0.00075)</f>
        <v>4.4997187500000004</v>
      </c>
      <c r="J1096" s="23" cm="1">
        <f t="array" ref="J1096">IF(D1096="","",(G1096*D1096)*0.00075)</f>
        <v>4.5140625000000005</v>
      </c>
      <c r="K1096" s="24" cm="1">
        <f t="array" ref="K1096">IF(D1096="","",J1096+I1096)</f>
        <v>9.013781250000001</v>
      </c>
      <c r="L1096" s="24" cm="1">
        <f t="array" ref="L1096">IF(D1096=0,0,(D1096-C1096)*G1096)</f>
        <v>19.125000000000391</v>
      </c>
      <c r="M1096" s="25">
        <v>5975.9859374999996</v>
      </c>
      <c r="N1096" s="26" cm="1">
        <f t="array" ref="N1096">IFERROR((K1096-J1096)/J1096,"–")</f>
        <v>0.99682242990654202</v>
      </c>
      <c r="O1096" s="24" cm="1">
        <f t="array" ref="O1096">IF(D1096=0,0,L1096-K1096)</f>
        <v>10.11121875000039</v>
      </c>
      <c r="P1096" s="23"/>
      <c r="Q1096" s="27"/>
    </row>
    <row r="1097" spans="1:17" ht="22.5" customHeight="1">
      <c r="A1097" s="16" t="s">
        <v>157</v>
      </c>
      <c r="B1097" s="42">
        <v>44495</v>
      </c>
      <c r="C1097" s="36">
        <v>0.5333</v>
      </c>
      <c r="D1097" s="36">
        <v>0.53549999999999998</v>
      </c>
      <c r="E1097" s="30" cm="1">
        <f t="array" ref="E1097">IF(D1097="","",D1097-C1097)</f>
        <v>2.1999999999999797E-3</v>
      </c>
      <c r="F1097" s="31" cm="1">
        <f t="array" ref="F1097">IF(D1097=0,"",(D1097-C1097)/C1097)</f>
        <v>4.1252578286142504E-3</v>
      </c>
      <c r="G1097" s="32">
        <v>16875</v>
      </c>
      <c r="H1097" s="10">
        <v>1</v>
      </c>
      <c r="I1097" s="11" cm="1">
        <f t="array" ref="I1097">IF(D1097="","",(G1097*C1097)*0.00075)</f>
        <v>6.7495781250000002</v>
      </c>
      <c r="J1097" s="11" cm="1">
        <f t="array" ref="J1097">IF(D1097="","",(G1097*D1097)*0.00075)</f>
        <v>6.7774218749999999</v>
      </c>
      <c r="K1097" s="33" cm="1">
        <f t="array" ref="K1097">IF(D1097="","",J1097+I1097)</f>
        <v>13.527000000000001</v>
      </c>
      <c r="L1097" s="33" cm="1">
        <f t="array" ref="L1097">IF(D1097=0,0,(D1097-C1097)*G1097)</f>
        <v>37.124999999999659</v>
      </c>
      <c r="M1097" s="12">
        <v>8955.5350781249999</v>
      </c>
      <c r="N1097" s="34" cm="1">
        <f t="array" ref="N1097">IFERROR((K1097-J1097)/J1097,"–")</f>
        <v>0.99589169000933719</v>
      </c>
      <c r="O1097" s="33" cm="1">
        <f t="array" ref="O1097">IF(D1097=0,0,L1097-K1097)</f>
        <v>23.597999999999658</v>
      </c>
      <c r="P1097" s="11"/>
      <c r="Q1097" s="35"/>
    </row>
    <row r="1098" spans="1:17" ht="22.5" customHeight="1">
      <c r="A1098" s="16" t="s">
        <v>157</v>
      </c>
      <c r="B1098" s="43">
        <v>44495</v>
      </c>
      <c r="C1098" s="37">
        <v>0.5333</v>
      </c>
      <c r="D1098" s="37">
        <v>0.53659999999999997</v>
      </c>
      <c r="E1098" s="19" cm="1">
        <f t="array" ref="E1098">IF(D1098="","",D1098-C1098)</f>
        <v>3.2999999999999696E-3</v>
      </c>
      <c r="F1098" s="20" cm="1">
        <f t="array" ref="F1098">IF(D1098=0,"",(D1098-C1098)/C1098)</f>
        <v>6.1878867429213755E-3</v>
      </c>
      <c r="G1098" s="21">
        <v>16876</v>
      </c>
      <c r="H1098" s="22">
        <v>1</v>
      </c>
      <c r="I1098" s="23" cm="1">
        <f t="array" ref="I1098">IF(D1098="","",(G1098*C1098)*0.00075)</f>
        <v>6.7499780999999999</v>
      </c>
      <c r="J1098" s="23" cm="1">
        <f t="array" ref="J1098">IF(D1098="","",(G1098*D1098)*0.00075)</f>
        <v>6.7917461999999995</v>
      </c>
      <c r="K1098" s="24" cm="1">
        <f t="array" ref="K1098">IF(D1098="","",J1098+I1098)</f>
        <v>13.541724299999998</v>
      </c>
      <c r="L1098" s="24" cm="1">
        <f t="array" ref="L1098">IF(D1098=0,0,(D1098-C1098)*G1098)</f>
        <v>55.690799999999484</v>
      </c>
      <c r="M1098" s="25">
        <v>8937.4882538000002</v>
      </c>
      <c r="N1098" s="26" cm="1">
        <f t="array" ref="N1098">IFERROR((K1098-J1098)/J1098,"–")</f>
        <v>0.99385016772269841</v>
      </c>
      <c r="O1098" s="24" cm="1">
        <f t="array" ref="O1098">IF(D1098=0,0,L1098-K1098)</f>
        <v>42.149075699999486</v>
      </c>
      <c r="P1098" s="23"/>
      <c r="Q1098" s="27"/>
    </row>
    <row r="1099" spans="1:17" ht="22.5" customHeight="1">
      <c r="A1099" s="16" t="s">
        <v>80</v>
      </c>
      <c r="B1099" s="42">
        <v>44495</v>
      </c>
      <c r="C1099" s="36">
        <v>0.55049999999999999</v>
      </c>
      <c r="D1099" s="36">
        <v>0.55200000000000005</v>
      </c>
      <c r="E1099" s="30" cm="1">
        <f t="array" ref="E1099">IF(D1099="","",D1099-C1099)</f>
        <v>1.5000000000000568E-3</v>
      </c>
      <c r="F1099" s="31" cm="1">
        <f t="array" ref="F1099">IF(D1099=0,"",(D1099-C1099)/C1099)</f>
        <v>2.7247956403270786E-3</v>
      </c>
      <c r="G1099" s="32">
        <v>10887</v>
      </c>
      <c r="H1099" s="10">
        <v>1</v>
      </c>
      <c r="I1099" s="11" cm="1">
        <f t="array" ref="I1099">IF(D1099="","",(G1099*C1099)*0.00075)</f>
        <v>4.494970125</v>
      </c>
      <c r="J1099" s="11" cm="1">
        <f t="array" ref="J1099">IF(D1099="","",(G1099*D1099)*0.00075)</f>
        <v>4.5072180000000008</v>
      </c>
      <c r="K1099" s="33" cm="1">
        <f t="array" ref="K1099">IF(D1099="","",J1099+I1099)</f>
        <v>9.002188125</v>
      </c>
      <c r="L1099" s="33" cm="1">
        <f t="array" ref="L1099">IF(D1099=0,0,(D1099-C1099)*G1099)</f>
        <v>16.330500000000619</v>
      </c>
      <c r="M1099" s="12">
        <v>5972.455782</v>
      </c>
      <c r="N1099" s="34" cm="1">
        <f t="array" ref="N1099">IFERROR((K1099-J1099)/J1099,"–")</f>
        <v>0.99728260869565177</v>
      </c>
      <c r="O1099" s="33" cm="1">
        <f t="array" ref="O1099">IF(D1099=0,0,L1099-K1099)</f>
        <v>7.3283118750006189</v>
      </c>
      <c r="P1099" s="11"/>
      <c r="Q1099" s="35"/>
    </row>
    <row r="1100" spans="1:17" ht="22.5" customHeight="1">
      <c r="A1100" s="16" t="s">
        <v>80</v>
      </c>
      <c r="B1100" s="43">
        <v>44495</v>
      </c>
      <c r="C1100" s="37">
        <v>0.55049999999999999</v>
      </c>
      <c r="D1100" s="37">
        <v>0.55059999999999998</v>
      </c>
      <c r="E1100" s="19" cm="1">
        <f t="array" ref="E1100">IF(D1100="","",D1100-C1100)</f>
        <v>9.9999999999988987E-5</v>
      </c>
      <c r="F1100" s="20" cm="1">
        <f t="array" ref="F1100">IF(D1100=0,"",(D1100-C1100)/C1100)</f>
        <v>1.8165304268844503E-4</v>
      </c>
      <c r="G1100" s="21">
        <v>12248</v>
      </c>
      <c r="H1100" s="22">
        <v>1</v>
      </c>
      <c r="I1100" s="23" cm="1">
        <f t="array" ref="I1100">IF(D1100="","",(G1100*C1100)*0.00075)</f>
        <v>5.0568929999999996</v>
      </c>
      <c r="J1100" s="23" cm="1">
        <f t="array" ref="J1100">IF(D1100="","",(G1100*D1100)*0.00075)</f>
        <v>5.0578116</v>
      </c>
      <c r="K1100" s="24" cm="1">
        <f t="array" ref="K1100">IF(D1100="","",J1100+I1100)</f>
        <v>10.1147046</v>
      </c>
      <c r="L1100" s="24" cm="1">
        <f t="array" ref="L1100">IF(D1100=0,0,(D1100-C1100)*G1100)</f>
        <v>1.2247999999998651</v>
      </c>
      <c r="M1100" s="25">
        <v>6736.2413883999998</v>
      </c>
      <c r="N1100" s="26" cm="1">
        <f t="array" ref="N1100">IFERROR((K1100-J1100)/J1100,"–")</f>
        <v>0.99981837994914635</v>
      </c>
      <c r="O1100" s="24" cm="1">
        <f t="array" ref="O1100">IF(D1100=0,0,L1100-K1100)</f>
        <v>-8.8899046000001345</v>
      </c>
      <c r="P1100" s="23"/>
      <c r="Q1100" s="27"/>
    </row>
    <row r="1101" spans="1:17" ht="22.5" customHeight="1">
      <c r="A1101" s="16" t="s">
        <v>80</v>
      </c>
      <c r="B1101" s="42">
        <v>44495</v>
      </c>
      <c r="C1101" s="36">
        <v>0.55049999999999999</v>
      </c>
      <c r="D1101" s="36">
        <v>0.54900000000000004</v>
      </c>
      <c r="E1101" s="30" cm="1">
        <f t="array" ref="E1101">IF(D1101="","",D1101-C1101)</f>
        <v>-1.4999999999999458E-3</v>
      </c>
      <c r="F1101" s="31" cm="1">
        <f t="array" ref="F1101">IF(D1101=0,"",(D1101-C1101)/C1101)</f>
        <v>-2.7247956403268769E-3</v>
      </c>
      <c r="G1101" s="32">
        <v>17464</v>
      </c>
      <c r="H1101" s="10">
        <v>1</v>
      </c>
      <c r="I1101" s="11" cm="1">
        <f t="array" ref="I1101">IF(D1101="","",(G1101*C1101)*0.00075)</f>
        <v>7.2104490000000006</v>
      </c>
      <c r="J1101" s="11" cm="1">
        <f t="array" ref="J1101">IF(D1101="","",(G1101*D1101)*0.00075)</f>
        <v>7.1908020000000006</v>
      </c>
      <c r="K1101" s="33" cm="1">
        <f t="array" ref="K1101">IF(D1101="","",J1101+I1101)</f>
        <v>14.401251000000002</v>
      </c>
      <c r="L1101" s="33" cm="1">
        <f t="array" ref="L1101">IF(D1101=0,0,(D1101-C1101)*G1101)</f>
        <v>-26.195999999999053</v>
      </c>
      <c r="M1101" s="12">
        <v>9632.9371979999996</v>
      </c>
      <c r="N1101" s="34" cm="1">
        <f t="array" ref="N1101">IFERROR((K1101-J1101)/J1101,"–")</f>
        <v>1.0027322404371586</v>
      </c>
      <c r="O1101" s="33" cm="1">
        <f t="array" ref="O1101">IF(D1101=0,0,L1101-K1101)</f>
        <v>-40.597250999999055</v>
      </c>
      <c r="P1101" s="11"/>
      <c r="Q1101" s="35"/>
    </row>
    <row r="1102" spans="1:17" ht="22.5" customHeight="1">
      <c r="A1102" s="16" t="s">
        <v>80</v>
      </c>
      <c r="B1102" s="43">
        <v>44495</v>
      </c>
      <c r="C1102" s="37">
        <v>0.55049999999999999</v>
      </c>
      <c r="D1102" s="37">
        <v>0.55310000000000004</v>
      </c>
      <c r="E1102" s="19" cm="1">
        <f t="array" ref="E1102">IF(D1102="","",D1102-C1102)</f>
        <v>2.6000000000000467E-3</v>
      </c>
      <c r="F1102" s="20" cm="1">
        <f t="array" ref="F1102">IF(D1102=0,"",(D1102-C1102)/C1102)</f>
        <v>4.7229791099001762E-3</v>
      </c>
      <c r="G1102" s="21">
        <v>17465</v>
      </c>
      <c r="H1102" s="22">
        <v>1</v>
      </c>
      <c r="I1102" s="23" cm="1">
        <f t="array" ref="I1102">IF(D1102="","",(G1102*C1102)*0.00075)</f>
        <v>7.210861875</v>
      </c>
      <c r="J1102" s="23" cm="1">
        <f t="array" ref="J1102">IF(D1102="","",(G1102*D1102)*0.00075)</f>
        <v>7.2449186249999995</v>
      </c>
      <c r="K1102" s="24" cm="1">
        <f t="array" ref="K1102">IF(D1102="","",J1102+I1102)</f>
        <v>14.455780499999999</v>
      </c>
      <c r="L1102" s="24" cm="1">
        <f t="array" ref="L1102">IF(D1102=0,0,(D1102-C1102)*G1102)</f>
        <v>45.409000000000816</v>
      </c>
      <c r="M1102" s="25">
        <v>9561.8285813750008</v>
      </c>
      <c r="N1102" s="26" cm="1">
        <f t="array" ref="N1102">IFERROR((K1102-J1102)/J1102,"–")</f>
        <v>0.99529922256373171</v>
      </c>
      <c r="O1102" s="24" cm="1">
        <f t="array" ref="O1102">IF(D1102=0,0,L1102-K1102)</f>
        <v>30.953219500000817</v>
      </c>
      <c r="P1102" s="23"/>
      <c r="Q1102" s="27"/>
    </row>
    <row r="1103" spans="1:17" ht="22.5" customHeight="1">
      <c r="A1103" s="16" t="s">
        <v>161</v>
      </c>
      <c r="B1103" s="42">
        <v>44495</v>
      </c>
      <c r="C1103" s="36">
        <v>0.01</v>
      </c>
      <c r="D1103" s="36">
        <v>9.9799999999999993E-3</v>
      </c>
      <c r="E1103" s="30" cm="1">
        <f t="array" ref="E1103">IF(D1103="","",D1103-C1103)</f>
        <v>-2.000000000000092E-5</v>
      </c>
      <c r="F1103" s="31" cm="1">
        <f t="array" ref="F1103">IF(D1103=0,"",(D1103-C1103)/C1103)</f>
        <v>-2.000000000000092E-3</v>
      </c>
      <c r="G1103" s="32">
        <v>678917</v>
      </c>
      <c r="H1103" s="10">
        <v>1</v>
      </c>
      <c r="I1103" s="11" cm="1">
        <f t="array" ref="I1103">IF(D1103="","",(G1103*C1103)*0.00075)</f>
        <v>5.0918774999999998</v>
      </c>
      <c r="J1103" s="11" cm="1">
        <f t="array" ref="J1103">IF(D1103="","",(G1103*D1103)*0.00075)</f>
        <v>5.081693744999999</v>
      </c>
      <c r="K1103" s="33" cm="1">
        <f t="array" ref="K1103">IF(D1103="","",J1103+I1103)</f>
        <v>10.173571244999998</v>
      </c>
      <c r="L1103" s="33" cm="1">
        <f t="array" ref="L1103">IF(D1103=0,0,(D1103-C1103)*G1103)</f>
        <v>-13.578340000000624</v>
      </c>
      <c r="M1103" s="12">
        <v>6797.6666462550002</v>
      </c>
      <c r="N1103" s="34" cm="1">
        <f t="array" ref="N1103">IFERROR((K1103-J1103)/J1103,"–")</f>
        <v>1.002004008016032</v>
      </c>
      <c r="O1103" s="33" cm="1">
        <f t="array" ref="O1103">IF(D1103=0,0,L1103-K1103)</f>
        <v>-23.75191124500062</v>
      </c>
      <c r="P1103" s="11"/>
      <c r="Q1103" s="35"/>
    </row>
    <row r="1104" spans="1:17" ht="22.5" customHeight="1">
      <c r="A1104" s="16" t="s">
        <v>161</v>
      </c>
      <c r="B1104" s="43">
        <v>44495</v>
      </c>
      <c r="C1104" s="37">
        <v>0.01</v>
      </c>
      <c r="D1104" s="37">
        <v>9.9710000000000007E-3</v>
      </c>
      <c r="E1104" s="19" cm="1">
        <f t="array" ref="E1104">IF(D1104="","",D1104-C1104)</f>
        <v>-2.8999999999999512E-5</v>
      </c>
      <c r="F1104" s="20" cm="1">
        <f t="array" ref="F1104">IF(D1104=0,"",(D1104-C1104)/C1104)</f>
        <v>-2.8999999999999512E-3</v>
      </c>
      <c r="G1104" s="21">
        <v>2520729</v>
      </c>
      <c r="H1104" s="22">
        <v>1</v>
      </c>
      <c r="I1104" s="23" cm="1">
        <f t="array" ref="I1104">IF(D1104="","",(G1104*C1104)*0.00075)</f>
        <v>18.9054675</v>
      </c>
      <c r="J1104" s="23" cm="1">
        <f t="array" ref="J1104">IF(D1104="","",(G1104*D1104)*0.00075)</f>
        <v>18.85064164425</v>
      </c>
      <c r="K1104" s="24" cm="1">
        <f t="array" ref="K1104">IF(D1104="","",J1104+I1104)</f>
        <v>37.756109144250004</v>
      </c>
      <c r="L1104" s="24" cm="1">
        <f t="array" ref="L1104">IF(D1104=0,0,(D1104-C1104)*G1104)</f>
        <v>-73.101140999998776</v>
      </c>
      <c r="M1104" s="25">
        <v>25261.5404993558</v>
      </c>
      <c r="N1104" s="26" cm="1">
        <f t="array" ref="N1104">IFERROR((K1104-J1104)/J1104,"–")</f>
        <v>1.0029084344599339</v>
      </c>
      <c r="O1104" s="24" cm="1">
        <f t="array" ref="O1104">IF(D1104=0,0,L1104-K1104)</f>
        <v>-110.85725014424878</v>
      </c>
      <c r="P1104" s="23"/>
      <c r="Q1104" s="27"/>
    </row>
    <row r="1105" spans="1:17" ht="22.5" customHeight="1">
      <c r="A1105" s="16" t="s">
        <v>212</v>
      </c>
      <c r="B1105" s="53">
        <v>44497</v>
      </c>
      <c r="C1105" s="36">
        <v>2.8338999999999999</v>
      </c>
      <c r="D1105" s="36">
        <v>2.8414000000000001</v>
      </c>
      <c r="E1105" s="30" cm="1">
        <f t="array" ref="E1105">IF(D1105="","",D1105-C1105)</f>
        <v>7.5000000000002842E-3</v>
      </c>
      <c r="F1105" s="31" cm="1">
        <f t="array" ref="F1105">IF(D1105=0,"",(D1105-C1105)/C1105)</f>
        <v>2.6465295176259871E-3</v>
      </c>
      <c r="G1105" s="32">
        <v>2000</v>
      </c>
      <c r="H1105" s="10">
        <v>1</v>
      </c>
      <c r="I1105" s="11" cm="1">
        <f t="array" ref="I1105">IF(D1105="","",(G1105*C1105)*0.00075)</f>
        <v>4.2508499999999998</v>
      </c>
      <c r="J1105" s="11" cm="1">
        <f t="array" ref="J1105">IF(D1105="","",(G1105*D1105)*0.00075)</f>
        <v>4.2621000000000002</v>
      </c>
      <c r="K1105" s="33" cm="1">
        <f t="array" ref="K1105">IF(D1105="","",J1105+I1105)</f>
        <v>8.51295</v>
      </c>
      <c r="L1105" s="33" cm="1">
        <f t="array" ref="L1105">IF(D1105=0,0,(D1105-C1105)*G1105)</f>
        <v>15.000000000000568</v>
      </c>
      <c r="M1105" s="12">
        <v>5648.5379000000003</v>
      </c>
      <c r="N1105" s="34" cm="1">
        <f t="array" ref="N1105">IFERROR((K1105-J1105)/J1105,"–")</f>
        <v>0.99736045611318358</v>
      </c>
      <c r="O1105" s="33" cm="1">
        <f t="array" ref="O1105">IF(D1105=0,0,L1105-K1105)</f>
        <v>6.4870500000005684</v>
      </c>
      <c r="P1105" s="11"/>
      <c r="Q1105" s="35"/>
    </row>
    <row r="1106" spans="1:17" ht="22.5" customHeight="1">
      <c r="A1106" s="16" t="s">
        <v>157</v>
      </c>
      <c r="B1106" s="52">
        <v>44497</v>
      </c>
      <c r="C1106" s="37">
        <v>0.48720000000000002</v>
      </c>
      <c r="D1106" s="37">
        <v>0.49049999999999999</v>
      </c>
      <c r="E1106" s="19" cm="1">
        <f t="array" ref="E1106">IF(D1106="","",D1106-C1106)</f>
        <v>3.2999999999999696E-3</v>
      </c>
      <c r="F1106" s="20" cm="1">
        <f t="array" ref="F1106">IF(D1106=0,"",(D1106-C1106)/C1106)</f>
        <v>6.7733990147782622E-3</v>
      </c>
      <c r="G1106" s="21">
        <v>14367</v>
      </c>
      <c r="H1106" s="22">
        <v>1</v>
      </c>
      <c r="I1106" s="23" cm="1">
        <f t="array" ref="I1106">IF(D1106="","",(G1106*C1106)*0.00075)</f>
        <v>5.2497018000000004</v>
      </c>
      <c r="J1106" s="23" cm="1">
        <f t="array" ref="J1106">IF(D1106="","",(G1106*D1106)*0.00075)</f>
        <v>5.2852601249999998</v>
      </c>
      <c r="K1106" s="24" cm="1">
        <f t="array" ref="K1106">IF(D1106="","",J1106+I1106)</f>
        <v>10.534961925000001</v>
      </c>
      <c r="L1106" s="24" cm="1">
        <f t="array" ref="L1106">IF(D1106=0,0,(D1106-C1106)*G1106)</f>
        <v>47.411099999999564</v>
      </c>
      <c r="M1106" s="25">
        <v>6946.9060398749998</v>
      </c>
      <c r="N1106" s="26" cm="1">
        <f t="array" ref="N1106">IFERROR((K1106-J1106)/J1106,"–")</f>
        <v>0.99327217125382294</v>
      </c>
      <c r="O1106" s="24" cm="1">
        <f t="array" ref="O1106">IF(D1106=0,0,L1106-K1106)</f>
        <v>36.87613807499956</v>
      </c>
      <c r="P1106" s="23"/>
      <c r="Q1106" s="27"/>
    </row>
    <row r="1107" spans="1:17" ht="22.5" customHeight="1">
      <c r="A1107" s="16" t="s">
        <v>157</v>
      </c>
      <c r="B1107" s="53">
        <v>44497</v>
      </c>
      <c r="C1107" s="36">
        <v>0.48720000000000002</v>
      </c>
      <c r="D1107" s="36">
        <v>0.49180000000000001</v>
      </c>
      <c r="E1107" s="30" cm="1">
        <f t="array" ref="E1107">IF(D1107="","",D1107-C1107)</f>
        <v>4.599999999999993E-3</v>
      </c>
      <c r="F1107" s="31" cm="1">
        <f t="array" ref="F1107">IF(D1107=0,"",(D1107-C1107)/C1107)</f>
        <v>9.4417077175697715E-3</v>
      </c>
      <c r="G1107" s="32">
        <v>10776</v>
      </c>
      <c r="H1107" s="10">
        <v>1</v>
      </c>
      <c r="I1107" s="11" cm="1">
        <f t="array" ref="I1107">IF(D1107="","",(G1107*C1107)*0.00075)</f>
        <v>3.9375504000000006</v>
      </c>
      <c r="J1107" s="11" cm="1">
        <f t="array" ref="J1107">IF(D1107="","",(G1107*D1107)*0.00075)</f>
        <v>3.9747276</v>
      </c>
      <c r="K1107" s="33" cm="1">
        <f t="array" ref="K1107">IF(D1107="","",J1107+I1107)</f>
        <v>7.9122780000000006</v>
      </c>
      <c r="L1107" s="33" cm="1">
        <f t="array" ref="L1107">IF(D1107=0,0,(D1107-C1107)*G1107)</f>
        <v>49.569599999999923</v>
      </c>
      <c r="M1107" s="12">
        <v>5196.5228723999999</v>
      </c>
      <c r="N1107" s="34" cm="1">
        <f t="array" ref="N1107">IFERROR((K1107-J1107)/J1107,"–")</f>
        <v>0.99064660431069551</v>
      </c>
      <c r="O1107" s="33" cm="1">
        <f t="array" ref="O1107">IF(D1107=0,0,L1107-K1107)</f>
        <v>41.657321999999922</v>
      </c>
      <c r="P1107" s="11"/>
      <c r="Q1107" s="35"/>
    </row>
    <row r="1108" spans="1:17" ht="22.5" customHeight="1">
      <c r="A1108" s="16" t="s">
        <v>157</v>
      </c>
      <c r="B1108" s="52">
        <v>44497</v>
      </c>
      <c r="C1108" s="37">
        <v>0.48720000000000002</v>
      </c>
      <c r="D1108" s="37">
        <v>0.49099999999999999</v>
      </c>
      <c r="E1108" s="19" cm="1">
        <f t="array" ref="E1108">IF(D1108="","",D1108-C1108)</f>
        <v>3.7999999999999701E-3</v>
      </c>
      <c r="F1108" s="20" cm="1">
        <f t="array" ref="F1108">IF(D1108=0,"",(D1108-C1108)/C1108)</f>
        <v>7.7996715927749795E-3</v>
      </c>
      <c r="G1108" s="21">
        <v>32328</v>
      </c>
      <c r="H1108" s="22">
        <v>1</v>
      </c>
      <c r="I1108" s="23" cm="1">
        <f t="array" ref="I1108">IF(D1108="","",(G1108*C1108)*0.00075)</f>
        <v>11.812651200000001</v>
      </c>
      <c r="J1108" s="23" cm="1">
        <f t="array" ref="J1108">IF(D1108="","",(G1108*D1108)*0.00075)</f>
        <v>11.904786</v>
      </c>
      <c r="K1108" s="24" cm="1">
        <f t="array" ref="K1108">IF(D1108="","",J1108+I1108)</f>
        <v>23.717437199999999</v>
      </c>
      <c r="L1108" s="24" cm="1">
        <f t="array" ref="L1108">IF(D1108=0,0,(D1108-C1108)*G1108)</f>
        <v>122.84639999999904</v>
      </c>
      <c r="M1108" s="25">
        <v>15615.450414000001</v>
      </c>
      <c r="N1108" s="26" cm="1">
        <f t="array" ref="N1108">IFERROR((K1108-J1108)/J1108,"–")</f>
        <v>0.99226069246435844</v>
      </c>
      <c r="O1108" s="24" cm="1">
        <f t="array" ref="O1108">IF(D1108=0,0,L1108-K1108)</f>
        <v>99.128962799999044</v>
      </c>
      <c r="P1108" s="23"/>
      <c r="Q1108" s="27"/>
    </row>
    <row r="1109" spans="1:17" ht="22.5" customHeight="1">
      <c r="A1109" s="16" t="s">
        <v>15</v>
      </c>
      <c r="B1109" s="53">
        <v>44498</v>
      </c>
      <c r="C1109" s="36">
        <v>4.9799999999999997E-2</v>
      </c>
      <c r="D1109" s="36">
        <v>5.0139999999999997E-2</v>
      </c>
      <c r="E1109" s="30" cm="1">
        <f t="array" ref="E1109">IF(D1109="","",D1109-C1109)</f>
        <v>3.4000000000000002E-4</v>
      </c>
      <c r="F1109" s="31" cm="1">
        <f t="array" ref="F1109">IF(D1109=0,"",(D1109-C1109)/C1109)</f>
        <v>6.8273092369477923E-3</v>
      </c>
      <c r="G1109" s="32">
        <v>250959.3</v>
      </c>
      <c r="H1109" s="10">
        <v>1</v>
      </c>
      <c r="I1109" s="11" cm="1">
        <f t="array" ref="I1109">IF(D1109="","",(G1109*C1109)*0.00075)</f>
        <v>9.3733298549999997</v>
      </c>
      <c r="J1109" s="11" cm="1">
        <f t="array" ref="J1109">IF(D1109="","",(G1109*D1109)*0.00075)</f>
        <v>9.4373244764999988</v>
      </c>
      <c r="K1109" s="33" cm="1">
        <f t="array" ref="K1109">IF(D1109="","",J1109+I1109)</f>
        <v>18.810654331499997</v>
      </c>
      <c r="L1109" s="33" cm="1">
        <f t="array" ref="L1109">IF(D1109=0,0,(D1109-C1109)*G1109)</f>
        <v>85.326161999999997</v>
      </c>
      <c r="M1109" s="12">
        <v>12403.009653523501</v>
      </c>
      <c r="N1109" s="34" cm="1">
        <f t="array" ref="N1109">IFERROR((K1109-J1109)/J1109,"–")</f>
        <v>0.99321898683685672</v>
      </c>
      <c r="O1109" s="33" cm="1">
        <f t="array" ref="O1109">IF(D1109=0,0,L1109-K1109)</f>
        <v>66.515507668499993</v>
      </c>
      <c r="P1109" s="11"/>
      <c r="Q1109" s="35"/>
    </row>
    <row r="1110" spans="1:17" ht="22.5" customHeight="1">
      <c r="A1110" s="16" t="s">
        <v>15</v>
      </c>
      <c r="B1110" s="52">
        <v>44498</v>
      </c>
      <c r="C1110" s="37">
        <v>4.9799999999999997E-2</v>
      </c>
      <c r="D1110" s="37">
        <v>5.0599999999999999E-2</v>
      </c>
      <c r="E1110" s="19" cm="1">
        <f t="array" ref="E1110">IF(D1110="","",D1110-C1110)</f>
        <v>8.000000000000021E-4</v>
      </c>
      <c r="F1110" s="20" cm="1">
        <f t="array" ref="F1110">IF(D1110=0,"",(D1110-C1110)/C1110)</f>
        <v>1.6064257028112493E-2</v>
      </c>
      <c r="G1110" s="21">
        <v>50288.3</v>
      </c>
      <c r="H1110" s="22">
        <v>1</v>
      </c>
      <c r="I1110" s="23" cm="1">
        <f t="array" ref="I1110">IF(D1110="","",(G1110*C1110)*0.00075)</f>
        <v>1.878268005</v>
      </c>
      <c r="J1110" s="23" cm="1">
        <f t="array" ref="J1110">IF(D1110="","",(G1110*D1110)*0.00075)</f>
        <v>1.9084409850000001</v>
      </c>
      <c r="K1110" s="24" cm="1">
        <f t="array" ref="K1110">IF(D1110="","",J1110+I1110)</f>
        <v>3.7867089900000002</v>
      </c>
      <c r="L1110" s="24" cm="1">
        <f t="array" ref="L1110">IF(D1110=0,0,(D1110-C1110)*G1110)</f>
        <v>40.230640000000108</v>
      </c>
      <c r="M1110" s="25">
        <v>2462.2182590150001</v>
      </c>
      <c r="N1110" s="26" cm="1">
        <f t="array" ref="N1110">IFERROR((K1110-J1110)/J1110,"–")</f>
        <v>0.98418972332015808</v>
      </c>
      <c r="O1110" s="24" cm="1">
        <f t="array" ref="O1110">IF(D1110=0,0,L1110-K1110)</f>
        <v>36.443931010000107</v>
      </c>
      <c r="P1110" s="23"/>
      <c r="Q1110" s="27"/>
    </row>
    <row r="1111" spans="1:17" ht="22.5" customHeight="1">
      <c r="A1111" s="16" t="s">
        <v>15</v>
      </c>
      <c r="B1111" s="53">
        <v>44498</v>
      </c>
      <c r="C1111" s="36">
        <v>4.9799999999999997E-2</v>
      </c>
      <c r="D1111" s="36">
        <v>5.0599999999999999E-2</v>
      </c>
      <c r="E1111" s="30" cm="1">
        <f t="array" ref="E1111">IF(D1111="","",D1111-C1111)</f>
        <v>8.000000000000021E-4</v>
      </c>
      <c r="F1111" s="31" cm="1">
        <f t="array" ref="F1111">IF(D1111=0,"",(D1111-C1111)/C1111)</f>
        <v>1.6064257028112493E-2</v>
      </c>
      <c r="G1111" s="32">
        <v>125479.6</v>
      </c>
      <c r="H1111" s="10">
        <v>1</v>
      </c>
      <c r="I1111" s="11" cm="1">
        <f t="array" ref="I1111">IF(D1111="","",(G1111*C1111)*0.00075)</f>
        <v>4.6866630599999999</v>
      </c>
      <c r="J1111" s="11" cm="1">
        <f t="array" ref="J1111">IF(D1111="","",(G1111*D1111)*0.00075)</f>
        <v>4.7619508200000009</v>
      </c>
      <c r="K1111" s="33" cm="1">
        <f t="array" ref="K1111">IF(D1111="","",J1111+I1111)</f>
        <v>9.4486138799999999</v>
      </c>
      <c r="L1111" s="33" cm="1">
        <f t="array" ref="L1111">IF(D1111=0,0,(D1111-C1111)*G1111)</f>
        <v>100.38368000000027</v>
      </c>
      <c r="M1111" s="12">
        <v>6143.7384491800003</v>
      </c>
      <c r="N1111" s="34" cm="1">
        <f t="array" ref="N1111">IFERROR((K1111-J1111)/J1111,"–")</f>
        <v>0.98418972332015775</v>
      </c>
      <c r="O1111" s="33" cm="1">
        <f t="array" ref="O1111">IF(D1111=0,0,L1111-K1111)</f>
        <v>90.935066120000272</v>
      </c>
      <c r="P1111" s="11"/>
      <c r="Q1111" s="35"/>
    </row>
    <row r="1112" spans="1:17" ht="22.5" customHeight="1">
      <c r="A1112" s="16" t="s">
        <v>15</v>
      </c>
      <c r="B1112" s="52">
        <v>44498</v>
      </c>
      <c r="C1112" s="37">
        <v>4.9799999999999997E-2</v>
      </c>
      <c r="D1112" s="37">
        <v>4.965E-2</v>
      </c>
      <c r="E1112" s="19" cm="1">
        <f t="array" ref="E1112">IF(D1112="","",D1112-C1112)</f>
        <v>-1.4999999999999736E-4</v>
      </c>
      <c r="F1112" s="20" cm="1">
        <f t="array" ref="F1112">IF(D1112=0,"",(D1112-C1112)/C1112)</f>
        <v>-3.0120481927710316E-3</v>
      </c>
      <c r="G1112" s="21">
        <v>75191.399999999994</v>
      </c>
      <c r="H1112" s="22">
        <v>1</v>
      </c>
      <c r="I1112" s="23" cm="1">
        <f t="array" ref="I1112">IF(D1112="","",(G1112*C1112)*0.00075)</f>
        <v>2.8083987899999996</v>
      </c>
      <c r="J1112" s="23" cm="1">
        <f t="array" ref="J1112">IF(D1112="","",(G1112*D1112)*0.00075)</f>
        <v>2.7999397574999998</v>
      </c>
      <c r="K1112" s="24" cm="1">
        <f t="array" ref="K1112">IF(D1112="","",J1112+I1112)</f>
        <v>5.6083385474999989</v>
      </c>
      <c r="L1112" s="24" cm="1">
        <f t="array" ref="L1112">IF(D1112=0,0,(D1112-C1112)*G1112)</f>
        <v>-11.278709999999801</v>
      </c>
      <c r="M1112" s="25">
        <v>3753.0104902425001</v>
      </c>
      <c r="N1112" s="26" cm="1">
        <f t="array" ref="N1112">IFERROR((K1112-J1112)/J1112,"–")</f>
        <v>1.0030211480362536</v>
      </c>
      <c r="O1112" s="24" cm="1">
        <f t="array" ref="O1112">IF(D1112=0,0,L1112-K1112)</f>
        <v>-16.887048547499802</v>
      </c>
      <c r="P1112" s="23"/>
      <c r="Q1112" s="27"/>
    </row>
    <row r="1113" spans="1:17" ht="22.5" customHeight="1">
      <c r="A1113" s="16" t="s">
        <v>167</v>
      </c>
      <c r="B1113" s="42">
        <v>44498</v>
      </c>
      <c r="C1113" s="36">
        <v>13.356999999999999</v>
      </c>
      <c r="D1113" s="36">
        <v>13.375</v>
      </c>
      <c r="E1113" s="30" cm="1">
        <f t="array" ref="E1113">IF(D1113="","",D1113-C1113)</f>
        <v>1.8000000000000682E-2</v>
      </c>
      <c r="F1113" s="31" cm="1">
        <f t="array" ref="F1113">IF(D1113=0,"",(D1113-C1113)/C1113)</f>
        <v>1.3476079958074929E-3</v>
      </c>
      <c r="G1113" s="32">
        <v>467.8</v>
      </c>
      <c r="H1113" s="10">
        <v>1</v>
      </c>
      <c r="I1113" s="11" cm="1">
        <f t="array" ref="I1113">IF(D1113="","",(G1113*C1113)*0.00075)</f>
        <v>4.6863034499999996</v>
      </c>
      <c r="J1113" s="11" cm="1">
        <f t="array" ref="J1113">IF(D1113="","",(G1113*D1113)*0.00075)</f>
        <v>4.6926187500000003</v>
      </c>
      <c r="K1113" s="33" cm="1">
        <f t="array" ref="K1113">IF(D1113="","",J1113+I1113)</f>
        <v>9.3789221999999999</v>
      </c>
      <c r="L1113" s="33" cm="1">
        <f t="array" ref="L1113">IF(D1113=0,0,(D1113-C1113)*G1113)</f>
        <v>8.4204000000003187</v>
      </c>
      <c r="M1113" s="12">
        <v>6235.2915812499996</v>
      </c>
      <c r="N1113" s="34" cm="1">
        <f t="array" ref="N1113">IFERROR((K1113-J1113)/J1113,"–")</f>
        <v>0.99865420560747653</v>
      </c>
      <c r="O1113" s="33" cm="1">
        <f t="array" ref="O1113">IF(D1113=0,0,L1113-K1113)</f>
        <v>-0.95852219999968113</v>
      </c>
      <c r="P1113" s="11"/>
      <c r="Q1113" s="35"/>
    </row>
    <row r="1114" spans="1:17" ht="22.5" customHeight="1">
      <c r="A1114" s="16" t="s">
        <v>167</v>
      </c>
      <c r="B1114" s="43">
        <v>44498</v>
      </c>
      <c r="C1114" s="37">
        <v>13.356999999999999</v>
      </c>
      <c r="D1114" s="37">
        <v>13.39</v>
      </c>
      <c r="E1114" s="19" cm="1">
        <f t="array" ref="E1114">IF(D1114="","",D1114-C1114)</f>
        <v>3.3000000000001251E-2</v>
      </c>
      <c r="F1114" s="20" cm="1">
        <f t="array" ref="F1114">IF(D1114=0,"",(D1114-C1114)/C1114)</f>
        <v>2.4706146589804035E-3</v>
      </c>
      <c r="G1114" s="21">
        <v>350.9</v>
      </c>
      <c r="H1114" s="22">
        <v>1</v>
      </c>
      <c r="I1114" s="23" cm="1">
        <f t="array" ref="I1114">IF(D1114="","",(G1114*C1114)*0.00075)</f>
        <v>3.5152284749999994</v>
      </c>
      <c r="J1114" s="23" cm="1">
        <f t="array" ref="J1114">IF(D1114="","",(G1114*D1114)*0.00075)</f>
        <v>3.5239132499999997</v>
      </c>
      <c r="K1114" s="24" cm="1">
        <f t="array" ref="K1114">IF(D1114="","",J1114+I1114)</f>
        <v>7.0391417249999986</v>
      </c>
      <c r="L1114" s="24" cm="1">
        <f t="array" ref="L1114">IF(D1114=0,0,(D1114-C1114)*G1114)</f>
        <v>11.579700000000438</v>
      </c>
      <c r="M1114" s="25">
        <v>4671.8676867499998</v>
      </c>
      <c r="N1114" s="26" cm="1">
        <f t="array" ref="N1114">IFERROR((K1114-J1114)/J1114,"–")</f>
        <v>0.99753547423450317</v>
      </c>
      <c r="O1114" s="24" cm="1">
        <f t="array" ref="O1114">IF(D1114=0,0,L1114-K1114)</f>
        <v>4.5405582750004392</v>
      </c>
      <c r="P1114" s="23"/>
      <c r="Q1114" s="27"/>
    </row>
    <row r="1115" spans="1:17" ht="22.5" customHeight="1">
      <c r="A1115" s="16" t="s">
        <v>167</v>
      </c>
      <c r="B1115" s="42">
        <v>44498</v>
      </c>
      <c r="C1115" s="36">
        <v>13.356999999999999</v>
      </c>
      <c r="D1115" s="36">
        <v>13.389200000000001</v>
      </c>
      <c r="E1115" s="30" cm="1">
        <f t="array" ref="E1115">IF(D1115="","",D1115-C1115)</f>
        <v>3.2200000000001339E-2</v>
      </c>
      <c r="F1115" s="31" cm="1">
        <f t="array" ref="F1115">IF(D1115=0,"",(D1115-C1115)/C1115)</f>
        <v>2.4107209702778575E-3</v>
      </c>
      <c r="G1115" s="32">
        <v>526.4</v>
      </c>
      <c r="H1115" s="10">
        <v>1</v>
      </c>
      <c r="I1115" s="11" cm="1">
        <f t="array" ref="I1115">IF(D1115="","",(G1115*C1115)*0.00075)</f>
        <v>5.2733435999999996</v>
      </c>
      <c r="J1115" s="11" cm="1">
        <f t="array" ref="J1115">IF(D1115="","",(G1115*D1115)*0.00075)</f>
        <v>5.2860561600000002</v>
      </c>
      <c r="K1115" s="33" cm="1">
        <f t="array" ref="K1115">IF(D1115="","",J1115+I1115)</f>
        <v>10.55939976</v>
      </c>
      <c r="L1115" s="33" cm="1">
        <f t="array" ref="L1115">IF(D1115=0,0,(D1115-C1115)*G1115)</f>
        <v>16.950080000000703</v>
      </c>
      <c r="M1115" s="12">
        <v>7008.8886638399999</v>
      </c>
      <c r="N1115" s="34" cm="1">
        <f t="array" ref="N1115">IFERROR((K1115-J1115)/J1115,"–")</f>
        <v>0.99759507662892466</v>
      </c>
      <c r="O1115" s="33" cm="1">
        <f t="array" ref="O1115">IF(D1115=0,0,L1115-K1115)</f>
        <v>6.3906802400007034</v>
      </c>
      <c r="P1115" s="11"/>
      <c r="Q1115" s="35"/>
    </row>
    <row r="1116" spans="1:17" ht="22.5" customHeight="1">
      <c r="A1116" s="16" t="s">
        <v>167</v>
      </c>
      <c r="B1116" s="43">
        <v>44498</v>
      </c>
      <c r="C1116" s="37">
        <v>13.356999999999999</v>
      </c>
      <c r="D1116" s="37">
        <v>13.414999999999999</v>
      </c>
      <c r="E1116" s="19" cm="1">
        <f t="array" ref="E1116">IF(D1116="","",D1116-C1116)</f>
        <v>5.7999999999999829E-2</v>
      </c>
      <c r="F1116" s="20" cm="1">
        <f t="array" ref="F1116">IF(D1116=0,"",(D1116-C1116)/C1116)</f>
        <v>4.3422924309350778E-3</v>
      </c>
      <c r="G1116" s="21">
        <v>526.4</v>
      </c>
      <c r="H1116" s="22">
        <v>1</v>
      </c>
      <c r="I1116" s="23" cm="1">
        <f t="array" ref="I1116">IF(D1116="","",(G1116*C1116)*0.00075)</f>
        <v>5.2733435999999996</v>
      </c>
      <c r="J1116" s="23" cm="1">
        <f t="array" ref="J1116">IF(D1116="","",(G1116*D1116)*0.00075)</f>
        <v>5.2962419999999995</v>
      </c>
      <c r="K1116" s="24" cm="1">
        <f t="array" ref="K1116">IF(D1116="","",J1116+I1116)</f>
        <v>10.5695856</v>
      </c>
      <c r="L1116" s="24" cm="1">
        <f t="array" ref="L1116">IF(D1116=0,0,(D1116-C1116)*G1116)</f>
        <v>30.53119999999991</v>
      </c>
      <c r="M1116" s="25">
        <v>6995.2973579999998</v>
      </c>
      <c r="N1116" s="26" cm="1">
        <f t="array" ref="N1116">IFERROR((K1116-J1116)/J1116,"–")</f>
        <v>0.99567648155050337</v>
      </c>
      <c r="O1116" s="24" cm="1">
        <f t="array" ref="O1116">IF(D1116=0,0,L1116-K1116)</f>
        <v>19.96161439999991</v>
      </c>
      <c r="P1116" s="23"/>
      <c r="Q1116" s="27"/>
    </row>
    <row r="1117" spans="1:17" ht="22.5" customHeight="1">
      <c r="A1117" s="16" t="s">
        <v>30</v>
      </c>
      <c r="B1117" s="42">
        <v>44498</v>
      </c>
      <c r="C1117" s="36">
        <v>62557.65</v>
      </c>
      <c r="D1117" s="36">
        <v>62582.58</v>
      </c>
      <c r="E1117" s="30" cm="1">
        <f t="array" ref="E1117">IF(D1117="","",D1117-C1117)</f>
        <v>24.930000000000291</v>
      </c>
      <c r="F1117" s="31" cm="1">
        <f t="array" ref="F1117">IF(D1117=0,"",(D1117-C1117)/C1117)</f>
        <v>3.9851241215103651E-4</v>
      </c>
      <c r="G1117" s="32">
        <v>0.19982</v>
      </c>
      <c r="H1117" s="10">
        <v>1</v>
      </c>
      <c r="I1117" s="11" cm="1">
        <f t="array" ref="I1117">IF(D1117="","",(G1117*C1117)*0.00075)</f>
        <v>9.3752022172500009</v>
      </c>
      <c r="J1117" s="11" cm="1">
        <f t="array" ref="J1117">IF(D1117="","",(G1117*D1117)*0.00075)</f>
        <v>9.3789383517000005</v>
      </c>
      <c r="K1117" s="33" cm="1">
        <f t="array" ref="K1117">IF(D1117="","",J1117+I1117)</f>
        <v>18.75414056895</v>
      </c>
      <c r="L1117" s="33" cm="1">
        <f t="array" ref="L1117">IF(D1117=0,0,(D1117-C1117)*G1117)</f>
        <v>4.981512600000058</v>
      </c>
      <c r="M1117" s="12">
        <v>12485.909172048299</v>
      </c>
      <c r="N1117" s="34" cm="1">
        <f t="array" ref="N1117">IFERROR((K1117-J1117)/J1117,"–")</f>
        <v>0.9996016463367281</v>
      </c>
      <c r="O1117" s="33" cm="1">
        <f t="array" ref="O1117">IF(D1117=0,0,L1117-K1117)</f>
        <v>-13.772627968949941</v>
      </c>
      <c r="P1117" s="11"/>
      <c r="Q1117" s="35"/>
    </row>
    <row r="1118" spans="1:17" ht="22.5" customHeight="1">
      <c r="A1118" s="16" t="s">
        <v>30</v>
      </c>
      <c r="B1118" s="43">
        <v>44498</v>
      </c>
      <c r="C1118" s="37">
        <v>62557.65</v>
      </c>
      <c r="D1118" s="37">
        <v>62557</v>
      </c>
      <c r="E1118" s="19" cm="1">
        <f t="array" ref="E1118">IF(D1118="","",D1118-C1118)</f>
        <v>-0.65000000000145519</v>
      </c>
      <c r="F1118" s="20" cm="1">
        <f t="array" ref="F1118">IF(D1118=0,"",(D1118-C1118)/C1118)</f>
        <v>-1.0390415880415187E-5</v>
      </c>
      <c r="G1118" s="21">
        <v>0.19982</v>
      </c>
      <c r="H1118" s="22">
        <v>1</v>
      </c>
      <c r="I1118" s="23" cm="1">
        <f t="array" ref="I1118">IF(D1118="","",(G1118*C1118)*0.00075)</f>
        <v>9.3752022172500009</v>
      </c>
      <c r="J1118" s="23" cm="1">
        <f t="array" ref="J1118">IF(D1118="","",(G1118*D1118)*0.00075)</f>
        <v>9.3751048050000012</v>
      </c>
      <c r="K1118" s="24" cm="1">
        <f t="array" ref="K1118">IF(D1118="","",J1118+I1118)</f>
        <v>18.750307022250002</v>
      </c>
      <c r="L1118" s="24" cm="1">
        <f t="array" ref="L1118">IF(D1118=0,0,(D1118-C1118)*G1118)</f>
        <v>-0.12988300000029077</v>
      </c>
      <c r="M1118" s="25">
        <v>12491.024401195</v>
      </c>
      <c r="N1118" s="26" cm="1">
        <f t="array" ref="N1118">IFERROR((K1118-J1118)/J1118,"–")</f>
        <v>1.0000103905238422</v>
      </c>
      <c r="O1118" s="24" cm="1">
        <f t="array" ref="O1118">IF(D1118=0,0,L1118-K1118)</f>
        <v>-18.880190022250293</v>
      </c>
      <c r="P1118" s="23"/>
      <c r="Q1118" s="27"/>
    </row>
    <row r="1119" spans="1:17" ht="22.5" customHeight="1">
      <c r="A1119" s="16" t="s">
        <v>100</v>
      </c>
      <c r="B1119" s="42">
        <v>44498</v>
      </c>
      <c r="C1119" s="36">
        <v>0.96289999999999998</v>
      </c>
      <c r="D1119" s="36">
        <v>0.96</v>
      </c>
      <c r="E1119" s="30" cm="1">
        <f t="array" ref="E1119">IF(D1119="","",D1119-C1119)</f>
        <v>-2.9000000000000137E-3</v>
      </c>
      <c r="F1119" s="31" cm="1">
        <f t="array" ref="F1119">IF(D1119=0,"",(D1119-C1119)/C1119)</f>
        <v>-3.0117353826981138E-3</v>
      </c>
      <c r="G1119" s="32">
        <v>2596</v>
      </c>
      <c r="H1119" s="10">
        <v>1</v>
      </c>
      <c r="I1119" s="11" cm="1">
        <f t="array" ref="I1119">IF(D1119="","",(G1119*C1119)*0.00075)</f>
        <v>1.8747663000000001</v>
      </c>
      <c r="J1119" s="11" cm="1">
        <f t="array" ref="J1119">IF(D1119="","",(G1119*D1119)*0.00075)</f>
        <v>1.8691199999999999</v>
      </c>
      <c r="K1119" s="33" cm="1">
        <f t="array" ref="K1119">IF(D1119="","",J1119+I1119)</f>
        <v>3.7438862999999998</v>
      </c>
      <c r="L1119" s="33" cm="1">
        <f t="array" ref="L1119">IF(D1119=0,0,(D1119-C1119)*G1119)</f>
        <v>-7.5284000000000351</v>
      </c>
      <c r="M1119" s="12">
        <v>2505.3476799999999</v>
      </c>
      <c r="N1119" s="34" cm="1">
        <f t="array" ref="N1119">IFERROR((K1119-J1119)/J1119,"–")</f>
        <v>1.0030208333333333</v>
      </c>
      <c r="O1119" s="33" cm="1">
        <f t="array" ref="O1119">IF(D1119=0,0,L1119-K1119)</f>
        <v>-11.272286300000035</v>
      </c>
      <c r="P1119" s="11"/>
      <c r="Q1119" s="35"/>
    </row>
    <row r="1120" spans="1:17" ht="22.5" customHeight="1">
      <c r="A1120" s="16" t="s">
        <v>20</v>
      </c>
      <c r="B1120" s="43">
        <v>44498</v>
      </c>
      <c r="C1120" s="37">
        <v>3.2989999999999998E-2</v>
      </c>
      <c r="D1120" s="37">
        <v>3.3020000000000001E-2</v>
      </c>
      <c r="E1120" s="19" cm="1">
        <f t="array" ref="E1120">IF(D1120="","",D1120-C1120)</f>
        <v>3.0000000000002247E-5</v>
      </c>
      <c r="F1120" s="20" cm="1">
        <f t="array" ref="F1120">IF(D1120=0,"",(D1120-C1120)/C1120)</f>
        <v>9.0936647468936799E-4</v>
      </c>
      <c r="G1120" s="21">
        <v>757701</v>
      </c>
      <c r="H1120" s="22">
        <v>1</v>
      </c>
      <c r="I1120" s="23" cm="1">
        <f t="array" ref="I1120">IF(D1120="","",(G1120*C1120)*0.00075)</f>
        <v>18.7474169925</v>
      </c>
      <c r="J1120" s="23" cm="1">
        <f t="array" ref="J1120">IF(D1120="","",(G1120*D1120)*0.00075)</f>
        <v>18.764465265000002</v>
      </c>
      <c r="K1120" s="24" cm="1">
        <f t="array" ref="K1120">IF(D1120="","",J1120+I1120)</f>
        <v>37.511882257500005</v>
      </c>
      <c r="L1120" s="24" cm="1">
        <f t="array" ref="L1120">IF(D1120=0,0,(D1120-C1120)*G1120)</f>
        <v>22.731030000001702</v>
      </c>
      <c r="M1120" s="25">
        <v>24955.060494735</v>
      </c>
      <c r="N1120" s="26" cm="1">
        <f t="array" ref="N1120">IFERROR((K1120-J1120)/J1120,"–")</f>
        <v>0.99909145972138103</v>
      </c>
      <c r="O1120" s="24" cm="1">
        <f t="array" ref="O1120">IF(D1120=0,0,L1120-K1120)</f>
        <v>-14.780852257498303</v>
      </c>
      <c r="P1120" s="23"/>
      <c r="Q1120" s="27"/>
    </row>
    <row r="1121" spans="1:17" ht="22.5" customHeight="1">
      <c r="A1121" s="16" t="s">
        <v>95</v>
      </c>
      <c r="B1121" s="42">
        <v>44498</v>
      </c>
      <c r="C1121" s="36">
        <v>0.21803</v>
      </c>
      <c r="D1121" s="36">
        <v>0.2185</v>
      </c>
      <c r="E1121" s="30" cm="1">
        <f t="array" ref="E1121">IF(D1121="","",D1121-C1121)</f>
        <v>4.699999999999982E-4</v>
      </c>
      <c r="F1121" s="31" cm="1">
        <f t="array" ref="F1121">IF(D1121=0,"",(D1121-C1121)/C1121)</f>
        <v>2.1556666513782422E-3</v>
      </c>
      <c r="G1121" s="32">
        <v>57331</v>
      </c>
      <c r="H1121" s="10">
        <v>1</v>
      </c>
      <c r="I1121" s="11" cm="1">
        <f t="array" ref="I1121">IF(D1121="","",(G1121*C1121)*0.00075)</f>
        <v>9.3749084475000011</v>
      </c>
      <c r="J1121" s="11" cm="1">
        <f t="array" ref="J1121">IF(D1121="","",(G1121*D1121)*0.00075)</f>
        <v>9.395117625000001</v>
      </c>
      <c r="K1121" s="33" cm="1">
        <f t="array" ref="K1121">IF(D1121="","",J1121+I1121)</f>
        <v>18.770026072500002</v>
      </c>
      <c r="L1121" s="33" cm="1">
        <f t="array" ref="L1121">IF(D1121=0,0,(D1121-C1121)*G1121)</f>
        <v>26.945569999999897</v>
      </c>
      <c r="M1121" s="12">
        <v>12463.537242375</v>
      </c>
      <c r="N1121" s="34" cm="1">
        <f t="array" ref="N1121">IFERROR((K1121-J1121)/J1121,"–")</f>
        <v>0.99784897025171626</v>
      </c>
      <c r="O1121" s="33" cm="1">
        <f t="array" ref="O1121">IF(D1121=0,0,L1121-K1121)</f>
        <v>8.1755439274998949</v>
      </c>
      <c r="P1121" s="11"/>
      <c r="Q1121" s="35"/>
    </row>
    <row r="1122" spans="1:17" ht="22.5" customHeight="1">
      <c r="A1122" s="16" t="s">
        <v>95</v>
      </c>
      <c r="B1122" s="43">
        <v>44498</v>
      </c>
      <c r="C1122" s="37">
        <v>0.21803</v>
      </c>
      <c r="D1122" s="37">
        <v>0.21840000000000001</v>
      </c>
      <c r="E1122" s="19" cm="1">
        <f t="array" ref="E1122">IF(D1122="","",D1122-C1122)</f>
        <v>3.7000000000000921E-4</v>
      </c>
      <c r="F1122" s="20" cm="1">
        <f t="array" ref="F1122">IF(D1122=0,"",(D1122-C1122)/C1122)</f>
        <v>1.6970141723616438E-3</v>
      </c>
      <c r="G1122" s="21">
        <v>12017</v>
      </c>
      <c r="H1122" s="22">
        <v>1</v>
      </c>
      <c r="I1122" s="23" cm="1">
        <f t="array" ref="I1122">IF(D1122="","",(G1122*C1122)*0.00075)</f>
        <v>1.9650498825</v>
      </c>
      <c r="J1122" s="23" cm="1">
        <f t="array" ref="J1122">IF(D1122="","",(G1122*D1122)*0.00075)</f>
        <v>1.9683846</v>
      </c>
      <c r="K1122" s="24" cm="1">
        <f t="array" ref="K1122">IF(D1122="","",J1122+I1122)</f>
        <v>3.9334344825000001</v>
      </c>
      <c r="L1122" s="24" cm="1">
        <f t="array" ref="L1122">IF(D1122=0,0,(D1122-C1122)*G1122)</f>
        <v>4.4462900000001104</v>
      </c>
      <c r="M1122" s="25">
        <v>2613.6518354</v>
      </c>
      <c r="N1122" s="26" cm="1">
        <f t="array" ref="N1122">IFERROR((K1122-J1122)/J1122,"–")</f>
        <v>0.99830586080586081</v>
      </c>
      <c r="O1122" s="24" cm="1">
        <f t="array" ref="O1122">IF(D1122=0,0,L1122-K1122)</f>
        <v>0.51285551750011038</v>
      </c>
      <c r="P1122" s="23"/>
      <c r="Q1122" s="27"/>
    </row>
    <row r="1123" spans="1:17" ht="22.5" customHeight="1">
      <c r="A1123" s="16" t="s">
        <v>95</v>
      </c>
      <c r="B1123" s="42">
        <v>44498</v>
      </c>
      <c r="C1123" s="36">
        <v>0.21803</v>
      </c>
      <c r="D1123" s="36">
        <v>0.2175</v>
      </c>
      <c r="E1123" s="30" cm="1">
        <f t="array" ref="E1123">IF(D1123="","",D1123-C1123)</f>
        <v>-5.3000000000000269E-4</v>
      </c>
      <c r="F1123" s="31" cm="1">
        <f t="array" ref="F1123">IF(D1123=0,"",(D1123-C1123)/C1123)</f>
        <v>-2.4308581387882523E-3</v>
      </c>
      <c r="G1123" s="32">
        <v>45314</v>
      </c>
      <c r="H1123" s="10">
        <v>1</v>
      </c>
      <c r="I1123" s="11" cm="1">
        <f t="array" ref="I1123">IF(D1123="","",(G1123*C1123)*0.00075)</f>
        <v>7.4098585650000004</v>
      </c>
      <c r="J1123" s="11" cm="1">
        <f t="array" ref="J1123">IF(D1123="","",(G1123*D1123)*0.00075)</f>
        <v>7.3918462500000004</v>
      </c>
      <c r="K1123" s="33" cm="1">
        <f t="array" ref="K1123">IF(D1123="","",J1123+I1123)</f>
        <v>14.801704815000001</v>
      </c>
      <c r="L1123" s="33" cm="1">
        <f t="array" ref="L1123">IF(D1123=0,0,(D1123-C1123)*G1123)</f>
        <v>-24.016420000000121</v>
      </c>
      <c r="M1123" s="12">
        <v>9896.4359937499994</v>
      </c>
      <c r="N1123" s="34" cm="1">
        <f t="array" ref="N1123">IFERROR((K1123-J1123)/J1123,"–")</f>
        <v>1.0024367816091955</v>
      </c>
      <c r="O1123" s="33" cm="1">
        <f t="array" ref="O1123">IF(D1123=0,0,L1123-K1123)</f>
        <v>-38.818124815000118</v>
      </c>
      <c r="P1123" s="11"/>
      <c r="Q1123" s="35"/>
    </row>
    <row r="1124" spans="1:17" ht="22.5" customHeight="1">
      <c r="A1124" s="16" t="s">
        <v>143</v>
      </c>
      <c r="B1124" s="43">
        <v>409741</v>
      </c>
      <c r="C1124" s="37">
        <v>4.22</v>
      </c>
      <c r="D1124" s="37">
        <v>4.3099999999999996</v>
      </c>
      <c r="E1124" s="19" cm="1">
        <f t="array" ref="E1124">IF(D1124="","",D1124-C1124)</f>
        <v>8.9999999999999858E-2</v>
      </c>
      <c r="F1124" s="20" cm="1">
        <f t="array" ref="F1124">IF(D1124=0,"",(D1124-C1124)/C1124)</f>
        <v>2.1327014218009446E-2</v>
      </c>
      <c r="G1124" s="21">
        <v>2000</v>
      </c>
      <c r="H1124" s="22">
        <v>1</v>
      </c>
      <c r="I1124" s="23" cm="1">
        <f t="array" ref="I1124">IF(D1124="","",(G1124*C1124)*0.00075)</f>
        <v>6.33</v>
      </c>
      <c r="J1124" s="23" cm="1">
        <f t="array" ref="J1124">IF(D1124="","",(G1124*D1124)*0.00075)</f>
        <v>6.4649999999999999</v>
      </c>
      <c r="K1124" s="24" cm="1">
        <f t="array" ref="K1124">IF(D1124="","",J1124+I1124)</f>
        <v>12.795</v>
      </c>
      <c r="L1124" s="24" cm="1">
        <f t="array" ref="L1124">IF(D1124=0,0,(D1124-C1124)*G1124)</f>
        <v>179.99999999999972</v>
      </c>
      <c r="M1124" s="25">
        <v>8253.5349999999999</v>
      </c>
      <c r="N1124" s="26" cm="1">
        <f t="array" ref="N1124">IFERROR((K1124-J1124)/J1124,"–")</f>
        <v>0.97911832946635735</v>
      </c>
      <c r="O1124" s="24" cm="1">
        <f t="array" ref="O1124">IF(D1124=0,0,L1124-K1124)</f>
        <v>167.20499999999973</v>
      </c>
      <c r="P1124" s="23"/>
      <c r="Q1124" s="27"/>
    </row>
    <row r="1125" spans="1:17" ht="22.5" customHeight="1">
      <c r="A1125" s="16" t="s">
        <v>95</v>
      </c>
      <c r="B1125" s="42">
        <v>44499</v>
      </c>
      <c r="C1125" s="36">
        <v>0.22989999999999999</v>
      </c>
      <c r="D1125" s="36">
        <v>0.23050000000000001</v>
      </c>
      <c r="E1125" s="30" cm="1">
        <f t="array" ref="E1125">IF(D1125="","",D1125-C1125)</f>
        <v>6.0000000000001719E-4</v>
      </c>
      <c r="F1125" s="31" cm="1">
        <f t="array" ref="F1125">IF(D1125=0,"",(D1125-C1125)/C1125)</f>
        <v>2.609830361026608E-3</v>
      </c>
      <c r="G1125" s="32">
        <v>27175</v>
      </c>
      <c r="H1125" s="10">
        <v>1</v>
      </c>
      <c r="I1125" s="11" cm="1">
        <f t="array" ref="I1125">IF(D1125="","",(G1125*C1125)*0.00075)</f>
        <v>4.6856493750000006</v>
      </c>
      <c r="J1125" s="11" cm="1">
        <f t="array" ref="J1125">IF(D1125="","",(G1125*D1125)*0.00075)</f>
        <v>4.6978781250000008</v>
      </c>
      <c r="K1125" s="33" cm="1">
        <f t="array" ref="K1125">IF(D1125="","",J1125+I1125)</f>
        <v>9.3835275000000014</v>
      </c>
      <c r="L1125" s="33" cm="1">
        <f t="array" ref="L1125">IF(D1125=0,0,(D1125-C1125)*G1125)</f>
        <v>16.305000000000469</v>
      </c>
      <c r="M1125" s="12">
        <v>6226.529621875</v>
      </c>
      <c r="N1125" s="34" cm="1">
        <f t="array" ref="N1125">IFERROR((K1125-J1125)/J1125,"–")</f>
        <v>0.99739696312364423</v>
      </c>
      <c r="O1125" s="33" cm="1">
        <f t="array" ref="O1125">IF(D1125=0,0,L1125-K1125)</f>
        <v>6.9214725000004673</v>
      </c>
      <c r="P1125" s="11"/>
      <c r="Q1125" s="35"/>
    </row>
    <row r="1126" spans="1:17" ht="22.5" customHeight="1">
      <c r="A1126" s="16" t="s">
        <v>95</v>
      </c>
      <c r="B1126" s="43">
        <v>44499</v>
      </c>
      <c r="C1126" s="37">
        <v>0.22989999999999999</v>
      </c>
      <c r="D1126" s="37">
        <v>0.23069999999999999</v>
      </c>
      <c r="E1126" s="19" cm="1">
        <f t="array" ref="E1126">IF(D1126="","",D1126-C1126)</f>
        <v>7.9999999999999516E-4</v>
      </c>
      <c r="F1126" s="20" cm="1">
        <f t="array" ref="F1126">IF(D1126=0,"",(D1126-C1126)/C1126)</f>
        <v>3.4797738147020235E-3</v>
      </c>
      <c r="G1126" s="21">
        <v>40762</v>
      </c>
      <c r="H1126" s="22">
        <v>1</v>
      </c>
      <c r="I1126" s="23" cm="1">
        <f t="array" ref="I1126">IF(D1126="","",(G1126*C1126)*0.00075)</f>
        <v>7.0283878499999997</v>
      </c>
      <c r="J1126" s="23" cm="1">
        <f t="array" ref="J1126">IF(D1126="","",(G1126*D1126)*0.00075)</f>
        <v>7.0528450499999993</v>
      </c>
      <c r="K1126" s="24" cm="1">
        <f t="array" ref="K1126">IF(D1126="","",J1126+I1126)</f>
        <v>14.0812329</v>
      </c>
      <c r="L1126" s="24" cm="1">
        <f t="array" ref="L1126">IF(D1126=0,0,(D1126-C1126)*G1126)</f>
        <v>32.609599999999801</v>
      </c>
      <c r="M1126" s="25">
        <v>9331.5213549500004</v>
      </c>
      <c r="N1126" s="26" cm="1">
        <f t="array" ref="N1126">IFERROR((K1126-J1126)/J1126,"–")</f>
        <v>0.99653229302123991</v>
      </c>
      <c r="O1126" s="24" cm="1">
        <f t="array" ref="O1126">IF(D1126=0,0,L1126-K1126)</f>
        <v>18.528367099999802</v>
      </c>
      <c r="P1126" s="23"/>
      <c r="Q1126" s="27"/>
    </row>
    <row r="1127" spans="1:17" ht="22.5" customHeight="1">
      <c r="A1127" s="16" t="s">
        <v>95</v>
      </c>
      <c r="B1127" s="42">
        <v>44499</v>
      </c>
      <c r="C1127" s="36">
        <v>0.22989999999999999</v>
      </c>
      <c r="D1127" s="36">
        <v>0.23050000000000001</v>
      </c>
      <c r="E1127" s="30" cm="1">
        <f t="array" ref="E1127">IF(D1127="","",D1127-C1127)</f>
        <v>6.0000000000001719E-4</v>
      </c>
      <c r="F1127" s="31" cm="1">
        <f t="array" ref="F1127">IF(D1127=0,"",(D1127-C1127)/C1127)</f>
        <v>2.609830361026608E-3</v>
      </c>
      <c r="G1127" s="32">
        <v>40763</v>
      </c>
      <c r="H1127" s="10">
        <v>1</v>
      </c>
      <c r="I1127" s="11" cm="1">
        <f t="array" ref="I1127">IF(D1127="","",(G1127*C1127)*0.00075)</f>
        <v>7.0285602749999994</v>
      </c>
      <c r="J1127" s="11" cm="1">
        <f t="array" ref="J1127">IF(D1127="","",(G1127*D1127)*0.00075)</f>
        <v>7.0469036250000006</v>
      </c>
      <c r="K1127" s="33" cm="1">
        <f t="array" ref="K1127">IF(D1127="","",J1127+I1127)</f>
        <v>14.075463899999999</v>
      </c>
      <c r="L1127" s="33" cm="1">
        <f t="array" ref="L1127">IF(D1127=0,0,(D1127-C1127)*G1127)</f>
        <v>24.457800000000702</v>
      </c>
      <c r="M1127" s="12">
        <v>9339.9089963749993</v>
      </c>
      <c r="N1127" s="34" cm="1">
        <f t="array" ref="N1127">IFERROR((K1127-J1127)/J1127,"–")</f>
        <v>0.99739696312364401</v>
      </c>
      <c r="O1127" s="33" cm="1">
        <f t="array" ref="O1127">IF(D1127=0,0,L1127-K1127)</f>
        <v>10.382336100000703</v>
      </c>
      <c r="P1127" s="11"/>
      <c r="Q1127" s="35"/>
    </row>
    <row r="1128" spans="1:17" ht="22.5" customHeight="1">
      <c r="A1128" s="16" t="s">
        <v>168</v>
      </c>
      <c r="B1128" s="43">
        <v>44499</v>
      </c>
      <c r="C1128" s="37">
        <v>2.4906999999999999</v>
      </c>
      <c r="D1128" s="37">
        <v>2.492</v>
      </c>
      <c r="E1128" s="19" cm="1">
        <f t="array" ref="E1128">IF(D1128="","",D1128-C1128)</f>
        <v>1.3000000000000789E-3</v>
      </c>
      <c r="F1128" s="20" cm="1">
        <f t="array" ref="F1128">IF(D1128=0,"",(D1128-C1128)/C1128)</f>
        <v>5.2194162283698516E-4</v>
      </c>
      <c r="G1128" s="21">
        <v>5620.8</v>
      </c>
      <c r="H1128" s="22">
        <v>1</v>
      </c>
      <c r="I1128" s="23" cm="1">
        <f t="array" ref="I1128">IF(D1128="","",(G1128*C1128)*0.00075)</f>
        <v>10.499794919999999</v>
      </c>
      <c r="J1128" s="23" cm="1">
        <f t="array" ref="J1128">IF(D1128="","",(G1128*D1128)*0.00075)</f>
        <v>10.505275200000002</v>
      </c>
      <c r="K1128" s="24" cm="1">
        <f t="array" ref="K1128">IF(D1128="","",J1128+I1128)</f>
        <v>21.005070119999999</v>
      </c>
      <c r="L1128" s="24" cm="1">
        <f t="array" ref="L1128">IF(D1128=0,0,(D1128-C1128)*G1128)</f>
        <v>7.3070400000004438</v>
      </c>
      <c r="M1128" s="25">
        <v>13981.9142448</v>
      </c>
      <c r="N1128" s="26" cm="1">
        <f t="array" ref="N1128">IFERROR((K1128-J1128)/J1128,"–")</f>
        <v>0.99947833065810554</v>
      </c>
      <c r="O1128" s="24" cm="1">
        <f t="array" ref="O1128">IF(D1128=0,0,L1128-K1128)</f>
        <v>-13.698030119999554</v>
      </c>
      <c r="P1128" s="23"/>
      <c r="Q1128" s="27"/>
    </row>
    <row r="1129" spans="1:17" ht="22.5" customHeight="1">
      <c r="A1129" s="16" t="s">
        <v>168</v>
      </c>
      <c r="B1129" s="42">
        <v>44499</v>
      </c>
      <c r="C1129" s="36">
        <v>2.4906999999999999</v>
      </c>
      <c r="D1129" s="36">
        <v>2.4950000000000001</v>
      </c>
      <c r="E1129" s="30" cm="1">
        <f t="array" ref="E1129">IF(D1129="","",D1129-C1129)</f>
        <v>4.3000000000001926E-3</v>
      </c>
      <c r="F1129" s="31" cm="1">
        <f t="array" ref="F1129">IF(D1129=0,"",(D1129-C1129)/C1129)</f>
        <v>1.726422290922308E-3</v>
      </c>
      <c r="G1129" s="32">
        <v>5620.9</v>
      </c>
      <c r="H1129" s="10">
        <v>1</v>
      </c>
      <c r="I1129" s="11" cm="1">
        <f t="array" ref="I1129">IF(D1129="","",(G1129*C1129)*0.00075)</f>
        <v>10.499981722499999</v>
      </c>
      <c r="J1129" s="11" cm="1">
        <f t="array" ref="J1129">IF(D1129="","",(G1129*D1129)*0.00075)</f>
        <v>10.518109125000001</v>
      </c>
      <c r="K1129" s="33" cm="1">
        <f t="array" ref="K1129">IF(D1129="","",J1129+I1129)</f>
        <v>21.018090847499998</v>
      </c>
      <c r="L1129" s="33" cm="1">
        <f t="array" ref="L1129">IF(D1129=0,0,(D1129-C1129)*G1129)</f>
        <v>24.16987000000108</v>
      </c>
      <c r="M1129" s="12">
        <v>13965.287650875</v>
      </c>
      <c r="N1129" s="34" cm="1">
        <f t="array" ref="N1129">IFERROR((K1129-J1129)/J1129,"–")</f>
        <v>0.99827655310621211</v>
      </c>
      <c r="O1129" s="33" cm="1">
        <f t="array" ref="O1129">IF(D1129=0,0,L1129-K1129)</f>
        <v>3.1517791525010814</v>
      </c>
      <c r="P1129" s="11"/>
      <c r="Q1129" s="35"/>
    </row>
    <row r="1130" spans="1:17" ht="22.5" customHeight="1">
      <c r="A1130" s="16" t="s">
        <v>155</v>
      </c>
      <c r="B1130" s="43">
        <v>44499</v>
      </c>
      <c r="C1130" s="37">
        <v>0.42449999999999999</v>
      </c>
      <c r="D1130" s="37">
        <v>0.42859999999999998</v>
      </c>
      <c r="E1130" s="19" cm="1">
        <f t="array" ref="E1130">IF(D1130="","",D1130-C1130)</f>
        <v>4.0999999999999925E-3</v>
      </c>
      <c r="F1130" s="20" cm="1">
        <f t="array" ref="F1130">IF(D1130=0,"",(D1130-C1130)/C1130)</f>
        <v>9.6584216725559315E-3</v>
      </c>
      <c r="G1130" s="21">
        <v>32974</v>
      </c>
      <c r="H1130" s="22">
        <v>1</v>
      </c>
      <c r="I1130" s="23" cm="1">
        <f t="array" ref="I1130">IF(D1130="","",(G1130*C1130)*0.00075)</f>
        <v>10.498097250000001</v>
      </c>
      <c r="J1130" s="23" cm="1">
        <f t="array" ref="J1130">IF(D1130="","",(G1130*D1130)*0.00075)</f>
        <v>10.5994923</v>
      </c>
      <c r="K1130" s="24" cm="1">
        <f t="array" ref="K1130">IF(D1130="","",J1130+I1130)</f>
        <v>21.097589550000002</v>
      </c>
      <c r="L1130" s="24" cm="1">
        <f t="array" ref="L1130">IF(D1130=0,0,(D1130-C1130)*G1130)</f>
        <v>135.19339999999974</v>
      </c>
      <c r="M1130" s="25">
        <v>13851.6701077</v>
      </c>
      <c r="N1130" s="26" cm="1">
        <f t="array" ref="N1130">IFERROR((K1130-J1130)/J1130,"–")</f>
        <v>0.99043397106859565</v>
      </c>
      <c r="O1130" s="24" cm="1">
        <f t="array" ref="O1130">IF(D1130=0,0,L1130-K1130)</f>
        <v>114.09581044999973</v>
      </c>
      <c r="P1130" s="23"/>
      <c r="Q1130" s="27"/>
    </row>
    <row r="1131" spans="1:17" ht="22.5" customHeight="1">
      <c r="A1131" s="16" t="s">
        <v>155</v>
      </c>
      <c r="B1131" s="42">
        <v>44499</v>
      </c>
      <c r="C1131" s="36">
        <v>0.42449999999999999</v>
      </c>
      <c r="D1131" s="36">
        <v>0.42649999999999999</v>
      </c>
      <c r="E1131" s="30" cm="1">
        <f t="array" ref="E1131">IF(D1131="","",D1131-C1131)</f>
        <v>2.0000000000000018E-3</v>
      </c>
      <c r="F1131" s="31" cm="1">
        <f t="array" ref="F1131">IF(D1131=0,"",(D1131-C1131)/C1131)</f>
        <v>4.7114252061248568E-3</v>
      </c>
      <c r="G1131" s="32">
        <v>16487</v>
      </c>
      <c r="H1131" s="10">
        <v>1</v>
      </c>
      <c r="I1131" s="11" cm="1">
        <f t="array" ref="I1131">IF(D1131="","",(G1131*C1131)*0.00075)</f>
        <v>5.2490486250000004</v>
      </c>
      <c r="J1131" s="11" cm="1">
        <f t="array" ref="J1131">IF(D1131="","",(G1131*D1131)*0.00075)</f>
        <v>5.2737791249999999</v>
      </c>
      <c r="K1131" s="33" cm="1">
        <f t="array" ref="K1131">IF(D1131="","",J1131+I1131)</f>
        <v>10.522827750000001</v>
      </c>
      <c r="L1131" s="33" cm="1">
        <f t="array" ref="L1131">IF(D1131=0,0,(D1131-C1131)*G1131)</f>
        <v>32.974000000000032</v>
      </c>
      <c r="M1131" s="12">
        <v>6960.4837208749996</v>
      </c>
      <c r="N1131" s="34" cm="1">
        <f t="array" ref="N1131">IFERROR((K1131-J1131)/J1131,"–")</f>
        <v>0.99531066822977754</v>
      </c>
      <c r="O1131" s="33" cm="1">
        <f t="array" ref="O1131">IF(D1131=0,0,L1131-K1131)</f>
        <v>22.451172250000031</v>
      </c>
      <c r="P1131" s="11"/>
      <c r="Q1131" s="35"/>
    </row>
    <row r="1132" spans="1:17" ht="22.5" customHeight="1">
      <c r="A1132" s="16" t="s">
        <v>155</v>
      </c>
      <c r="B1132" s="43">
        <v>44499</v>
      </c>
      <c r="C1132" s="37">
        <v>0.42449999999999999</v>
      </c>
      <c r="D1132" s="37">
        <v>0.42709999999999998</v>
      </c>
      <c r="E1132" s="19" cm="1">
        <f t="array" ref="E1132">IF(D1132="","",D1132-C1132)</f>
        <v>2.5999999999999912E-3</v>
      </c>
      <c r="F1132" s="20" cm="1">
        <f t="array" ref="F1132">IF(D1132=0,"",(D1132-C1132)/C1132)</f>
        <v>6.1248527679622885E-3</v>
      </c>
      <c r="G1132" s="21">
        <v>16487</v>
      </c>
      <c r="H1132" s="22">
        <v>1</v>
      </c>
      <c r="I1132" s="23" cm="1">
        <f t="array" ref="I1132">IF(D1132="","",(G1132*C1132)*0.00075)</f>
        <v>5.2490486250000004</v>
      </c>
      <c r="J1132" s="23" cm="1">
        <f t="array" ref="J1132">IF(D1132="","",(G1132*D1132)*0.00075)</f>
        <v>5.2811982749999995</v>
      </c>
      <c r="K1132" s="24" cm="1">
        <f t="array" ref="K1132">IF(D1132="","",J1132+I1132)</f>
        <v>10.5302469</v>
      </c>
      <c r="L1132" s="24" cm="1">
        <f t="array" ref="L1132">IF(D1132=0,0,(D1132-C1132)*G1132)</f>
        <v>42.866199999999857</v>
      </c>
      <c r="M1132" s="25">
        <v>6950.5841017250004</v>
      </c>
      <c r="N1132" s="26" cm="1">
        <f t="array" ref="N1132">IFERROR((K1132-J1132)/J1132,"–")</f>
        <v>0.99391243268555385</v>
      </c>
      <c r="O1132" s="24" cm="1">
        <f t="array" ref="O1132">IF(D1132=0,0,L1132-K1132)</f>
        <v>32.335953099999855</v>
      </c>
      <c r="P1132" s="23"/>
      <c r="Q1132" s="27"/>
    </row>
    <row r="1133" spans="1:17" ht="22.5" customHeight="1">
      <c r="A1133" s="16" t="s">
        <v>132</v>
      </c>
      <c r="B1133" s="42">
        <v>44499</v>
      </c>
      <c r="C1133" s="36">
        <v>7.3480000000000004E-2</v>
      </c>
      <c r="D1133" s="36">
        <v>7.3800000000000004E-2</v>
      </c>
      <c r="E1133" s="30" cm="1">
        <f t="array" ref="E1133">IF(D1133="","",D1133-C1133)</f>
        <v>3.2000000000000084E-4</v>
      </c>
      <c r="F1133" s="31" cm="1">
        <f t="array" ref="F1133">IF(D1133=0,"",(D1133-C1133)/C1133)</f>
        <v>4.3549265106151442E-3</v>
      </c>
      <c r="G1133" s="32">
        <v>95253</v>
      </c>
      <c r="H1133" s="10">
        <v>1</v>
      </c>
      <c r="I1133" s="11" cm="1">
        <f t="array" ref="I1133">IF(D1133="","",(G1133*C1133)*0.00075)</f>
        <v>5.2493928300000006</v>
      </c>
      <c r="J1133" s="11" cm="1">
        <f t="array" ref="J1133">IF(D1133="","",(G1133*D1133)*0.00075)</f>
        <v>5.2722535500000003</v>
      </c>
      <c r="K1133" s="33" cm="1">
        <f t="array" ref="K1133">IF(D1133="","",J1133+I1133)</f>
        <v>10.52164638</v>
      </c>
      <c r="L1133" s="33" cm="1">
        <f t="array" ref="L1133">IF(D1133=0,0,(D1133-C1133)*G1133)</f>
        <v>30.480960000000081</v>
      </c>
      <c r="M1133" s="12">
        <v>6963.4372264499998</v>
      </c>
      <c r="N1133" s="34" cm="1">
        <f t="array" ref="N1133">IFERROR((K1133-J1133)/J1133,"–")</f>
        <v>0.99566395663956631</v>
      </c>
      <c r="O1133" s="33" cm="1">
        <f t="array" ref="O1133">IF(D1133=0,0,L1133-K1133)</f>
        <v>19.959313620000081</v>
      </c>
      <c r="P1133" s="11"/>
      <c r="Q1133" s="35"/>
    </row>
    <row r="1134" spans="1:17" ht="22.5" customHeight="1">
      <c r="A1134" s="16" t="s">
        <v>132</v>
      </c>
      <c r="B1134" s="43">
        <v>44499</v>
      </c>
      <c r="C1134" s="37">
        <v>7.3480000000000004E-2</v>
      </c>
      <c r="D1134" s="37">
        <v>7.3899999999999993E-2</v>
      </c>
      <c r="E1134" s="19" cm="1">
        <f t="array" ref="E1134">IF(D1134="","",D1134-C1134)</f>
        <v>4.1999999999998983E-4</v>
      </c>
      <c r="F1134" s="20" cm="1">
        <f t="array" ref="F1134">IF(D1134=0,"",(D1134-C1134)/C1134)</f>
        <v>5.7158410451822236E-3</v>
      </c>
      <c r="G1134" s="21">
        <v>71440</v>
      </c>
      <c r="H1134" s="22">
        <v>1</v>
      </c>
      <c r="I1134" s="23" cm="1">
        <f t="array" ref="I1134">IF(D1134="","",(G1134*C1134)*0.00075)</f>
        <v>3.9370584000000006</v>
      </c>
      <c r="J1134" s="23" cm="1">
        <f t="array" ref="J1134">IF(D1134="","",(G1134*D1134)*0.00075)</f>
        <v>3.9595619999999996</v>
      </c>
      <c r="K1134" s="24" cm="1">
        <f t="array" ref="K1134">IF(D1134="","",J1134+I1134)</f>
        <v>7.8966203999999998</v>
      </c>
      <c r="L1134" s="24" cm="1">
        <f t="array" ref="L1134">IF(D1134=0,0,(D1134-C1134)*G1134)</f>
        <v>30.004799999999275</v>
      </c>
      <c r="M1134" s="25">
        <v>5215.4468379999998</v>
      </c>
      <c r="N1134" s="26" cm="1">
        <f t="array" ref="N1134">IFERROR((K1134-J1134)/J1134,"–")</f>
        <v>0.99431664411366727</v>
      </c>
      <c r="O1134" s="24" cm="1">
        <f t="array" ref="O1134">IF(D1134=0,0,L1134-K1134)</f>
        <v>22.108179599999275</v>
      </c>
      <c r="P1134" s="23"/>
      <c r="Q1134" s="27"/>
    </row>
    <row r="1135" spans="1:17" ht="22.5" customHeight="1">
      <c r="A1135" s="16" t="s">
        <v>132</v>
      </c>
      <c r="B1135" s="42">
        <v>44499</v>
      </c>
      <c r="C1135" s="36">
        <v>7.3480000000000004E-2</v>
      </c>
      <c r="D1135" s="36">
        <v>7.3899999999999993E-2</v>
      </c>
      <c r="E1135" s="30" cm="1">
        <f t="array" ref="E1135">IF(D1135="","",D1135-C1135)</f>
        <v>4.1999999999998983E-4</v>
      </c>
      <c r="F1135" s="31" cm="1">
        <f t="array" ref="F1135">IF(D1135=0,"",(D1135-C1135)/C1135)</f>
        <v>5.7158410451822236E-3</v>
      </c>
      <c r="G1135" s="32">
        <v>53580</v>
      </c>
      <c r="H1135" s="10">
        <v>1</v>
      </c>
      <c r="I1135" s="11" cm="1">
        <f t="array" ref="I1135">IF(D1135="","",(G1135*C1135)*0.00075)</f>
        <v>2.9527938000000002</v>
      </c>
      <c r="J1135" s="11" cm="1">
        <f t="array" ref="J1135">IF(D1135="","",(G1135*D1135)*0.00075)</f>
        <v>2.9696714999999996</v>
      </c>
      <c r="K1135" s="33" cm="1">
        <f t="array" ref="K1135">IF(D1135="","",J1135+I1135)</f>
        <v>5.9224652999999998</v>
      </c>
      <c r="L1135" s="33" cm="1">
        <f t="array" ref="L1135">IF(D1135=0,0,(D1135-C1135)*G1135)</f>
        <v>22.503599999999455</v>
      </c>
      <c r="M1135" s="12">
        <v>3911.5851284999999</v>
      </c>
      <c r="N1135" s="34" cm="1">
        <f t="array" ref="N1135">IFERROR((K1135-J1135)/J1135,"–")</f>
        <v>0.99431664411366738</v>
      </c>
      <c r="O1135" s="33" cm="1">
        <f t="array" ref="O1135">IF(D1135=0,0,L1135-K1135)</f>
        <v>16.581134699999456</v>
      </c>
      <c r="P1135" s="11"/>
      <c r="Q1135" s="35"/>
    </row>
    <row r="1136" spans="1:17" ht="22.5" customHeight="1">
      <c r="A1136" s="16" t="s">
        <v>132</v>
      </c>
      <c r="B1136" s="43">
        <v>44499</v>
      </c>
      <c r="C1136" s="37">
        <v>7.3480000000000004E-2</v>
      </c>
      <c r="D1136" s="37">
        <v>7.3400000000000007E-2</v>
      </c>
      <c r="E1136" s="19" cm="1">
        <f t="array" ref="E1136">IF(D1136="","",D1136-C1136)</f>
        <v>-7.999999999999674E-5</v>
      </c>
      <c r="F1136" s="20" cm="1">
        <f t="array" ref="F1136">IF(D1136=0,"",(D1136-C1136)/C1136)</f>
        <v>-1.088731627653739E-3</v>
      </c>
      <c r="G1136" s="21">
        <v>80370</v>
      </c>
      <c r="H1136" s="22">
        <v>1</v>
      </c>
      <c r="I1136" s="23" cm="1">
        <f t="array" ref="I1136">IF(D1136="","",(G1136*C1136)*0.00075)</f>
        <v>4.4291907000000004</v>
      </c>
      <c r="J1136" s="23" cm="1">
        <f t="array" ref="J1136">IF(D1136="","",(G1136*D1136)*0.00075)</f>
        <v>4.4243684999999999</v>
      </c>
      <c r="K1136" s="24" cm="1">
        <f t="array" ref="K1136">IF(D1136="","",J1136+I1136)</f>
        <v>8.8535591999999994</v>
      </c>
      <c r="L1136" s="24" cm="1">
        <f t="array" ref="L1136">IF(D1136=0,0,(D1136-C1136)*G1136)</f>
        <v>-6.4295999999997377</v>
      </c>
      <c r="M1136" s="25">
        <v>5907.5928315000001</v>
      </c>
      <c r="N1136" s="26" cm="1">
        <f t="array" ref="N1136">IFERROR((K1136-J1136)/J1136,"–")</f>
        <v>1.0010899182561306</v>
      </c>
      <c r="O1136" s="24" cm="1">
        <f t="array" ref="O1136">IF(D1136=0,0,L1136-K1136)</f>
        <v>-15.283159199999737</v>
      </c>
      <c r="P1136" s="23"/>
      <c r="Q1136" s="27"/>
    </row>
    <row r="1137" spans="1:17" ht="22.5" customHeight="1">
      <c r="A1137" s="16" t="s">
        <v>132</v>
      </c>
      <c r="B1137" s="42">
        <v>44499</v>
      </c>
      <c r="C1137" s="36">
        <v>7.3480000000000004E-2</v>
      </c>
      <c r="D1137" s="36">
        <v>7.3499999999999996E-2</v>
      </c>
      <c r="E1137" s="30" cm="1">
        <f t="array" ref="E1137">IF(D1137="","",D1137-C1137)</f>
        <v>1.9999999999992246E-5</v>
      </c>
      <c r="F1137" s="31" cm="1">
        <f t="array" ref="F1137">IF(D1137=0,"",(D1137-C1137)/C1137)</f>
        <v>2.7218290691334031E-4</v>
      </c>
      <c r="G1137" s="32">
        <v>80371</v>
      </c>
      <c r="H1137" s="10">
        <v>1</v>
      </c>
      <c r="I1137" s="11" cm="1">
        <f t="array" ref="I1137">IF(D1137="","",(G1137*C1137)*0.00075)</f>
        <v>4.4292458100000003</v>
      </c>
      <c r="J1137" s="11" cm="1">
        <f t="array" ref="J1137">IF(D1137="","",(G1137*D1137)*0.00075)</f>
        <v>4.4304513749999996</v>
      </c>
      <c r="K1137" s="33" cm="1">
        <f t="array" ref="K1137">IF(D1137="","",J1137+I1137)</f>
        <v>8.8596971849999999</v>
      </c>
      <c r="L1137" s="33" cm="1">
        <f t="array" ref="L1137">IF(D1137=0,0,(D1137-C1137)*G1137)</f>
        <v>1.6074199999993768</v>
      </c>
      <c r="M1137" s="12">
        <v>5899.6232086250002</v>
      </c>
      <c r="N1137" s="34" cm="1">
        <f t="array" ref="N1137">IFERROR((K1137-J1137)/J1137,"–")</f>
        <v>0.99972789115646277</v>
      </c>
      <c r="O1137" s="33" cm="1">
        <f t="array" ref="O1137">IF(D1137=0,0,L1137-K1137)</f>
        <v>-7.2522771850006231</v>
      </c>
      <c r="P1137" s="11"/>
      <c r="Q1137" s="35"/>
    </row>
    <row r="1138" spans="1:17" ht="22.5" customHeight="1">
      <c r="A1138" s="16" t="s">
        <v>213</v>
      </c>
      <c r="B1138" s="43">
        <v>44499</v>
      </c>
      <c r="C1138" s="37">
        <v>15.55</v>
      </c>
      <c r="D1138" s="37">
        <v>15.53</v>
      </c>
      <c r="E1138" s="19" cm="1">
        <f t="array" ref="E1138">IF(D1138="","",D1138-C1138)</f>
        <v>-2.000000000000135E-2</v>
      </c>
      <c r="F1138" s="20" cm="1">
        <f t="array" ref="F1138">IF(D1138=0,"",(D1138-C1138)/C1138)</f>
        <v>-1.2861736334406012E-3</v>
      </c>
      <c r="G1138" s="21">
        <v>900.17</v>
      </c>
      <c r="H1138" s="22">
        <v>1</v>
      </c>
      <c r="I1138" s="23" cm="1">
        <f t="array" ref="I1138">IF(D1138="","",(G1138*C1138)*0.00075)</f>
        <v>10.498232625</v>
      </c>
      <c r="J1138" s="23" cm="1">
        <f t="array" ref="J1138">IF(D1138="","",(G1138*D1138)*0.00075)</f>
        <v>10.484730075</v>
      </c>
      <c r="K1138" s="24" cm="1">
        <f t="array" ref="K1138">IF(D1138="","",J1138+I1138)</f>
        <v>20.982962700000002</v>
      </c>
      <c r="L1138" s="24" cm="1">
        <f t="array" ref="L1138">IF(D1138=0,0,(D1138-C1138)*G1138)</f>
        <v>-18.003400000001214</v>
      </c>
      <c r="M1138" s="25">
        <v>14005.162169925001</v>
      </c>
      <c r="N1138" s="26" cm="1">
        <f t="array" ref="N1138">IFERROR((K1138-J1138)/J1138,"–")</f>
        <v>1.0012878300064394</v>
      </c>
      <c r="O1138" s="24" cm="1">
        <f t="array" ref="O1138">IF(D1138=0,0,L1138-K1138)</f>
        <v>-38.986362700001216</v>
      </c>
      <c r="P1138" s="23"/>
      <c r="Q1138" s="27"/>
    </row>
    <row r="1139" spans="1:17" ht="22.5" customHeight="1">
      <c r="A1139" s="16" t="s">
        <v>213</v>
      </c>
      <c r="B1139" s="42">
        <v>44499</v>
      </c>
      <c r="C1139" s="36">
        <v>15.55</v>
      </c>
      <c r="D1139" s="36">
        <v>15.54</v>
      </c>
      <c r="E1139" s="30" cm="1">
        <f t="array" ref="E1139">IF(D1139="","",D1139-C1139)</f>
        <v>-1.0000000000001563E-2</v>
      </c>
      <c r="F1139" s="31" cm="1">
        <f t="array" ref="F1139">IF(D1139=0,"",(D1139-C1139)/C1139)</f>
        <v>-6.4308681672035775E-4</v>
      </c>
      <c r="G1139" s="32">
        <v>391.4</v>
      </c>
      <c r="H1139" s="10">
        <v>1</v>
      </c>
      <c r="I1139" s="11" cm="1">
        <f t="array" ref="I1139">IF(D1139="","",(G1139*C1139)*0.00075)</f>
        <v>4.5647025000000001</v>
      </c>
      <c r="J1139" s="11" cm="1">
        <f t="array" ref="J1139">IF(D1139="","",(G1139*D1139)*0.00075)</f>
        <v>4.5617669999999997</v>
      </c>
      <c r="K1139" s="33" cm="1">
        <f t="array" ref="K1139">IF(D1139="","",J1139+I1139)</f>
        <v>9.1264694999999989</v>
      </c>
      <c r="L1139" s="33" cm="1">
        <f t="array" ref="L1139">IF(D1139=0,0,(D1139-C1139)*G1139)</f>
        <v>-3.9140000000006117</v>
      </c>
      <c r="M1139" s="12">
        <v>6085.6222330000001</v>
      </c>
      <c r="N1139" s="34" cm="1">
        <f t="array" ref="N1139">IFERROR((K1139-J1139)/J1139,"–")</f>
        <v>1.0006435006435006</v>
      </c>
      <c r="O1139" s="33" cm="1">
        <f t="array" ref="O1139">IF(D1139=0,0,L1139-K1139)</f>
        <v>-13.040469500000611</v>
      </c>
      <c r="P1139" s="11"/>
      <c r="Q1139" s="35"/>
    </row>
    <row r="1140" spans="1:17" ht="22.5" customHeight="1">
      <c r="A1140" s="16" t="s">
        <v>213</v>
      </c>
      <c r="B1140" s="43">
        <v>44499</v>
      </c>
      <c r="C1140" s="37">
        <v>15.55</v>
      </c>
      <c r="D1140" s="37">
        <v>15.52</v>
      </c>
      <c r="E1140" s="19" cm="1">
        <f t="array" ref="E1140">IF(D1140="","",D1140-C1140)</f>
        <v>-3.0000000000001137E-2</v>
      </c>
      <c r="F1140" s="20" cm="1">
        <f t="array" ref="F1140">IF(D1140=0,"",(D1140-C1140)/C1140)</f>
        <v>-1.9292604501608447E-3</v>
      </c>
      <c r="G1140" s="21">
        <v>508.78</v>
      </c>
      <c r="H1140" s="22">
        <v>1</v>
      </c>
      <c r="I1140" s="23" cm="1">
        <f t="array" ref="I1140">IF(D1140="","",(G1140*C1140)*0.00075)</f>
        <v>5.9336467499999994</v>
      </c>
      <c r="J1140" s="23" cm="1">
        <f t="array" ref="J1140">IF(D1140="","",(G1140*D1140)*0.00075)</f>
        <v>5.9221991999999997</v>
      </c>
      <c r="K1140" s="24" cm="1">
        <f t="array" ref="K1140">IF(D1140="","",J1140+I1140)</f>
        <v>11.855845949999999</v>
      </c>
      <c r="L1140" s="24" cm="1">
        <f t="array" ref="L1140">IF(D1140=0,0,(D1140-C1140)*G1140)</f>
        <v>-15.263400000000578</v>
      </c>
      <c r="M1140" s="25">
        <v>7920.8702008</v>
      </c>
      <c r="N1140" s="26" cm="1">
        <f t="array" ref="N1140">IFERROR((K1140-J1140)/J1140,"–")</f>
        <v>1.0019329896907216</v>
      </c>
      <c r="O1140" s="24" cm="1">
        <f t="array" ref="O1140">IF(D1140=0,0,L1140-K1140)</f>
        <v>-27.119245950000575</v>
      </c>
      <c r="P1140" s="23"/>
      <c r="Q1140" s="27"/>
    </row>
    <row r="1141" spans="1:17" ht="22.5" customHeight="1">
      <c r="A1141" s="16" t="s">
        <v>214</v>
      </c>
      <c r="B1141" s="42">
        <v>44499</v>
      </c>
      <c r="C1141" s="36">
        <v>7.3932000000000002</v>
      </c>
      <c r="D1141" s="36">
        <v>7.35</v>
      </c>
      <c r="E1141" s="30" cm="1">
        <f t="array" ref="E1141">IF(D1141="","",D1141-C1141)</f>
        <v>-4.3200000000000571E-2</v>
      </c>
      <c r="F1141" s="31" cm="1">
        <f t="array" ref="F1141">IF(D1141=0,"",(D1141-C1141)/C1141)</f>
        <v>-5.8432072715469043E-3</v>
      </c>
      <c r="G1141" s="32">
        <v>3043.3</v>
      </c>
      <c r="H1141" s="10">
        <v>1</v>
      </c>
      <c r="I1141" s="11" cm="1">
        <f t="array" ref="I1141">IF(D1141="","",(G1141*C1141)*0.00075)</f>
        <v>16.874794170000001</v>
      </c>
      <c r="J1141" s="11" cm="1">
        <f t="array" ref="J1141">IF(D1141="","",(G1141*D1141)*0.00075)</f>
        <v>16.77619125</v>
      </c>
      <c r="K1141" s="33" cm="1">
        <f t="array" ref="K1141">IF(D1141="","",J1141+I1141)</f>
        <v>33.650985419999998</v>
      </c>
      <c r="L1141" s="33" cm="1">
        <f t="array" ref="L1141">IF(D1141=0,0,(D1141-C1141)*G1141)</f>
        <v>-131.47056000000174</v>
      </c>
      <c r="M1141" s="12">
        <v>22614.419928750001</v>
      </c>
      <c r="N1141" s="34" cm="1">
        <f t="array" ref="N1141">IFERROR((K1141-J1141)/J1141,"–")</f>
        <v>1.0058775510204081</v>
      </c>
      <c r="O1141" s="33" cm="1">
        <f t="array" ref="O1141">IF(D1141=0,0,L1141-K1141)</f>
        <v>-165.12154542000172</v>
      </c>
      <c r="P1141" s="11"/>
      <c r="Q1141" s="35"/>
    </row>
    <row r="1142" spans="1:17" ht="22.5" customHeight="1">
      <c r="A1142" s="16" t="s">
        <v>214</v>
      </c>
      <c r="B1142" s="43">
        <v>44499</v>
      </c>
      <c r="C1142" s="37">
        <v>7.3932000000000002</v>
      </c>
      <c r="D1142" s="37">
        <v>7.21</v>
      </c>
      <c r="E1142" s="19" cm="1">
        <f t="array" ref="E1142">IF(D1142="","",D1142-C1142)</f>
        <v>-0.18320000000000025</v>
      </c>
      <c r="F1142" s="20" cm="1">
        <f t="array" ref="F1142">IF(D1142=0,"",(D1142-C1142)/C1142)</f>
        <v>-2.4779527133041206E-2</v>
      </c>
      <c r="G1142" s="21">
        <v>1014.4</v>
      </c>
      <c r="H1142" s="22">
        <v>1</v>
      </c>
      <c r="I1142" s="23" cm="1">
        <f t="array" ref="I1142">IF(D1142="","",(G1142*C1142)*0.00075)</f>
        <v>5.6247465600000002</v>
      </c>
      <c r="J1142" s="23" cm="1">
        <f t="array" ref="J1142">IF(D1142="","",(G1142*D1142)*0.00075)</f>
        <v>5.4853680000000002</v>
      </c>
      <c r="K1142" s="24" cm="1">
        <f t="array" ref="K1142">IF(D1142="","",J1142+I1142)</f>
        <v>11.11011456</v>
      </c>
      <c r="L1142" s="24" cm="1">
        <f t="array" ref="L1142">IF(D1142=0,0,(D1142-C1142)*G1142)</f>
        <v>-185.83808000000025</v>
      </c>
      <c r="M1142" s="25">
        <v>7680.0147919999999</v>
      </c>
      <c r="N1142" s="26" cm="1">
        <f t="array" ref="N1142">IFERROR((K1142-J1142)/J1142,"–")</f>
        <v>1.0254091539528432</v>
      </c>
      <c r="O1142" s="24" cm="1">
        <f t="array" ref="O1142">IF(D1142=0,0,L1142-K1142)</f>
        <v>-196.94819456000025</v>
      </c>
      <c r="P1142" s="23"/>
      <c r="Q1142" s="27"/>
    </row>
    <row r="1143" spans="1:17" ht="22.5" customHeight="1">
      <c r="A1143" s="16" t="s">
        <v>46</v>
      </c>
      <c r="B1143" s="42">
        <v>44499</v>
      </c>
      <c r="C1143" s="36">
        <v>3</v>
      </c>
      <c r="D1143" s="36">
        <v>3.1214</v>
      </c>
      <c r="E1143" s="30" cm="1">
        <f t="array" ref="E1143">IF(D1143="","",D1143-C1143)</f>
        <v>0.12139999999999995</v>
      </c>
      <c r="F1143" s="31" cm="1">
        <f t="array" ref="F1143">IF(D1143=0,"",(D1143-C1143)/C1143)</f>
        <v>4.0466666666666651E-2</v>
      </c>
      <c r="G1143" s="32">
        <v>2500</v>
      </c>
      <c r="H1143" s="10">
        <v>1</v>
      </c>
      <c r="I1143" s="11" cm="1">
        <f t="array" ref="I1143">IF(D1143="","",(G1143*C1143)*0.00075)</f>
        <v>5.625</v>
      </c>
      <c r="J1143" s="11" cm="1">
        <f t="array" ref="J1143">IF(D1143="","",(G1143*D1143)*0.00075)</f>
        <v>5.8526249999999997</v>
      </c>
      <c r="K1143" s="33" cm="1">
        <f t="array" ref="K1143">IF(D1143="","",J1143+I1143)</f>
        <v>11.477625</v>
      </c>
      <c r="L1143" s="33" cm="1">
        <f t="array" ref="L1143">IF(D1143=0,0,(D1143-C1143)*G1143)</f>
        <v>303.49999999999989</v>
      </c>
      <c r="M1143" s="12">
        <v>7190.6473749999996</v>
      </c>
      <c r="N1143" s="34" cm="1">
        <f t="array" ref="N1143">IFERROR((K1143-J1143)/J1143,"–")</f>
        <v>0.96110719548920365</v>
      </c>
      <c r="O1143" s="33" cm="1">
        <f t="array" ref="O1143">IF(D1143=0,0,L1143-K1143)</f>
        <v>292.0223749999999</v>
      </c>
      <c r="P1143" s="11"/>
      <c r="Q1143" s="35"/>
    </row>
    <row r="1144" spans="1:17" ht="22.5" customHeight="1">
      <c r="A1144" s="16" t="s">
        <v>105</v>
      </c>
      <c r="B1144" s="43">
        <v>44499</v>
      </c>
      <c r="C1144" s="37">
        <v>1.0632999999999999</v>
      </c>
      <c r="D1144" s="37">
        <v>1.0409999999999999</v>
      </c>
      <c r="E1144" s="19" cm="1">
        <f t="array" ref="E1144">IF(D1144="","",D1144-C1144)</f>
        <v>-2.2299999999999986E-2</v>
      </c>
      <c r="F1144" s="20" cm="1">
        <f t="array" ref="F1144">IF(D1144=0,"",(D1144-C1144)/C1144)</f>
        <v>-2.097244427725006E-2</v>
      </c>
      <c r="G1144" s="21">
        <v>6582</v>
      </c>
      <c r="H1144" s="22">
        <v>1</v>
      </c>
      <c r="I1144" s="23" cm="1">
        <f t="array" ref="I1144">IF(D1144="","",(G1144*C1144)*0.00075)</f>
        <v>5.2489804499999995</v>
      </c>
      <c r="J1144" s="23" cm="1">
        <f t="array" ref="J1144">IF(D1144="","",(G1144*D1144)*0.00075)</f>
        <v>5.1388964999999995</v>
      </c>
      <c r="K1144" s="24" cm="1">
        <f t="array" ref="K1144">IF(D1144="","",J1144+I1144)</f>
        <v>10.387876949999999</v>
      </c>
      <c r="L1144" s="24" cm="1">
        <f t="array" ref="L1144">IF(D1144=0,0,(D1144-C1144)*G1144)</f>
        <v>-146.7785999999999</v>
      </c>
      <c r="M1144" s="25">
        <v>7140.2803034999997</v>
      </c>
      <c r="N1144" s="26" cm="1">
        <f t="array" ref="N1144">IFERROR((K1144-J1144)/J1144,"–")</f>
        <v>1.0214217098943323</v>
      </c>
      <c r="O1144" s="24" cm="1">
        <f t="array" ref="O1144">IF(D1144=0,0,L1144-K1144)</f>
        <v>-157.16647694999989</v>
      </c>
      <c r="P1144" s="23"/>
      <c r="Q1144" s="27"/>
    </row>
    <row r="1145" spans="1:17" ht="22.5" customHeight="1">
      <c r="A1145" s="16" t="s">
        <v>105</v>
      </c>
      <c r="B1145" s="42">
        <v>44499</v>
      </c>
      <c r="C1145" s="36">
        <v>1.0632999999999999</v>
      </c>
      <c r="D1145" s="36">
        <v>1.0349999999999999</v>
      </c>
      <c r="E1145" s="30" cm="1">
        <f t="array" ref="E1145">IF(D1145="","",D1145-C1145)</f>
        <v>-2.8299999999999992E-2</v>
      </c>
      <c r="F1145" s="31" cm="1">
        <f t="array" ref="F1145">IF(D1145=0,"",(D1145-C1145)/C1145)</f>
        <v>-2.6615254396689547E-2</v>
      </c>
      <c r="G1145" s="32">
        <v>9874</v>
      </c>
      <c r="H1145" s="10">
        <v>1</v>
      </c>
      <c r="I1145" s="11" cm="1">
        <f t="array" ref="I1145">IF(D1145="","",(G1145*C1145)*0.00075)</f>
        <v>7.8742681499999998</v>
      </c>
      <c r="J1145" s="11" cm="1">
        <f t="array" ref="J1145">IF(D1145="","",(G1145*D1145)*0.00075)</f>
        <v>7.6646924999999992</v>
      </c>
      <c r="K1145" s="33" cm="1">
        <f t="array" ref="K1145">IF(D1145="","",J1145+I1145)</f>
        <v>15.53896065</v>
      </c>
      <c r="L1145" s="33" cm="1">
        <f t="array" ref="L1145">IF(D1145=0,0,(D1145-C1145)*G1145)</f>
        <v>-279.43419999999992</v>
      </c>
      <c r="M1145" s="12">
        <v>10770.793707500001</v>
      </c>
      <c r="N1145" s="34" cm="1">
        <f t="array" ref="N1145">IFERROR((K1145-J1145)/J1145,"–")</f>
        <v>1.0273429951690822</v>
      </c>
      <c r="O1145" s="33" cm="1">
        <f t="array" ref="O1145">IF(D1145=0,0,L1145-K1145)</f>
        <v>-294.9731606499999</v>
      </c>
      <c r="P1145" s="11"/>
      <c r="Q1145" s="35"/>
    </row>
    <row r="1146" spans="1:17" ht="22.5" customHeight="1">
      <c r="A1146" s="16" t="s">
        <v>105</v>
      </c>
      <c r="B1146" s="43">
        <v>44499</v>
      </c>
      <c r="C1146" s="37">
        <v>1.0632999999999999</v>
      </c>
      <c r="D1146" s="37">
        <v>1.03</v>
      </c>
      <c r="E1146" s="19" cm="1">
        <f t="array" ref="E1146">IF(D1146="","",D1146-C1146)</f>
        <v>-3.3299999999999885E-2</v>
      </c>
      <c r="F1146" s="20" cm="1">
        <f t="array" ref="F1146">IF(D1146=0,"",(D1146-C1146)/C1146)</f>
        <v>-3.1317596162889011E-2</v>
      </c>
      <c r="G1146" s="21">
        <v>9875</v>
      </c>
      <c r="H1146" s="22">
        <v>1</v>
      </c>
      <c r="I1146" s="23" cm="1">
        <f t="array" ref="I1146">IF(D1146="","",(G1146*C1146)*0.00075)</f>
        <v>7.8750656249999995</v>
      </c>
      <c r="J1146" s="23" cm="1">
        <f t="array" ref="J1146">IF(D1146="","",(G1146*D1146)*0.00075)</f>
        <v>7.6284375000000004</v>
      </c>
      <c r="K1146" s="24" cm="1">
        <f t="array" ref="K1146">IF(D1146="","",J1146+I1146)</f>
        <v>15.503503125</v>
      </c>
      <c r="L1146" s="24" cm="1">
        <f t="array" ref="L1146">IF(D1146=0,0,(D1146-C1146)*G1146)</f>
        <v>-328.83749999999884</v>
      </c>
      <c r="M1146" s="25">
        <v>10821.2965625</v>
      </c>
      <c r="N1146" s="26" cm="1">
        <f t="array" ref="N1146">IFERROR((K1146-J1146)/J1146,"–")</f>
        <v>1.0323300970873786</v>
      </c>
      <c r="O1146" s="24" cm="1">
        <f t="array" ref="O1146">IF(D1146=0,0,L1146-K1146)</f>
        <v>-344.34100312499885</v>
      </c>
      <c r="P1146" s="23"/>
      <c r="Q1146" s="27"/>
    </row>
    <row r="1147" spans="1:17" ht="22.5" customHeight="1">
      <c r="A1147" s="16" t="s">
        <v>215</v>
      </c>
      <c r="B1147" s="42">
        <v>44499</v>
      </c>
      <c r="C1147" s="36">
        <v>3.5729999999999998E-2</v>
      </c>
      <c r="D1147" s="36">
        <v>3.5799999999999998E-2</v>
      </c>
      <c r="E1147" s="30" cm="1">
        <f t="array" ref="E1147">IF(D1147="","",D1147-C1147)</f>
        <v>7.0000000000000617E-5</v>
      </c>
      <c r="F1147" s="31" cm="1">
        <f t="array" ref="F1147">IF(D1147=0,"",(D1147-C1147)/C1147)</f>
        <v>1.9591379792891304E-3</v>
      </c>
      <c r="G1147" s="32">
        <v>195940</v>
      </c>
      <c r="H1147" s="10">
        <v>1</v>
      </c>
      <c r="I1147" s="11" cm="1">
        <f t="array" ref="I1147">IF(D1147="","",(G1147*C1147)*0.00075)</f>
        <v>5.2507021499999995</v>
      </c>
      <c r="J1147" s="11" cm="1">
        <f t="array" ref="J1147">IF(D1147="","",(G1147*D1147)*0.00075)</f>
        <v>5.2609890000000004</v>
      </c>
      <c r="K1147" s="33" cm="1">
        <f t="array" ref="K1147">IF(D1147="","",J1147+I1147)</f>
        <v>10.511691150000001</v>
      </c>
      <c r="L1147" s="33" cm="1">
        <f t="array" ref="L1147">IF(D1147=0,0,(D1147-C1147)*G1147)</f>
        <v>13.715800000000121</v>
      </c>
      <c r="M1147" s="12">
        <v>6981.9594109999998</v>
      </c>
      <c r="N1147" s="34" cm="1">
        <f t="array" ref="N1147">IFERROR((K1147-J1147)/J1147,"–")</f>
        <v>0.99804469273743013</v>
      </c>
      <c r="O1147" s="33" cm="1">
        <f t="array" ref="O1147">IF(D1147=0,0,L1147-K1147)</f>
        <v>3.2041088500001198</v>
      </c>
      <c r="P1147" s="11"/>
      <c r="Q1147" s="35"/>
    </row>
    <row r="1148" spans="1:17" ht="22.5" customHeight="1">
      <c r="A1148" s="16" t="s">
        <v>56</v>
      </c>
      <c r="B1148" s="43">
        <v>44499</v>
      </c>
      <c r="C1148" s="37">
        <v>3.7330000000000002E-2</v>
      </c>
      <c r="D1148" s="37">
        <v>3.6999999999999998E-2</v>
      </c>
      <c r="E1148" s="19" cm="1">
        <f t="array" ref="E1148">IF(D1148="","",D1148-C1148)</f>
        <v>-3.300000000000039E-4</v>
      </c>
      <c r="F1148" s="20" cm="1">
        <f t="array" ref="F1148">IF(D1148=0,"",(D1148-C1148)/C1148)</f>
        <v>-8.84007500669713E-3</v>
      </c>
      <c r="G1148" s="21">
        <v>133940.5</v>
      </c>
      <c r="H1148" s="22">
        <v>1</v>
      </c>
      <c r="I1148" s="23" cm="1">
        <f t="array" ref="I1148">IF(D1148="","",(G1148*C1148)*0.00075)</f>
        <v>3.7499991487500006</v>
      </c>
      <c r="J1148" s="23" cm="1">
        <f t="array" ref="J1148">IF(D1148="","",(G1148*D1148)*0.00075)</f>
        <v>3.7168488750000002</v>
      </c>
      <c r="K1148" s="24" cm="1">
        <f t="array" ref="K1148">IF(D1148="","",J1148+I1148)</f>
        <v>7.4668480237500008</v>
      </c>
      <c r="L1148" s="24" cm="1">
        <f t="array" ref="L1148">IF(D1148=0,0,(D1148-C1148)*G1148)</f>
        <v>-44.200365000000524</v>
      </c>
      <c r="M1148" s="25">
        <v>5040.4823811249998</v>
      </c>
      <c r="N1148" s="26" cm="1">
        <f t="array" ref="N1148">IFERROR((K1148-J1148)/J1148,"–")</f>
        <v>1.0089189189189189</v>
      </c>
      <c r="O1148" s="24" cm="1">
        <f t="array" ref="O1148">IF(D1148=0,0,L1148-K1148)</f>
        <v>-51.667213023750527</v>
      </c>
      <c r="P1148" s="23"/>
      <c r="Q1148" s="27"/>
    </row>
    <row r="1149" spans="1:17" ht="22.5" customHeight="1">
      <c r="A1149" s="16" t="s">
        <v>178</v>
      </c>
      <c r="B1149" s="42">
        <v>44499</v>
      </c>
      <c r="C1149" s="36">
        <v>4.3929999999999998</v>
      </c>
      <c r="D1149" s="36">
        <v>4.43</v>
      </c>
      <c r="E1149" s="30" cm="1">
        <f t="array" ref="E1149">IF(D1149="","",D1149-C1149)</f>
        <v>3.6999999999999922E-2</v>
      </c>
      <c r="F1149" s="31" cm="1">
        <f t="array" ref="F1149">IF(D1149=0,"",(D1149-C1149)/C1149)</f>
        <v>8.4224903255178517E-3</v>
      </c>
      <c r="G1149" s="32">
        <v>1137.9000000000001</v>
      </c>
      <c r="H1149" s="10">
        <v>1</v>
      </c>
      <c r="I1149" s="11" cm="1">
        <f t="array" ref="I1149">IF(D1149="","",(G1149*C1149)*0.00075)</f>
        <v>3.7490960250000005</v>
      </c>
      <c r="J1149" s="11" cm="1">
        <f t="array" ref="J1149">IF(D1149="","",(G1149*D1149)*0.00075)</f>
        <v>3.7806727499999999</v>
      </c>
      <c r="K1149" s="33" cm="1">
        <f t="array" ref="K1149">IF(D1149="","",J1149+I1149)</f>
        <v>7.5297687750000009</v>
      </c>
      <c r="L1149" s="33" cm="1">
        <f t="array" ref="L1149">IF(D1149=0,0,(D1149-C1149)*G1149)</f>
        <v>42.102299999999914</v>
      </c>
      <c r="M1149" s="12">
        <v>4952.9117272499998</v>
      </c>
      <c r="N1149" s="34" cm="1">
        <f t="array" ref="N1149">IFERROR((K1149-J1149)/J1149,"–")</f>
        <v>0.9916478555304743</v>
      </c>
      <c r="O1149" s="33" cm="1">
        <f t="array" ref="O1149">IF(D1149=0,0,L1149-K1149)</f>
        <v>34.572531224999913</v>
      </c>
      <c r="P1149" s="11"/>
      <c r="Q1149" s="35"/>
    </row>
    <row r="1150" spans="1:17" ht="22.5" customHeight="1">
      <c r="A1150" s="16" t="s">
        <v>124</v>
      </c>
      <c r="B1150" s="43">
        <v>44500</v>
      </c>
      <c r="C1150" s="37">
        <v>1.7976000000000001</v>
      </c>
      <c r="D1150" s="37">
        <v>1.81</v>
      </c>
      <c r="E1150" s="19" cm="1">
        <f t="array" ref="E1150">IF(D1150="","",D1150-C1150)</f>
        <v>1.2399999999999967E-2</v>
      </c>
      <c r="F1150" s="20" cm="1">
        <f t="array" ref="F1150">IF(D1150=0,"",(D1150-C1150)/C1150)</f>
        <v>6.8980863373386547E-3</v>
      </c>
      <c r="G1150" s="21">
        <v>2607.6</v>
      </c>
      <c r="H1150" s="22">
        <v>1</v>
      </c>
      <c r="I1150" s="23" cm="1">
        <f t="array" ref="I1150">IF(D1150="","",(G1150*C1150)*0.00075)</f>
        <v>3.51556632</v>
      </c>
      <c r="J1150" s="23" cm="1">
        <f t="array" ref="J1150">IF(D1150="","",(G1150*D1150)*0.00075)</f>
        <v>3.5398170000000002</v>
      </c>
      <c r="K1150" s="24" cm="1">
        <f t="array" ref="K1150">IF(D1150="","",J1150+I1150)</f>
        <v>7.0553833200000007</v>
      </c>
      <c r="L1150" s="24" cm="1">
        <f t="array" ref="L1150">IF(D1150=0,0,(D1150-C1150)*G1150)</f>
        <v>32.334239999999909</v>
      </c>
      <c r="M1150" s="25">
        <v>4651.5477030000002</v>
      </c>
      <c r="N1150" s="26" cm="1">
        <f t="array" ref="N1150">IFERROR((K1150-J1150)/J1150,"–")</f>
        <v>0.99314917127071833</v>
      </c>
      <c r="O1150" s="24" cm="1">
        <f t="array" ref="O1150">IF(D1150=0,0,L1150-K1150)</f>
        <v>25.278856679999908</v>
      </c>
      <c r="P1150" s="23"/>
      <c r="Q1150" s="27"/>
    </row>
    <row r="1151" spans="1:17" ht="22.5" customHeight="1">
      <c r="A1151" s="16" t="s">
        <v>124</v>
      </c>
      <c r="B1151" s="42">
        <v>44500</v>
      </c>
      <c r="C1151" s="36">
        <v>1.7976000000000001</v>
      </c>
      <c r="D1151" s="36">
        <v>1.8180000000000001</v>
      </c>
      <c r="E1151" s="30" cm="1">
        <f t="array" ref="E1151">IF(D1151="","",D1151-C1151)</f>
        <v>2.0399999999999974E-2</v>
      </c>
      <c r="F1151" s="31" cm="1">
        <f t="array" ref="F1151">IF(D1151=0,"",(D1151-C1151)/C1151)</f>
        <v>1.1348464619492642E-2</v>
      </c>
      <c r="G1151" s="32">
        <v>5649.7</v>
      </c>
      <c r="H1151" s="10">
        <v>1</v>
      </c>
      <c r="I1151" s="11" cm="1">
        <f t="array" ref="I1151">IF(D1151="","",(G1151*C1151)*0.00075)</f>
        <v>7.6169255399999996</v>
      </c>
      <c r="J1151" s="11" cm="1">
        <f t="array" ref="J1151">IF(D1151="","",(G1151*D1151)*0.00075)</f>
        <v>7.7033659500000002</v>
      </c>
      <c r="K1151" s="33" cm="1">
        <f t="array" ref="K1151">IF(D1151="","",J1151+I1151)</f>
        <v>15.320291489999999</v>
      </c>
      <c r="L1151" s="33" cm="1">
        <f t="array" ref="L1151">IF(D1151=0,0,(D1151-C1151)*G1151)</f>
        <v>115.25387999999985</v>
      </c>
      <c r="M1151" s="12">
        <v>10032.94347405</v>
      </c>
      <c r="N1151" s="34" cm="1">
        <f t="array" ref="N1151">IFERROR((K1151-J1151)/J1151,"–")</f>
        <v>0.98877887788778862</v>
      </c>
      <c r="O1151" s="33" cm="1">
        <f t="array" ref="O1151">IF(D1151=0,0,L1151-K1151)</f>
        <v>99.933588509999851</v>
      </c>
      <c r="P1151" s="11"/>
      <c r="Q1151" s="35"/>
    </row>
    <row r="1152" spans="1:17" ht="22.5" customHeight="1">
      <c r="A1152" s="16" t="s">
        <v>124</v>
      </c>
      <c r="B1152" s="43">
        <v>44500</v>
      </c>
      <c r="C1152" s="37">
        <v>1.7976000000000001</v>
      </c>
      <c r="D1152" s="37">
        <v>1.82</v>
      </c>
      <c r="E1152" s="19" cm="1">
        <f t="array" ref="E1152">IF(D1152="","",D1152-C1152)</f>
        <v>2.2399999999999975E-2</v>
      </c>
      <c r="F1152" s="20" cm="1">
        <f t="array" ref="F1152">IF(D1152=0,"",(D1152-C1152)/C1152)</f>
        <v>1.2461059190031138E-2</v>
      </c>
      <c r="G1152" s="21">
        <v>5649.8</v>
      </c>
      <c r="H1152" s="22">
        <v>1</v>
      </c>
      <c r="I1152" s="23" cm="1">
        <f t="array" ref="I1152">IF(D1152="","",(G1152*C1152)*0.00075)</f>
        <v>7.6170603600000009</v>
      </c>
      <c r="J1152" s="23" cm="1">
        <f t="array" ref="J1152">IF(D1152="","",(G1152*D1152)*0.00075)</f>
        <v>7.7119770000000001</v>
      </c>
      <c r="K1152" s="24" cm="1">
        <f t="array" ref="K1152">IF(D1152="","",J1152+I1152)</f>
        <v>15.329037360000001</v>
      </c>
      <c r="L1152" s="24" cm="1">
        <f t="array" ref="L1152">IF(D1152=0,0,(D1152-C1152)*G1152)</f>
        <v>126.55551999999986</v>
      </c>
      <c r="M1152" s="25">
        <v>10021.812983</v>
      </c>
      <c r="N1152" s="26" cm="1">
        <f t="array" ref="N1152">IFERROR((K1152-J1152)/J1152,"–")</f>
        <v>0.98769230769230776</v>
      </c>
      <c r="O1152" s="24" cm="1">
        <f t="array" ref="O1152">IF(D1152=0,0,L1152-K1152)</f>
        <v>111.22648263999986</v>
      </c>
      <c r="P1152" s="23"/>
      <c r="Q1152" s="27"/>
    </row>
    <row r="1153" spans="1:17" ht="22.5" customHeight="1">
      <c r="A1153" s="16" t="s">
        <v>216</v>
      </c>
      <c r="B1153" s="42">
        <v>44500</v>
      </c>
      <c r="C1153" s="36">
        <v>1.8109</v>
      </c>
      <c r="D1153" s="36">
        <v>1.8</v>
      </c>
      <c r="E1153" s="30" cm="1">
        <f t="array" ref="E1153">IF(D1153="","",D1153-C1153)</f>
        <v>-1.089999999999991E-2</v>
      </c>
      <c r="F1153" s="31" cm="1">
        <f t="array" ref="F1153">IF(D1153=0,"",(D1153-C1153)/C1153)</f>
        <v>-6.0191065216190351E-3</v>
      </c>
      <c r="G1153" s="32">
        <v>6900.8</v>
      </c>
      <c r="H1153" s="10">
        <v>1</v>
      </c>
      <c r="I1153" s="11" cm="1">
        <f t="array" ref="I1153">IF(D1153="","",(G1153*C1153)*0.00075)</f>
        <v>9.3724940399999994</v>
      </c>
      <c r="J1153" s="11" cm="1">
        <f t="array" ref="J1153">IF(D1153="","",(G1153*D1153)*0.00075)</f>
        <v>9.3160800000000012</v>
      </c>
      <c r="K1153" s="33" cm="1">
        <f t="array" ref="K1153">IF(D1153="","",J1153+I1153)</f>
        <v>18.688574039999999</v>
      </c>
      <c r="L1153" s="33" cm="1">
        <f t="array" ref="L1153">IF(D1153=0,0,(D1153-C1153)*G1153)</f>
        <v>-75.218719999999379</v>
      </c>
      <c r="M1153" s="12">
        <v>12562.56136</v>
      </c>
      <c r="N1153" s="34" cm="1">
        <f t="array" ref="N1153">IFERROR((K1153-J1153)/J1153,"–")</f>
        <v>1.0060555555555553</v>
      </c>
      <c r="O1153" s="33" cm="1">
        <f t="array" ref="O1153">IF(D1153=0,0,L1153-K1153)</f>
        <v>-93.907294039999385</v>
      </c>
      <c r="P1153" s="11"/>
      <c r="Q1153" s="35"/>
    </row>
    <row r="1154" spans="1:17" ht="22.5" customHeight="1">
      <c r="A1154" s="16" t="s">
        <v>216</v>
      </c>
      <c r="B1154" s="43">
        <v>44500</v>
      </c>
      <c r="C1154" s="37">
        <v>1.8109</v>
      </c>
      <c r="D1154" s="37">
        <v>1.7989999999999999</v>
      </c>
      <c r="E1154" s="19" cm="1">
        <f t="array" ref="E1154">IF(D1154="","",D1154-C1154)</f>
        <v>-1.1900000000000022E-2</v>
      </c>
      <c r="F1154" s="20" cm="1">
        <f t="array" ref="F1154">IF(D1154=0,"",(D1154-C1154)/C1154)</f>
        <v>-6.5713181291070857E-3</v>
      </c>
      <c r="G1154" s="21">
        <v>6900.8</v>
      </c>
      <c r="H1154" s="22">
        <v>1</v>
      </c>
      <c r="I1154" s="23" cm="1">
        <f t="array" ref="I1154">IF(D1154="","",(G1154*C1154)*0.00075)</f>
        <v>9.3724940399999994</v>
      </c>
      <c r="J1154" s="23" cm="1">
        <f t="array" ref="J1154">IF(D1154="","",(G1154*D1154)*0.00075)</f>
        <v>9.3109044000000001</v>
      </c>
      <c r="K1154" s="24" cm="1">
        <f t="array" ref="K1154">IF(D1154="","",J1154+I1154)</f>
        <v>18.683398439999998</v>
      </c>
      <c r="L1154" s="24" cm="1">
        <f t="array" ref="L1154">IF(D1154=0,0,(D1154-C1154)*G1154)</f>
        <v>-82.119520000000151</v>
      </c>
      <c r="M1154" s="25">
        <v>12569.4673356</v>
      </c>
      <c r="N1154" s="26" cm="1">
        <f t="array" ref="N1154">IFERROR((K1154-J1154)/J1154,"–")</f>
        <v>1.0066147859922177</v>
      </c>
      <c r="O1154" s="24" cm="1">
        <f t="array" ref="O1154">IF(D1154=0,0,L1154-K1154)</f>
        <v>-100.80291844000016</v>
      </c>
      <c r="P1154" s="23"/>
      <c r="Q1154" s="27"/>
    </row>
    <row r="1155" spans="1:17" ht="22.5" customHeight="1">
      <c r="A1155" s="16" t="s">
        <v>111</v>
      </c>
      <c r="B1155" s="42">
        <v>44500</v>
      </c>
      <c r="C1155" s="36">
        <v>0.68969999999999998</v>
      </c>
      <c r="D1155" s="36">
        <v>0.65</v>
      </c>
      <c r="E1155" s="30" cm="1">
        <f t="array" ref="E1155">IF(D1155="","",D1155-C1155)</f>
        <v>-3.9699999999999958E-2</v>
      </c>
      <c r="F1155" s="31" cm="1">
        <f t="array" ref="F1155">IF(D1155=0,"",(D1155-C1155)/C1155)</f>
        <v>-5.7561258518196261E-2</v>
      </c>
      <c r="G1155" s="32">
        <v>29871</v>
      </c>
      <c r="H1155" s="10">
        <v>1</v>
      </c>
      <c r="I1155" s="11" cm="1">
        <f t="array" ref="I1155">IF(D1155="","",(G1155*C1155)*0.00075)</f>
        <v>15.451521524999999</v>
      </c>
      <c r="J1155" s="11" cm="1">
        <f t="array" ref="J1155">IF(D1155="","",(G1155*D1155)*0.00075)</f>
        <v>14.562112500000001</v>
      </c>
      <c r="K1155" s="33" cm="1">
        <f t="array" ref="K1155">IF(D1155="","",J1155+I1155)</f>
        <v>30.013634025000002</v>
      </c>
      <c r="L1155" s="33" cm="1">
        <f t="array" ref="L1155">IF(D1155=0,0,(D1155-C1155)*G1155)</f>
        <v>-1185.8786999999988</v>
      </c>
      <c r="M1155" s="12">
        <v>21773.3452875</v>
      </c>
      <c r="N1155" s="34" cm="1">
        <f t="array" ref="N1155">IFERROR((K1155-J1155)/J1155,"–")</f>
        <v>1.061076923076923</v>
      </c>
      <c r="O1155" s="33" cm="1">
        <f t="array" ref="O1155">IF(D1155=0,0,L1155-K1155)</f>
        <v>-1215.8923340249989</v>
      </c>
      <c r="P1155" s="11"/>
      <c r="Q1155" s="35"/>
    </row>
    <row r="1156" spans="1:17" ht="22.5" customHeight="1">
      <c r="A1156" s="16" t="s">
        <v>111</v>
      </c>
      <c r="B1156" s="43">
        <v>44500</v>
      </c>
      <c r="C1156" s="37">
        <v>0.68969999999999998</v>
      </c>
      <c r="D1156" s="37">
        <v>0.65280000000000005</v>
      </c>
      <c r="E1156" s="19" cm="1">
        <f t="array" ref="E1156">IF(D1156="","",D1156-C1156)</f>
        <v>-3.6899999999999933E-2</v>
      </c>
      <c r="F1156" s="20" cm="1">
        <f t="array" ref="F1156">IF(D1156=0,"",(D1156-C1156)/C1156)</f>
        <v>-5.350152240104384E-2</v>
      </c>
      <c r="G1156" s="21">
        <v>10000</v>
      </c>
      <c r="H1156" s="22">
        <v>1</v>
      </c>
      <c r="I1156" s="23" cm="1">
        <f t="array" ref="I1156">IF(D1156="","",(G1156*C1156)*0.00075)</f>
        <v>5.1727499999999997</v>
      </c>
      <c r="J1156" s="23" cm="1">
        <f t="array" ref="J1156">IF(D1156="","",(G1156*D1156)*0.00075)</f>
        <v>4.8960000000000008</v>
      </c>
      <c r="K1156" s="24" cm="1">
        <f t="array" ref="K1156">IF(D1156="","",J1156+I1156)</f>
        <v>10.068750000000001</v>
      </c>
      <c r="L1156" s="24" cm="1">
        <f t="array" ref="L1156">IF(D1156=0,0,(D1156-C1156)*G1156)</f>
        <v>-368.99999999999932</v>
      </c>
      <c r="M1156" s="25">
        <v>7261.1040000000003</v>
      </c>
      <c r="N1156" s="26" cm="1">
        <f t="array" ref="N1156">IFERROR((K1156-J1156)/J1156,"–")</f>
        <v>1.0565257352941175</v>
      </c>
      <c r="O1156" s="24" cm="1">
        <f t="array" ref="O1156">IF(D1156=0,0,L1156-K1156)</f>
        <v>-379.06874999999934</v>
      </c>
      <c r="P1156" s="44" t="s">
        <v>431</v>
      </c>
      <c r="Q1156" s="27"/>
    </row>
    <row r="1157" spans="1:17" ht="22.5" customHeight="1">
      <c r="A1157" s="16" t="s">
        <v>30</v>
      </c>
      <c r="B1157" s="42">
        <v>44500</v>
      </c>
      <c r="C1157" s="36">
        <v>61887.72</v>
      </c>
      <c r="D1157" s="36">
        <v>61898.8</v>
      </c>
      <c r="E1157" s="30" cm="1">
        <f t="array" ref="E1157">IF(D1157="","",D1157-C1157)</f>
        <v>11.080000000001746</v>
      </c>
      <c r="F1157" s="31" cm="1">
        <f t="array" ref="F1157">IF(D1157=0,"",(D1157-C1157)/C1157)</f>
        <v>1.7903390204069154E-4</v>
      </c>
      <c r="G1157" s="32">
        <v>0.42010999999999998</v>
      </c>
      <c r="H1157" s="10">
        <v>1</v>
      </c>
      <c r="I1157" s="11" cm="1">
        <f t="array" ref="I1157">IF(D1157="","",(G1157*C1157)*0.00075)</f>
        <v>19.4997375369</v>
      </c>
      <c r="J1157" s="11" cm="1">
        <f t="array" ref="J1157">IF(D1157="","",(G1157*D1157)*0.00075)</f>
        <v>19.503228651000001</v>
      </c>
      <c r="K1157" s="33" cm="1">
        <f t="array" ref="K1157">IF(D1157="","",J1157+I1157)</f>
        <v>39.0029661879</v>
      </c>
      <c r="L1157" s="33" cm="1">
        <f t="array" ref="L1157">IF(D1157=0,0,(D1157-C1157)*G1157)</f>
        <v>4.6548188000007338</v>
      </c>
      <c r="M1157" s="12">
        <v>25975.492001749</v>
      </c>
      <c r="N1157" s="34" cm="1">
        <f t="array" ref="N1157">IFERROR((K1157-J1157)/J1157,"–")</f>
        <v>0.99982099814535985</v>
      </c>
      <c r="O1157" s="33" cm="1">
        <f t="array" ref="O1157">IF(D1157=0,0,L1157-K1157)</f>
        <v>-34.348147387899267</v>
      </c>
      <c r="P1157" s="11" cm="1">
        <f t="array" ref="P1157">SUM(O834:O1157)</f>
        <v>10486.006898751242</v>
      </c>
      <c r="Q1157" s="35"/>
    </row>
    <row r="1158" spans="1:17" ht="22.5" customHeight="1">
      <c r="A1158" s="7"/>
      <c r="B1158" s="40"/>
      <c r="C1158" s="37"/>
      <c r="D1158" s="37"/>
      <c r="E1158" s="40" t="str" cm="1">
        <f t="array" ref="E1158">IF(D1158="","",D1158-C1158)</f>
        <v/>
      </c>
      <c r="F1158" s="40" t="str" cm="1">
        <f t="array" ref="F1158">IF(D1158=0,"",(D1158-C1158)/C1158)</f>
        <v/>
      </c>
      <c r="G1158" s="21"/>
      <c r="H1158" s="22">
        <v>1</v>
      </c>
      <c r="I1158" s="40" t="str" cm="1">
        <f t="array" ref="I1158">IF(D1158="","",(G1158*C1158)*0.00075)</f>
        <v/>
      </c>
      <c r="J1158" s="40" t="str" cm="1">
        <f t="array" ref="J1158">IF(D1158="","",(G1158*D1158)*0.00075)</f>
        <v/>
      </c>
      <c r="K1158" s="40" t="str" cm="1">
        <f t="array" ref="K1158">IF(D1158="","",J1158+I1158)</f>
        <v/>
      </c>
      <c r="L1158" s="24" cm="1">
        <f t="array" ref="L1158">IF(D1158=0,0,(D1158-C1158)*G1158)</f>
        <v>0</v>
      </c>
      <c r="M1158" s="46" t="s">
        <v>13</v>
      </c>
      <c r="N1158" s="47" t="str" cm="1">
        <f t="array" ref="N1158">IFERROR((K1158-J1158)/J1158,"–")</f>
        <v>–</v>
      </c>
      <c r="O1158" s="24" cm="1">
        <f t="array" ref="O1158">IF(D1158=0,0,L1158-K1158)</f>
        <v>0</v>
      </c>
      <c r="P1158" s="23"/>
      <c r="Q1158" s="27"/>
    </row>
    <row r="1159" spans="1:17" ht="22.5" customHeight="1">
      <c r="A1159" s="16" t="s">
        <v>190</v>
      </c>
      <c r="B1159" s="28">
        <v>44501</v>
      </c>
      <c r="C1159" s="36">
        <v>65.62</v>
      </c>
      <c r="D1159" s="36">
        <v>65.2</v>
      </c>
      <c r="E1159" s="30" cm="1">
        <f t="array" ref="E1159">IF(D1159="","",D1159-C1159)</f>
        <v>-0.42000000000000171</v>
      </c>
      <c r="F1159" s="31" cm="1">
        <f t="array" ref="F1159">IF(D1159=0,"",(D1159-C1159)/C1159)</f>
        <v>-6.400487656202403E-3</v>
      </c>
      <c r="G1159" s="32">
        <v>190.49</v>
      </c>
      <c r="H1159" s="10">
        <v>1</v>
      </c>
      <c r="I1159" s="11" cm="1">
        <f t="array" ref="I1159">IF(D1159="","",(G1159*C1159)*0.00075)</f>
        <v>9.3749653500000019</v>
      </c>
      <c r="J1159" s="11" cm="1">
        <f t="array" ref="J1159">IF(D1159="","",(G1159*D1159)*0.00075)</f>
        <v>9.3149610000000003</v>
      </c>
      <c r="K1159" s="33" cm="1">
        <f t="array" ref="K1159">IF(D1159="","",J1159+I1159)</f>
        <v>18.68992635</v>
      </c>
      <c r="L1159" s="33" cm="1">
        <f t="array" ref="L1159">IF(D1159=0,0,(D1159-C1159)*G1159)</f>
        <v>-80.005800000000335</v>
      </c>
      <c r="M1159" s="12">
        <v>12570.644639</v>
      </c>
      <c r="N1159" s="34" cm="1">
        <f t="array" ref="N1159">IFERROR((K1159-J1159)/J1159,"–")</f>
        <v>1.0064417177914111</v>
      </c>
      <c r="O1159" s="33" cm="1">
        <f t="array" ref="O1159">IF(D1159=0,0,L1159-K1159)</f>
        <v>-98.695726350000342</v>
      </c>
      <c r="P1159" s="11"/>
      <c r="Q1159" s="35"/>
    </row>
    <row r="1160" spans="1:17" ht="22.5" customHeight="1">
      <c r="A1160" s="16" t="s">
        <v>190</v>
      </c>
      <c r="B1160" s="17">
        <v>44501</v>
      </c>
      <c r="C1160" s="37">
        <v>65.62</v>
      </c>
      <c r="D1160" s="37">
        <v>65.03</v>
      </c>
      <c r="E1160" s="19" cm="1">
        <f t="array" ref="E1160">IF(D1160="","",D1160-C1160)</f>
        <v>-0.59000000000000341</v>
      </c>
      <c r="F1160" s="20" cm="1">
        <f t="array" ref="F1160">IF(D1160=0,"",(D1160-C1160)/C1160)</f>
        <v>-8.9911612313319615E-3</v>
      </c>
      <c r="G1160" s="21">
        <v>190.49</v>
      </c>
      <c r="H1160" s="22">
        <v>1</v>
      </c>
      <c r="I1160" s="23" cm="1">
        <f t="array" ref="I1160">IF(D1160="","",(G1160*C1160)*0.00075)</f>
        <v>9.3749653500000019</v>
      </c>
      <c r="J1160" s="23" cm="1">
        <f t="array" ref="J1160">IF(D1160="","",(G1160*D1160)*0.00075)</f>
        <v>9.2906735250000008</v>
      </c>
      <c r="K1160" s="24" cm="1">
        <f t="array" ref="K1160">IF(D1160="","",J1160+I1160)</f>
        <v>18.665638875000003</v>
      </c>
      <c r="L1160" s="24" cm="1">
        <f t="array" ref="L1160">IF(D1160=0,0,(D1160-C1160)*G1160)</f>
        <v>-112.38910000000065</v>
      </c>
      <c r="M1160" s="25">
        <v>12603.052226475</v>
      </c>
      <c r="N1160" s="26" cm="1">
        <f t="array" ref="N1160">IFERROR((K1160-J1160)/J1160,"–")</f>
        <v>1.0090727356604645</v>
      </c>
      <c r="O1160" s="24" cm="1">
        <f t="array" ref="O1160">IF(D1160=0,0,L1160-K1160)</f>
        <v>-131.05473887500065</v>
      </c>
      <c r="P1160" s="23"/>
      <c r="Q1160" s="27"/>
    </row>
    <row r="1161" spans="1:17" ht="22.5" customHeight="1">
      <c r="A1161" s="16" t="s">
        <v>20</v>
      </c>
      <c r="B1161" s="28">
        <v>44501</v>
      </c>
      <c r="C1161" s="36">
        <v>3.2199999999999999E-2</v>
      </c>
      <c r="D1161" s="36">
        <v>3.3250000000000002E-2</v>
      </c>
      <c r="E1161" s="30" cm="1">
        <f t="array" ref="E1161">IF(D1161="","",D1161-C1161)</f>
        <v>1.0500000000000023E-3</v>
      </c>
      <c r="F1161" s="31" cm="1">
        <f t="array" ref="F1161">IF(D1161=0,"",(D1161-C1161)/C1161)</f>
        <v>3.2608695652173988E-2</v>
      </c>
      <c r="G1161" s="32">
        <v>190207</v>
      </c>
      <c r="H1161" s="10">
        <v>1</v>
      </c>
      <c r="I1161" s="11" cm="1">
        <f t="array" ref="I1161">IF(D1161="","",(G1161*C1161)*0.00075)</f>
        <v>4.5934990500000001</v>
      </c>
      <c r="J1161" s="11" cm="1">
        <f t="array" ref="J1161">IF(D1161="","",(G1161*D1161)*0.00075)</f>
        <v>4.7432870625000003</v>
      </c>
      <c r="K1161" s="33" cm="1">
        <f t="array" ref="K1161">IF(D1161="","",J1161+I1161)</f>
        <v>9.3367861125000005</v>
      </c>
      <c r="L1161" s="33" cm="1">
        <f t="array" ref="L1161">IF(D1161=0,0,(D1161-C1161)*G1161)</f>
        <v>199.71735000000044</v>
      </c>
      <c r="M1161" s="12">
        <v>5920.2047629375002</v>
      </c>
      <c r="N1161" s="34" cm="1">
        <f t="array" ref="N1161">IFERROR((K1161-J1161)/J1161,"–")</f>
        <v>0.96842105263157896</v>
      </c>
      <c r="O1161" s="33" cm="1">
        <f t="array" ref="O1161">IF(D1161=0,0,L1161-K1161)</f>
        <v>190.38056388750044</v>
      </c>
      <c r="P1161" s="11"/>
      <c r="Q1161" s="35"/>
    </row>
    <row r="1162" spans="1:17" ht="22.5" customHeight="1">
      <c r="A1162" s="16" t="s">
        <v>20</v>
      </c>
      <c r="B1162" s="17">
        <v>44501</v>
      </c>
      <c r="C1162" s="37">
        <v>3.2199999999999999E-2</v>
      </c>
      <c r="D1162" s="37">
        <v>3.3000000000000002E-2</v>
      </c>
      <c r="E1162" s="19" cm="1">
        <f t="array" ref="E1162">IF(D1162="","",D1162-C1162)</f>
        <v>8.000000000000021E-4</v>
      </c>
      <c r="F1162" s="20" cm="1">
        <f t="array" ref="F1162">IF(D1162=0,"",(D1162-C1162)/C1162)</f>
        <v>2.4844720496894474E-2</v>
      </c>
      <c r="G1162" s="21">
        <v>285310</v>
      </c>
      <c r="H1162" s="22">
        <v>1</v>
      </c>
      <c r="I1162" s="23" cm="1">
        <f t="array" ref="I1162">IF(D1162="","",(G1162*C1162)*0.00075)</f>
        <v>6.8902365000000003</v>
      </c>
      <c r="J1162" s="23" cm="1">
        <f t="array" ref="J1162">IF(D1162="","",(G1162*D1162)*0.00075)</f>
        <v>7.0614224999999999</v>
      </c>
      <c r="K1162" s="24" cm="1">
        <f t="array" ref="K1162">IF(D1162="","",J1162+I1162)</f>
        <v>13.951658999999999</v>
      </c>
      <c r="L1162" s="24" cm="1">
        <f t="array" ref="L1162">IF(D1162=0,0,(D1162-C1162)*G1162)</f>
        <v>228.24800000000059</v>
      </c>
      <c r="M1162" s="25">
        <v>8951.6725774999995</v>
      </c>
      <c r="N1162" s="26" cm="1">
        <f t="array" ref="N1162">IFERROR((K1162-J1162)/J1162,"–")</f>
        <v>0.97575757575757571</v>
      </c>
      <c r="O1162" s="24" cm="1">
        <f t="array" ref="O1162">IF(D1162=0,0,L1162-K1162)</f>
        <v>214.29634100000058</v>
      </c>
      <c r="P1162" s="23"/>
      <c r="Q1162" s="27"/>
    </row>
    <row r="1163" spans="1:17" ht="22.5" customHeight="1">
      <c r="A1163" s="16" t="s">
        <v>20</v>
      </c>
      <c r="B1163" s="28">
        <v>44501</v>
      </c>
      <c r="C1163" s="36">
        <v>3.2199999999999999E-2</v>
      </c>
      <c r="D1163" s="36">
        <v>3.3700000000000001E-2</v>
      </c>
      <c r="E1163" s="30" cm="1">
        <f t="array" ref="E1163">IF(D1163="","",D1163-C1163)</f>
        <v>1.5000000000000013E-3</v>
      </c>
      <c r="F1163" s="31" cm="1">
        <f t="array" ref="F1163">IF(D1163=0,"",(D1163-C1163)/C1163)</f>
        <v>4.6583850931677058E-2</v>
      </c>
      <c r="G1163" s="32">
        <v>142655</v>
      </c>
      <c r="H1163" s="10">
        <v>1</v>
      </c>
      <c r="I1163" s="11" cm="1">
        <f t="array" ref="I1163">IF(D1163="","",(G1163*C1163)*0.00075)</f>
        <v>3.4451182500000002</v>
      </c>
      <c r="J1163" s="11" cm="1">
        <f t="array" ref="J1163">IF(D1163="","",(G1163*D1163)*0.00075)</f>
        <v>3.6056051250000003</v>
      </c>
      <c r="K1163" s="33" cm="1">
        <f t="array" ref="K1163">IF(D1163="","",J1163+I1163)</f>
        <v>7.0507233750000005</v>
      </c>
      <c r="L1163" s="33" cm="1">
        <f t="array" ref="L1163">IF(D1163=0,0,(D1163-C1163)*G1163)</f>
        <v>213.98250000000019</v>
      </c>
      <c r="M1163" s="12">
        <v>4375.9028948750001</v>
      </c>
      <c r="N1163" s="34" cm="1">
        <f t="array" ref="N1163">IFERROR((K1163-J1163)/J1163,"–")</f>
        <v>0.95548961424332346</v>
      </c>
      <c r="O1163" s="33" cm="1">
        <f t="array" ref="O1163">IF(D1163=0,0,L1163-K1163)</f>
        <v>206.9317766250002</v>
      </c>
      <c r="P1163" s="11"/>
      <c r="Q1163" s="35"/>
    </row>
    <row r="1164" spans="1:17" ht="22.5" customHeight="1">
      <c r="A1164" s="16" t="s">
        <v>20</v>
      </c>
      <c r="B1164" s="17">
        <v>44501</v>
      </c>
      <c r="C1164" s="37">
        <v>3.2199999999999999E-2</v>
      </c>
      <c r="D1164" s="37">
        <v>3.3649999999999999E-2</v>
      </c>
      <c r="E1164" s="19" cm="1">
        <f t="array" ref="E1164">IF(D1164="","",D1164-C1164)</f>
        <v>1.4499999999999999E-3</v>
      </c>
      <c r="F1164" s="20" cm="1">
        <f t="array" ref="F1164">IF(D1164=0,"",(D1164-C1164)/C1164)</f>
        <v>4.5031055900621113E-2</v>
      </c>
      <c r="G1164" s="21">
        <v>138655</v>
      </c>
      <c r="H1164" s="22">
        <v>1</v>
      </c>
      <c r="I1164" s="23" cm="1">
        <f t="array" ref="I1164">IF(D1164="","",(G1164*C1164)*0.00075)</f>
        <v>3.3485182500000001</v>
      </c>
      <c r="J1164" s="23" cm="1">
        <f t="array" ref="J1164">IF(D1164="","",(G1164*D1164)*0.00075)</f>
        <v>3.4993055625</v>
      </c>
      <c r="K1164" s="24" cm="1">
        <f t="array" ref="K1164">IF(D1164="","",J1164+I1164)</f>
        <v>6.8478238124999997</v>
      </c>
      <c r="L1164" s="24" cm="1">
        <f t="array" ref="L1164">IF(D1164=0,0,(D1164-C1164)*G1164)</f>
        <v>201.04974999999999</v>
      </c>
      <c r="M1164" s="25">
        <v>4260.1419444374997</v>
      </c>
      <c r="N1164" s="26" cm="1">
        <f t="array" ref="N1164">IFERROR((K1164-J1164)/J1164,"–")</f>
        <v>0.95690936106983648</v>
      </c>
      <c r="O1164" s="24" cm="1">
        <f t="array" ref="O1164">IF(D1164=0,0,L1164-K1164)</f>
        <v>194.20192618749999</v>
      </c>
      <c r="P1164" s="23"/>
      <c r="Q1164" s="27"/>
    </row>
    <row r="1165" spans="1:17" ht="22.5" customHeight="1">
      <c r="A1165" s="16" t="s">
        <v>20</v>
      </c>
      <c r="B1165" s="28">
        <v>44501</v>
      </c>
      <c r="C1165" s="36">
        <v>3.2199999999999999E-2</v>
      </c>
      <c r="D1165" s="36">
        <v>3.3500000000000002E-2</v>
      </c>
      <c r="E1165" s="30" cm="1">
        <f t="array" ref="E1165">IF(D1165="","",D1165-C1165)</f>
        <v>1.3000000000000025E-3</v>
      </c>
      <c r="F1165" s="31" cm="1">
        <f t="array" ref="F1165">IF(D1165=0,"",(D1165-C1165)/C1165)</f>
        <v>4.0372670807453492E-2</v>
      </c>
      <c r="G1165" s="32">
        <v>4001</v>
      </c>
      <c r="H1165" s="10">
        <v>1</v>
      </c>
      <c r="I1165" s="11" cm="1">
        <f t="array" ref="I1165">IF(D1165="","",(G1165*C1165)*0.00075)</f>
        <v>9.6624150000000006E-2</v>
      </c>
      <c r="J1165" s="11" cm="1">
        <f t="array" ref="J1165">IF(D1165="","",(G1165*D1165)*0.00075)</f>
        <v>0.10052512500000001</v>
      </c>
      <c r="K1165" s="33" cm="1">
        <f t="array" ref="K1165">IF(D1165="","",J1165+I1165)</f>
        <v>0.19714927500000001</v>
      </c>
      <c r="L1165" s="33" cm="1">
        <f t="array" ref="L1165">IF(D1165=0,0,(D1165-C1165)*G1165)</f>
        <v>5.2013000000000105</v>
      </c>
      <c r="M1165" s="12">
        <v>123.53037487500001</v>
      </c>
      <c r="N1165" s="34" cm="1">
        <f t="array" ref="N1165">IFERROR((K1165-J1165)/J1165,"–")</f>
        <v>0.96119402985074631</v>
      </c>
      <c r="O1165" s="33" cm="1">
        <f t="array" ref="O1165">IF(D1165=0,0,L1165-K1165)</f>
        <v>5.0041507250000103</v>
      </c>
      <c r="P1165" s="11"/>
      <c r="Q1165" s="35"/>
    </row>
    <row r="1166" spans="1:17" ht="22.5" customHeight="1">
      <c r="A1166" s="16" t="s">
        <v>217</v>
      </c>
      <c r="B1166" s="17">
        <v>44501</v>
      </c>
      <c r="C1166" s="37">
        <v>45.45</v>
      </c>
      <c r="D1166" s="37">
        <v>46.2</v>
      </c>
      <c r="E1166" s="19" cm="1">
        <f t="array" ref="E1166">IF(D1166="","",D1166-C1166)</f>
        <v>0.75</v>
      </c>
      <c r="F1166" s="20" cm="1">
        <f t="array" ref="F1166">IF(D1166=0,"",(D1166-C1166)/C1166)</f>
        <v>1.65016501650165E-2</v>
      </c>
      <c r="G1166" s="21">
        <v>0.49</v>
      </c>
      <c r="H1166" s="22">
        <v>1</v>
      </c>
      <c r="I1166" s="23" cm="1">
        <f t="array" ref="I1166">IF(D1166="","",(G1166*C1166)*0.00075)</f>
        <v>1.6702875000000002E-2</v>
      </c>
      <c r="J1166" s="23" cm="1">
        <f t="array" ref="J1166">IF(D1166="","",(G1166*D1166)*0.00075)</f>
        <v>1.6978500000000001E-2</v>
      </c>
      <c r="K1166" s="24" cm="1">
        <f t="array" ref="K1166">IF(D1166="","",J1166+I1166)</f>
        <v>3.3681375E-2</v>
      </c>
      <c r="L1166" s="24" cm="1">
        <f t="array" ref="L1166">IF(D1166=0,0,(D1166-C1166)*G1166)</f>
        <v>0.36749999999999999</v>
      </c>
      <c r="M1166" s="25">
        <v>21.886021499999998</v>
      </c>
      <c r="N1166" s="26" cm="1">
        <f t="array" ref="N1166">IFERROR((K1166-J1166)/J1166,"–")</f>
        <v>0.98376623376623362</v>
      </c>
      <c r="O1166" s="24" cm="1">
        <f t="array" ref="O1166">IF(D1166=0,0,L1166-K1166)</f>
        <v>0.33381862499999998</v>
      </c>
      <c r="P1166" s="23"/>
      <c r="Q1166" s="27"/>
    </row>
    <row r="1167" spans="1:17" ht="22.5" customHeight="1">
      <c r="A1167" s="16" t="s">
        <v>217</v>
      </c>
      <c r="B1167" s="28">
        <v>44501</v>
      </c>
      <c r="C1167" s="36">
        <v>45.45</v>
      </c>
      <c r="D1167" s="36">
        <v>46</v>
      </c>
      <c r="E1167" s="30" cm="1">
        <f t="array" ref="E1167">IF(D1167="","",D1167-C1167)</f>
        <v>0.54999999999999716</v>
      </c>
      <c r="F1167" s="31" cm="1">
        <f t="array" ref="F1167">IF(D1167=0,"",(D1167-C1167)/C1167)</f>
        <v>1.2101210121012038E-2</v>
      </c>
      <c r="G1167" s="32">
        <v>218.91</v>
      </c>
      <c r="H1167" s="10">
        <v>1</v>
      </c>
      <c r="I1167" s="11" cm="1">
        <f t="array" ref="I1167">IF(D1167="","",(G1167*C1167)*0.00075)</f>
        <v>7.4620946250000006</v>
      </c>
      <c r="J1167" s="11" cm="1">
        <f t="array" ref="J1167">IF(D1167="","",(G1167*D1167)*0.00075)</f>
        <v>7.5523950000000006</v>
      </c>
      <c r="K1167" s="33" cm="1">
        <f t="array" ref="K1167">IF(D1167="","",J1167+I1167)</f>
        <v>15.014489625000001</v>
      </c>
      <c r="L1167" s="33" cm="1">
        <f t="array" ref="L1167">IF(D1167=0,0,(D1167-C1167)*G1167)</f>
        <v>120.40049999999938</v>
      </c>
      <c r="M1167" s="12">
        <v>9821.5066050000005</v>
      </c>
      <c r="N1167" s="34" cm="1">
        <f t="array" ref="N1167">IFERROR((K1167-J1167)/J1167,"–")</f>
        <v>0.98804347826086958</v>
      </c>
      <c r="O1167" s="33" cm="1">
        <f t="array" ref="O1167">IF(D1167=0,0,L1167-K1167)</f>
        <v>105.38601037499939</v>
      </c>
      <c r="P1167" s="11"/>
      <c r="Q1167" s="35"/>
    </row>
    <row r="1168" spans="1:17" ht="22.5" customHeight="1">
      <c r="A1168" s="16" t="s">
        <v>217</v>
      </c>
      <c r="B1168" s="17">
        <v>44501</v>
      </c>
      <c r="C1168" s="37">
        <v>45.45</v>
      </c>
      <c r="D1168" s="37">
        <v>46</v>
      </c>
      <c r="E1168" s="19" cm="1">
        <f t="array" ref="E1168">IF(D1168="","",D1168-C1168)</f>
        <v>0.54999999999999716</v>
      </c>
      <c r="F1168" s="20" cm="1">
        <f t="array" ref="F1168">IF(D1168=0,"",(D1168-C1168)/C1168)</f>
        <v>1.2101210121012038E-2</v>
      </c>
      <c r="G1168" s="21">
        <v>218.92</v>
      </c>
      <c r="H1168" s="22">
        <v>1</v>
      </c>
      <c r="I1168" s="23" cm="1">
        <f t="array" ref="I1168">IF(D1168="","",(G1168*C1168)*0.00075)</f>
        <v>7.4624355000000007</v>
      </c>
      <c r="J1168" s="23" cm="1">
        <f t="array" ref="J1168">IF(D1168="","",(G1168*D1168)*0.00075)</f>
        <v>7.55274</v>
      </c>
      <c r="K1168" s="24" cm="1">
        <f t="array" ref="K1168">IF(D1168="","",J1168+I1168)</f>
        <v>15.015175500000002</v>
      </c>
      <c r="L1168" s="24" cm="1">
        <f t="array" ref="L1168">IF(D1168=0,0,(D1168-C1168)*G1168)</f>
        <v>120.40599999999937</v>
      </c>
      <c r="M1168" s="25">
        <v>9821.9552600000006</v>
      </c>
      <c r="N1168" s="26" cm="1">
        <f t="array" ref="N1168">IFERROR((K1168-J1168)/J1168,"–")</f>
        <v>0.9880434782608698</v>
      </c>
      <c r="O1168" s="24" cm="1">
        <f t="array" ref="O1168">IF(D1168=0,0,L1168-K1168)</f>
        <v>105.39082449999937</v>
      </c>
      <c r="P1168" s="23"/>
      <c r="Q1168" s="27"/>
    </row>
    <row r="1169" spans="1:17" ht="22.5" customHeight="1">
      <c r="A1169" s="16" t="s">
        <v>217</v>
      </c>
      <c r="B1169" s="28">
        <v>44501</v>
      </c>
      <c r="C1169" s="36">
        <v>45.45</v>
      </c>
      <c r="D1169" s="36">
        <v>46.15</v>
      </c>
      <c r="E1169" s="30" cm="1">
        <f t="array" ref="E1169">IF(D1169="","",D1169-C1169)</f>
        <v>0.69999999999999574</v>
      </c>
      <c r="F1169" s="31" cm="1">
        <f t="array" ref="F1169">IF(D1169=0,"",(D1169-C1169)/C1169)</f>
        <v>1.5401540154015307E-2</v>
      </c>
      <c r="G1169" s="32">
        <v>111.72</v>
      </c>
      <c r="H1169" s="10">
        <v>1</v>
      </c>
      <c r="I1169" s="11" cm="1">
        <f t="array" ref="I1169">IF(D1169="","",(G1169*C1169)*0.00075)</f>
        <v>3.8082555</v>
      </c>
      <c r="J1169" s="11" cm="1">
        <f t="array" ref="J1169">IF(D1169="","",(G1169*D1169)*0.00075)</f>
        <v>3.8669084999999996</v>
      </c>
      <c r="K1169" s="33" cm="1">
        <f t="array" ref="K1169">IF(D1169="","",J1169+I1169)</f>
        <v>7.6751639999999997</v>
      </c>
      <c r="L1169" s="33" cm="1">
        <f t="array" ref="L1169">IF(D1169=0,0,(D1169-C1169)*G1169)</f>
        <v>78.203999999999525</v>
      </c>
      <c r="M1169" s="12">
        <v>4995.6030915000001</v>
      </c>
      <c r="N1169" s="34" cm="1">
        <f t="array" ref="N1169">IFERROR((K1169-J1169)/J1169,"–")</f>
        <v>0.98483206933911172</v>
      </c>
      <c r="O1169" s="33" cm="1">
        <f t="array" ref="O1169">IF(D1169=0,0,L1169-K1169)</f>
        <v>70.528835999999529</v>
      </c>
      <c r="P1169" s="11"/>
      <c r="Q1169" s="35"/>
    </row>
    <row r="1170" spans="1:17" ht="22.5" customHeight="1">
      <c r="A1170" s="16" t="s">
        <v>218</v>
      </c>
      <c r="B1170" s="17">
        <v>44503</v>
      </c>
      <c r="C1170" s="37">
        <v>4.617</v>
      </c>
      <c r="D1170" s="37">
        <v>4.6180000000000003</v>
      </c>
      <c r="E1170" s="19" cm="1">
        <f t="array" ref="E1170">IF(D1170="","",D1170-C1170)</f>
        <v>1.000000000000334E-3</v>
      </c>
      <c r="F1170" s="20" cm="1">
        <f t="array" ref="F1170">IF(D1170=0,"",(D1170-C1170)/C1170)</f>
        <v>2.1659085986578601E-4</v>
      </c>
      <c r="G1170" s="21">
        <v>5413</v>
      </c>
      <c r="H1170" s="22">
        <v>1</v>
      </c>
      <c r="I1170" s="23" cm="1">
        <f t="array" ref="I1170">IF(D1170="","",(G1170*C1170)*0.00075)</f>
        <v>18.743865750000001</v>
      </c>
      <c r="J1170" s="23" cm="1">
        <f t="array" ref="J1170">IF(D1170="","",(G1170*D1170)*0.00075)</f>
        <v>18.747925500000001</v>
      </c>
      <c r="K1170" s="24" cm="1">
        <f t="array" ref="K1170">IF(D1170="","",J1170+I1170)</f>
        <v>37.491791250000006</v>
      </c>
      <c r="L1170" s="24" cm="1">
        <f t="array" ref="L1170">IF(D1170=0,0,(D1170-C1170)*G1170)</f>
        <v>5.4130000000018077</v>
      </c>
      <c r="M1170" s="25">
        <v>24967.6600745</v>
      </c>
      <c r="N1170" s="26" cm="1">
        <f t="array" ref="N1170">IFERROR((K1170-J1170)/J1170,"–")</f>
        <v>0.99978345604157659</v>
      </c>
      <c r="O1170" s="24" cm="1">
        <f t="array" ref="O1170">IF(D1170=0,0,L1170-K1170)</f>
        <v>-32.078791249998197</v>
      </c>
      <c r="P1170" s="23"/>
      <c r="Q1170" s="27"/>
    </row>
    <row r="1171" spans="1:17" ht="22.5" customHeight="1">
      <c r="A1171" s="16" t="s">
        <v>218</v>
      </c>
      <c r="B1171" s="28">
        <v>44503</v>
      </c>
      <c r="C1171" s="36">
        <v>4.617</v>
      </c>
      <c r="D1171" s="36">
        <v>4.6180000000000003</v>
      </c>
      <c r="E1171" s="30" cm="1">
        <f t="array" ref="E1171">IF(D1171="","",D1171-C1171)</f>
        <v>1.000000000000334E-3</v>
      </c>
      <c r="F1171" s="31" cm="1">
        <f t="array" ref="F1171">IF(D1171=0,"",(D1171-C1171)/C1171)</f>
        <v>2.1659085986578601E-4</v>
      </c>
      <c r="G1171" s="32">
        <v>0.7</v>
      </c>
      <c r="H1171" s="10">
        <v>1</v>
      </c>
      <c r="I1171" s="11" cm="1">
        <f t="array" ref="I1171">IF(D1171="","",(G1171*C1171)*0.00075)</f>
        <v>2.423925E-3</v>
      </c>
      <c r="J1171" s="11" cm="1">
        <f t="array" ref="J1171">IF(D1171="","",(G1171*D1171)*0.00075)</f>
        <v>2.4244500000000003E-3</v>
      </c>
      <c r="K1171" s="33" cm="1">
        <f t="array" ref="K1171">IF(D1171="","",J1171+I1171)</f>
        <v>4.8483750000000003E-3</v>
      </c>
      <c r="L1171" s="33" cm="1">
        <f t="array" ref="L1171">IF(D1171=0,0,(D1171-C1171)*G1171)</f>
        <v>7.0000000000023375E-4</v>
      </c>
      <c r="M1171" s="12">
        <v>3.2287755499999999</v>
      </c>
      <c r="N1171" s="34" cm="1">
        <f t="array" ref="N1171">IFERROR((K1171-J1171)/J1171,"–")</f>
        <v>0.99978345604157626</v>
      </c>
      <c r="O1171" s="33" cm="1">
        <f t="array" ref="O1171">IF(D1171=0,0,L1171-K1171)</f>
        <v>-4.1483749999997668E-3</v>
      </c>
      <c r="P1171" s="11"/>
      <c r="Q1171" s="35"/>
    </row>
    <row r="1172" spans="1:17" ht="22.5" customHeight="1">
      <c r="A1172" s="16" t="s">
        <v>133</v>
      </c>
      <c r="B1172" s="17">
        <v>44503</v>
      </c>
      <c r="C1172" s="37">
        <v>1.1938</v>
      </c>
      <c r="D1172" s="37">
        <v>1.194</v>
      </c>
      <c r="E1172" s="19" cm="1">
        <f t="array" ref="E1172">IF(D1172="","",D1172-C1172)</f>
        <v>1.9999999999997797E-4</v>
      </c>
      <c r="F1172" s="20" cm="1">
        <f t="array" ref="F1172">IF(D1172=0,"",(D1172-C1172)/C1172)</f>
        <v>1.6753224995809848E-4</v>
      </c>
      <c r="G1172" s="21">
        <v>90</v>
      </c>
      <c r="H1172" s="22">
        <v>1</v>
      </c>
      <c r="I1172" s="23" cm="1">
        <f t="array" ref="I1172">IF(D1172="","",(G1172*C1172)*0.00075)</f>
        <v>8.05815E-2</v>
      </c>
      <c r="J1172" s="23" cm="1">
        <f t="array" ref="J1172">IF(D1172="","",(G1172*D1172)*0.00075)</f>
        <v>8.0595E-2</v>
      </c>
      <c r="K1172" s="24" cm="1">
        <f t="array" ref="K1172">IF(D1172="","",J1172+I1172)</f>
        <v>0.1611765</v>
      </c>
      <c r="L1172" s="24" cm="1">
        <f t="array" ref="L1172">IF(D1172=0,0,(D1172-C1172)*G1172)</f>
        <v>1.7999999999998018E-2</v>
      </c>
      <c r="M1172" s="25">
        <v>107.343405</v>
      </c>
      <c r="N1172" s="26" cm="1">
        <f t="array" ref="N1172">IFERROR((K1172-J1172)/J1172,"–")</f>
        <v>0.99983249581239531</v>
      </c>
      <c r="O1172" s="24" cm="1">
        <f t="array" ref="O1172">IF(D1172=0,0,L1172-K1172)</f>
        <v>-0.14317650000000198</v>
      </c>
      <c r="P1172" s="23"/>
      <c r="Q1172" s="27"/>
    </row>
    <row r="1173" spans="1:17" ht="22.5" customHeight="1">
      <c r="A1173" s="16" t="s">
        <v>133</v>
      </c>
      <c r="B1173" s="28">
        <v>44503</v>
      </c>
      <c r="C1173" s="36">
        <v>1.1938</v>
      </c>
      <c r="D1173" s="36">
        <v>1.1919999999999999</v>
      </c>
      <c r="E1173" s="30" cm="1">
        <f t="array" ref="E1173">IF(D1173="","",D1173-C1173)</f>
        <v>-1.8000000000000238E-3</v>
      </c>
      <c r="F1173" s="31" cm="1">
        <f t="array" ref="F1173">IF(D1173=0,"",(D1173-C1173)/C1173)</f>
        <v>-1.5077902496230724E-3</v>
      </c>
      <c r="G1173" s="32">
        <v>6282</v>
      </c>
      <c r="H1173" s="10">
        <v>1</v>
      </c>
      <c r="I1173" s="11" cm="1">
        <f t="array" ref="I1173">IF(D1173="","",(G1173*C1173)*0.00075)</f>
        <v>5.6245886999999994</v>
      </c>
      <c r="J1173" s="11" cm="1">
        <f t="array" ref="J1173">IF(D1173="","",(G1173*D1173)*0.00075)</f>
        <v>5.6161079999999997</v>
      </c>
      <c r="K1173" s="33" cm="1">
        <f t="array" ref="K1173">IF(D1173="","",J1173+I1173)</f>
        <v>11.240696699999999</v>
      </c>
      <c r="L1173" s="33" cm="1">
        <f t="array" ref="L1173">IF(D1173=0,0,(D1173-C1173)*G1173)</f>
        <v>-11.30760000000015</v>
      </c>
      <c r="M1173" s="12">
        <v>7505.1430920000003</v>
      </c>
      <c r="N1173" s="34" cm="1">
        <f t="array" ref="N1173">IFERROR((K1173-J1173)/J1173,"–")</f>
        <v>1.001510067114094</v>
      </c>
      <c r="O1173" s="33" cm="1">
        <f t="array" ref="O1173">IF(D1173=0,0,L1173-K1173)</f>
        <v>-22.548296700000151</v>
      </c>
      <c r="P1173" s="11"/>
      <c r="Q1173" s="35"/>
    </row>
    <row r="1174" spans="1:17" ht="22.5" customHeight="1">
      <c r="A1174" s="16" t="s">
        <v>133</v>
      </c>
      <c r="B1174" s="17">
        <v>44503</v>
      </c>
      <c r="C1174" s="37">
        <v>1.1938</v>
      </c>
      <c r="D1174" s="37">
        <v>1.1919999999999999</v>
      </c>
      <c r="E1174" s="19" cm="1">
        <f t="array" ref="E1174">IF(D1174="","",D1174-C1174)</f>
        <v>-1.8000000000000238E-3</v>
      </c>
      <c r="F1174" s="20" cm="1">
        <f t="array" ref="F1174">IF(D1174=0,"",(D1174-C1174)/C1174)</f>
        <v>-1.5077902496230724E-3</v>
      </c>
      <c r="G1174" s="21">
        <v>6192</v>
      </c>
      <c r="H1174" s="22">
        <v>1</v>
      </c>
      <c r="I1174" s="23" cm="1">
        <f t="array" ref="I1174">IF(D1174="","",(G1174*C1174)*0.00075)</f>
        <v>5.5440071999999994</v>
      </c>
      <c r="J1174" s="23" cm="1">
        <f t="array" ref="J1174">IF(D1174="","",(G1174*D1174)*0.00075)</f>
        <v>5.5356480000000001</v>
      </c>
      <c r="K1174" s="24" cm="1">
        <f t="array" ref="K1174">IF(D1174="","",J1174+I1174)</f>
        <v>11.079655199999999</v>
      </c>
      <c r="L1174" s="24" cm="1">
        <f t="array" ref="L1174">IF(D1174=0,0,(D1174-C1174)*G1174)</f>
        <v>-11.145600000000147</v>
      </c>
      <c r="M1174" s="25">
        <v>7397.6195520000001</v>
      </c>
      <c r="N1174" s="26" cm="1">
        <f t="array" ref="N1174">IFERROR((K1174-J1174)/J1174,"–")</f>
        <v>1.0015100671140937</v>
      </c>
      <c r="O1174" s="24" cm="1">
        <f t="array" ref="O1174">IF(D1174=0,0,L1174-K1174)</f>
        <v>-22.225255200000149</v>
      </c>
      <c r="P1174" s="23"/>
      <c r="Q1174" s="27"/>
    </row>
    <row r="1175" spans="1:17" ht="22.5" customHeight="1">
      <c r="A1175" s="16" t="s">
        <v>55</v>
      </c>
      <c r="B1175" s="28">
        <v>44503</v>
      </c>
      <c r="C1175" s="36">
        <v>0.11625000000000001</v>
      </c>
      <c r="D1175" s="36">
        <v>0.1176</v>
      </c>
      <c r="E1175" s="30" cm="1">
        <f t="array" ref="E1175">IF(D1175="","",D1175-C1175)</f>
        <v>1.3499999999999901E-3</v>
      </c>
      <c r="F1175" s="31" cm="1">
        <f t="array" ref="F1175">IF(D1175=0,"",(D1175-C1175)/C1175)</f>
        <v>1.1612903225806366E-2</v>
      </c>
      <c r="G1175" s="32">
        <v>53763.4</v>
      </c>
      <c r="H1175" s="10">
        <v>1</v>
      </c>
      <c r="I1175" s="11" cm="1">
        <f t="array" ref="I1175">IF(D1175="","",(G1175*C1175)*0.00075)</f>
        <v>4.687496437500001</v>
      </c>
      <c r="J1175" s="11" cm="1">
        <f t="array" ref="J1175">IF(D1175="","",(G1175*D1175)*0.00075)</f>
        <v>4.7419318800000001</v>
      </c>
      <c r="K1175" s="33" cm="1">
        <f t="array" ref="K1175">IF(D1175="","",J1175+I1175)</f>
        <v>9.4294283175000011</v>
      </c>
      <c r="L1175" s="33" cm="1">
        <f t="array" ref="L1175">IF(D1175=0,0,(D1175-C1175)*G1175)</f>
        <v>72.580589999999475</v>
      </c>
      <c r="M1175" s="12">
        <v>6172.6727281200001</v>
      </c>
      <c r="N1175" s="34" cm="1">
        <f t="array" ref="N1175">IFERROR((K1175-J1175)/J1175,"–")</f>
        <v>0.98852040816326547</v>
      </c>
      <c r="O1175" s="33" cm="1">
        <f t="array" ref="O1175">IF(D1175=0,0,L1175-K1175)</f>
        <v>63.151161682499477</v>
      </c>
      <c r="P1175" s="11"/>
      <c r="Q1175" s="35"/>
    </row>
    <row r="1176" spans="1:17" ht="22.5" customHeight="1">
      <c r="A1176" s="16" t="s">
        <v>55</v>
      </c>
      <c r="B1176" s="17">
        <v>44503</v>
      </c>
      <c r="C1176" s="37">
        <v>0.11625000000000001</v>
      </c>
      <c r="D1176" s="37">
        <v>0.11799999999999999</v>
      </c>
      <c r="E1176" s="19" cm="1">
        <f t="array" ref="E1176">IF(D1176="","",D1176-C1176)</f>
        <v>1.7499999999999877E-3</v>
      </c>
      <c r="F1176" s="20" cm="1">
        <f t="array" ref="F1176">IF(D1176=0,"",(D1176-C1176)/C1176)</f>
        <v>1.5053763440860108E-2</v>
      </c>
      <c r="G1176" s="21">
        <v>80645.100000000006</v>
      </c>
      <c r="H1176" s="22">
        <v>1</v>
      </c>
      <c r="I1176" s="23" cm="1">
        <f t="array" ref="I1176">IF(D1176="","",(G1176*C1176)*0.00075)</f>
        <v>7.0312446562500011</v>
      </c>
      <c r="J1176" s="23" cm="1">
        <f t="array" ref="J1176">IF(D1176="","",(G1176*D1176)*0.00075)</f>
        <v>7.1370913500000004</v>
      </c>
      <c r="K1176" s="24" cm="1">
        <f t="array" ref="K1176">IF(D1176="","",J1176+I1176)</f>
        <v>14.168336006250001</v>
      </c>
      <c r="L1176" s="24" cm="1">
        <f t="array" ref="L1176">IF(D1176=0,0,(D1176-C1176)*G1176)</f>
        <v>141.12892499999901</v>
      </c>
      <c r="M1176" s="25">
        <v>9226.7268586499995</v>
      </c>
      <c r="N1176" s="26" cm="1">
        <f t="array" ref="N1176">IFERROR((K1176-J1176)/J1176,"–")</f>
        <v>0.98516949152542377</v>
      </c>
      <c r="O1176" s="24" cm="1">
        <f t="array" ref="O1176">IF(D1176=0,0,L1176-K1176)</f>
        <v>126.96058899374901</v>
      </c>
      <c r="P1176" s="23"/>
      <c r="Q1176" s="27"/>
    </row>
    <row r="1177" spans="1:17" ht="22.5" customHeight="1">
      <c r="A1177" s="16" t="s">
        <v>55</v>
      </c>
      <c r="B1177" s="28">
        <v>44503</v>
      </c>
      <c r="C1177" s="36">
        <v>0.11625000000000001</v>
      </c>
      <c r="D1177" s="36">
        <v>0.12</v>
      </c>
      <c r="E1177" s="30" cm="1">
        <f t="array" ref="E1177">IF(D1177="","",D1177-C1177)</f>
        <v>3.7499999999999895E-3</v>
      </c>
      <c r="F1177" s="31" cm="1">
        <f t="array" ref="F1177">IF(D1177=0,"",(D1177-C1177)/C1177)</f>
        <v>3.2258064516128941E-2</v>
      </c>
      <c r="G1177" s="32">
        <v>80645.2</v>
      </c>
      <c r="H1177" s="10">
        <v>1</v>
      </c>
      <c r="I1177" s="11" cm="1">
        <f t="array" ref="I1177">IF(D1177="","",(G1177*C1177)*0.00075)</f>
        <v>7.0312533750000012</v>
      </c>
      <c r="J1177" s="11" cm="1">
        <f t="array" ref="J1177">IF(D1177="","",(G1177*D1177)*0.00075)</f>
        <v>7.2580679999999997</v>
      </c>
      <c r="K1177" s="33" cm="1">
        <f t="array" ref="K1177">IF(D1177="","",J1177+I1177)</f>
        <v>14.289321375</v>
      </c>
      <c r="L1177" s="33" cm="1">
        <f t="array" ref="L1177">IF(D1177=0,0,(D1177-C1177)*G1177)</f>
        <v>302.41949999999912</v>
      </c>
      <c r="M1177" s="12">
        <v>9065.3269319999999</v>
      </c>
      <c r="N1177" s="34" cm="1">
        <f t="array" ref="N1177">IFERROR((K1177-J1177)/J1177,"–")</f>
        <v>0.96875000000000011</v>
      </c>
      <c r="O1177" s="33" cm="1">
        <f t="array" ref="O1177">IF(D1177=0,0,L1177-K1177)</f>
        <v>288.13017862499913</v>
      </c>
      <c r="P1177" s="11"/>
      <c r="Q1177" s="35"/>
    </row>
    <row r="1178" spans="1:17" ht="22.5" customHeight="1">
      <c r="A1178" s="16" t="s">
        <v>219</v>
      </c>
      <c r="B1178" s="17">
        <v>44503</v>
      </c>
      <c r="C1178" s="37">
        <v>0.61429999999999996</v>
      </c>
      <c r="D1178" s="37">
        <v>0.62065000000000003</v>
      </c>
      <c r="E1178" s="19" cm="1">
        <f t="array" ref="E1178">IF(D1178="","",D1178-C1178)</f>
        <v>6.3500000000000778E-3</v>
      </c>
      <c r="F1178" s="20" cm="1">
        <f t="array" ref="F1178">IF(D1178=0,"",(D1178-C1178)/C1178)</f>
        <v>1.0336968907699948E-2</v>
      </c>
      <c r="G1178" s="21">
        <v>39069</v>
      </c>
      <c r="H1178" s="22">
        <v>1</v>
      </c>
      <c r="I1178" s="23" cm="1">
        <f t="array" ref="I1178">IF(D1178="","",(G1178*C1178)*0.00075)</f>
        <v>18.000065025000001</v>
      </c>
      <c r="J1178" s="23" cm="1">
        <f t="array" ref="J1178">IF(D1178="","",(G1178*D1178)*0.00075)</f>
        <v>18.186131137500002</v>
      </c>
      <c r="K1178" s="24" cm="1">
        <f t="array" ref="K1178">IF(D1178="","",J1178+I1178)</f>
        <v>36.186196162500003</v>
      </c>
      <c r="L1178" s="24" cm="1">
        <f t="array" ref="L1178">IF(D1178=0,0,(D1178-C1178)*G1178)</f>
        <v>248.08815000000303</v>
      </c>
      <c r="M1178" s="25">
        <v>23733.812418862501</v>
      </c>
      <c r="N1178" s="26" cm="1">
        <f t="array" ref="N1178">IFERROR((K1178-J1178)/J1178,"–")</f>
        <v>0.9897687907838556</v>
      </c>
      <c r="O1178" s="24" cm="1">
        <f t="array" ref="O1178">IF(D1178=0,0,L1178-K1178)</f>
        <v>211.90195383750302</v>
      </c>
      <c r="P1178" s="23"/>
      <c r="Q1178" s="27"/>
    </row>
    <row r="1179" spans="1:17" ht="22.5" customHeight="1">
      <c r="A1179" s="16" t="s">
        <v>47</v>
      </c>
      <c r="B1179" s="28">
        <v>44504</v>
      </c>
      <c r="C1179" s="36">
        <v>12.2</v>
      </c>
      <c r="D1179" s="36">
        <v>11.81</v>
      </c>
      <c r="E1179" s="30" cm="1">
        <f t="array" ref="E1179">IF(D1179="","",D1179-C1179)</f>
        <v>-0.38999999999999879</v>
      </c>
      <c r="F1179" s="31" cm="1">
        <f t="array" ref="F1179">IF(D1179=0,"",(D1179-C1179)/C1179)</f>
        <v>-3.1967213114753999E-2</v>
      </c>
      <c r="G1179" s="32">
        <v>109.36</v>
      </c>
      <c r="H1179" s="10">
        <v>1</v>
      </c>
      <c r="I1179" s="11" cm="1">
        <f t="array" ref="I1179">IF(D1179="","",(G1179*C1179)*0.00075)</f>
        <v>1.0006440000000001</v>
      </c>
      <c r="J1179" s="11" cm="1">
        <f t="array" ref="J1179">IF(D1179="","",(G1179*D1179)*0.00075)</f>
        <v>0.96865620000000008</v>
      </c>
      <c r="K1179" s="33" cm="1">
        <f t="array" ref="K1179">IF(D1179="","",J1179+I1179)</f>
        <v>1.9693002000000002</v>
      </c>
      <c r="L1179" s="33" cm="1">
        <f t="array" ref="L1179">IF(D1179=0,0,(D1179-C1179)*G1179)</f>
        <v>-42.65039999999987</v>
      </c>
      <c r="M1179" s="12">
        <v>1375.8737438000001</v>
      </c>
      <c r="N1179" s="34" cm="1">
        <f t="array" ref="N1179">IFERROR((K1179-J1179)/J1179,"–")</f>
        <v>1.0330228619813717</v>
      </c>
      <c r="O1179" s="33" cm="1">
        <f t="array" ref="O1179">IF(D1179=0,0,L1179-K1179)</f>
        <v>-44.619700199999869</v>
      </c>
      <c r="P1179" s="11"/>
      <c r="Q1179" s="35"/>
    </row>
    <row r="1180" spans="1:17" ht="22.5" customHeight="1">
      <c r="A1180" s="16" t="s">
        <v>154</v>
      </c>
      <c r="B1180" s="17">
        <v>44504</v>
      </c>
      <c r="C1180" s="37">
        <v>7.6955</v>
      </c>
      <c r="D1180" s="37">
        <v>7.6749999999999998</v>
      </c>
      <c r="E1180" s="19" cm="1">
        <f t="array" ref="E1180">IF(D1180="","",D1180-C1180)</f>
        <v>-2.0500000000000185E-2</v>
      </c>
      <c r="F1180" s="20" cm="1">
        <f t="array" ref="F1180">IF(D1180=0,"",(D1180-C1180)/C1180)</f>
        <v>-2.6638944837892513E-3</v>
      </c>
      <c r="G1180" s="21">
        <v>3339.5</v>
      </c>
      <c r="H1180" s="22">
        <v>1</v>
      </c>
      <c r="I1180" s="23" cm="1">
        <f t="array" ref="I1180">IF(D1180="","",(G1180*C1180)*0.00075)</f>
        <v>19.274341687500002</v>
      </c>
      <c r="J1180" s="23" cm="1">
        <f t="array" ref="J1180">IF(D1180="","",(G1180*D1180)*0.00075)</f>
        <v>19.222996875</v>
      </c>
      <c r="K1180" s="24" cm="1">
        <f t="array" ref="K1180">IF(D1180="","",J1180+I1180)</f>
        <v>38.497338562500005</v>
      </c>
      <c r="L1180" s="24" cm="1">
        <f t="array" ref="L1180">IF(D1180=0,0,(D1180-C1180)*G1180)</f>
        <v>-68.459750000000611</v>
      </c>
      <c r="M1180" s="25">
        <v>25748.359003124999</v>
      </c>
      <c r="N1180" s="26" cm="1">
        <f t="array" ref="N1180">IFERROR((K1180-J1180)/J1180,"–")</f>
        <v>1.0026710097719873</v>
      </c>
      <c r="O1180" s="24" cm="1">
        <f t="array" ref="O1180">IF(D1180=0,0,L1180-K1180)</f>
        <v>-106.95708856250062</v>
      </c>
      <c r="P1180" s="23"/>
      <c r="Q1180" s="27"/>
    </row>
    <row r="1181" spans="1:17" ht="22.5" customHeight="1">
      <c r="A1181" s="16" t="s">
        <v>71</v>
      </c>
      <c r="B1181" s="28">
        <v>44504</v>
      </c>
      <c r="C1181" s="36">
        <v>8.9849999999999999E-2</v>
      </c>
      <c r="D1181" s="36">
        <v>9.0749999999999997E-2</v>
      </c>
      <c r="E1181" s="30" cm="1">
        <f t="array" ref="E1181">IF(D1181="","",D1181-C1181)</f>
        <v>8.9999999999999802E-4</v>
      </c>
      <c r="F1181" s="31" cm="1">
        <f t="array" ref="F1181">IF(D1181=0,"",(D1181-C1181)/C1181)</f>
        <v>1.0016694490818007E-2</v>
      </c>
      <c r="G1181" s="32">
        <v>53524</v>
      </c>
      <c r="H1181" s="10">
        <v>1</v>
      </c>
      <c r="I1181" s="11" cm="1">
        <f t="array" ref="I1181">IF(D1181="","",(G1181*C1181)*0.00075)</f>
        <v>3.60684855</v>
      </c>
      <c r="J1181" s="11" cm="1">
        <f t="array" ref="J1181">IF(D1181="","",(G1181*D1181)*0.00075)</f>
        <v>3.6429772499999999</v>
      </c>
      <c r="K1181" s="33" cm="1">
        <f t="array" ref="K1181">IF(D1181="","",J1181+I1181)</f>
        <v>7.2498258</v>
      </c>
      <c r="L1181" s="33" cm="1">
        <f t="array" ref="L1181">IF(D1181=0,0,(D1181-C1181)*G1181)</f>
        <v>48.171599999999891</v>
      </c>
      <c r="M1181" s="12">
        <v>4757.31682275</v>
      </c>
      <c r="N1181" s="34" cm="1">
        <f t="array" ref="N1181">IFERROR((K1181-J1181)/J1181,"–")</f>
        <v>0.99008264462809925</v>
      </c>
      <c r="O1181" s="33" cm="1">
        <f t="array" ref="O1181">IF(D1181=0,0,L1181-K1181)</f>
        <v>40.921774199999888</v>
      </c>
      <c r="P1181" s="11"/>
      <c r="Q1181" s="35"/>
    </row>
    <row r="1182" spans="1:17" ht="22.5" customHeight="1">
      <c r="A1182" s="16" t="s">
        <v>71</v>
      </c>
      <c r="B1182" s="17">
        <v>44504</v>
      </c>
      <c r="C1182" s="37">
        <v>8.9849999999999999E-2</v>
      </c>
      <c r="D1182" s="37">
        <v>9.0749999999999997E-2</v>
      </c>
      <c r="E1182" s="19" cm="1">
        <f t="array" ref="E1182">IF(D1182="","",D1182-C1182)</f>
        <v>8.9999999999999802E-4</v>
      </c>
      <c r="F1182" s="20" cm="1">
        <f t="array" ref="F1182">IF(D1182=0,"",(D1182-C1182)/C1182)</f>
        <v>1.0016694490818007E-2</v>
      </c>
      <c r="G1182" s="21">
        <v>40143</v>
      </c>
      <c r="H1182" s="22">
        <v>1</v>
      </c>
      <c r="I1182" s="23" cm="1">
        <f t="array" ref="I1182">IF(D1182="","",(G1182*C1182)*0.00075)</f>
        <v>2.7051364125000004</v>
      </c>
      <c r="J1182" s="23" cm="1">
        <f t="array" ref="J1182">IF(D1182="","",(G1182*D1182)*0.00075)</f>
        <v>2.7322329375000001</v>
      </c>
      <c r="K1182" s="24" cm="1">
        <f t="array" ref="K1182">IF(D1182="","",J1182+I1182)</f>
        <v>5.4373693500000009</v>
      </c>
      <c r="L1182" s="24" cm="1">
        <f t="array" ref="L1182">IF(D1182=0,0,(D1182-C1182)*G1182)</f>
        <v>36.128699999999924</v>
      </c>
      <c r="M1182" s="25">
        <v>3567.9876170624998</v>
      </c>
      <c r="N1182" s="26" cm="1">
        <f t="array" ref="N1182">IFERROR((K1182-J1182)/J1182,"–")</f>
        <v>0.99008264462809947</v>
      </c>
      <c r="O1182" s="24" cm="1">
        <f t="array" ref="O1182">IF(D1182=0,0,L1182-K1182)</f>
        <v>30.691330649999923</v>
      </c>
      <c r="P1182" s="23"/>
      <c r="Q1182" s="27"/>
    </row>
    <row r="1183" spans="1:17" ht="22.5" customHeight="1">
      <c r="A1183" s="16" t="s">
        <v>71</v>
      </c>
      <c r="B1183" s="28">
        <v>44504</v>
      </c>
      <c r="C1183" s="36">
        <v>8.9849999999999999E-2</v>
      </c>
      <c r="D1183" s="36">
        <v>9.0999999999999998E-2</v>
      </c>
      <c r="E1183" s="30" cm="1">
        <f t="array" ref="E1183">IF(D1183="","",D1183-C1183)</f>
        <v>1.1499999999999982E-3</v>
      </c>
      <c r="F1183" s="31" cm="1">
        <f t="array" ref="F1183">IF(D1183=0,"",(D1183-C1183)/C1183)</f>
        <v>1.2799109627156352E-2</v>
      </c>
      <c r="G1183" s="32">
        <v>47948</v>
      </c>
      <c r="H1183" s="10">
        <v>1</v>
      </c>
      <c r="I1183" s="11" cm="1">
        <f t="array" ref="I1183">IF(D1183="","",(G1183*C1183)*0.00075)</f>
        <v>3.2310958500000004</v>
      </c>
      <c r="J1183" s="11" cm="1">
        <f t="array" ref="J1183">IF(D1183="","",(G1183*D1183)*0.00075)</f>
        <v>3.2724510000000002</v>
      </c>
      <c r="K1183" s="33" cm="1">
        <f t="array" ref="K1183">IF(D1183="","",J1183+I1183)</f>
        <v>6.5035468500000011</v>
      </c>
      <c r="L1183" s="33" cm="1">
        <f t="array" ref="L1183">IF(D1183=0,0,(D1183-C1183)*G1183)</f>
        <v>55.140199999999915</v>
      </c>
      <c r="M1183" s="12">
        <v>4249.7151489999997</v>
      </c>
      <c r="N1183" s="34" cm="1">
        <f t="array" ref="N1183">IFERROR((K1183-J1183)/J1183,"–")</f>
        <v>0.98736263736263752</v>
      </c>
      <c r="O1183" s="33" cm="1">
        <f t="array" ref="O1183">IF(D1183=0,0,L1183-K1183)</f>
        <v>48.636653149999916</v>
      </c>
      <c r="P1183" s="11"/>
      <c r="Q1183" s="35"/>
    </row>
    <row r="1184" spans="1:17" ht="22.5" customHeight="1">
      <c r="A1184" s="16" t="s">
        <v>71</v>
      </c>
      <c r="B1184" s="17">
        <v>44504</v>
      </c>
      <c r="C1184" s="37">
        <v>8.9849999999999999E-2</v>
      </c>
      <c r="D1184" s="37">
        <v>9.1350000000000001E-2</v>
      </c>
      <c r="E1184" s="19" cm="1">
        <f t="array" ref="E1184">IF(D1184="","",D1184-C1184)</f>
        <v>1.5000000000000013E-3</v>
      </c>
      <c r="F1184" s="20" cm="1">
        <f t="array" ref="F1184">IF(D1184=0,"",(D1184-C1184)/C1184)</f>
        <v>1.6694490818030067E-2</v>
      </c>
      <c r="G1184" s="21">
        <v>35961</v>
      </c>
      <c r="H1184" s="22">
        <v>1</v>
      </c>
      <c r="I1184" s="23" cm="1">
        <f t="array" ref="I1184">IF(D1184="","",(G1184*C1184)*0.00075)</f>
        <v>2.4233218875000002</v>
      </c>
      <c r="J1184" s="23" cm="1">
        <f t="array" ref="J1184">IF(D1184="","",(G1184*D1184)*0.00075)</f>
        <v>2.4637780125000002</v>
      </c>
      <c r="K1184" s="24" cm="1">
        <f t="array" ref="K1184">IF(D1184="","",J1184+I1184)</f>
        <v>4.8870999000000008</v>
      </c>
      <c r="L1184" s="24" cm="1">
        <f t="array" ref="L1184">IF(D1184=0,0,(D1184-C1184)*G1184)</f>
        <v>53.941500000000048</v>
      </c>
      <c r="M1184" s="25">
        <v>3174.6905719874999</v>
      </c>
      <c r="N1184" s="26" cm="1">
        <f t="array" ref="N1184">IFERROR((K1184-J1184)/J1184,"–")</f>
        <v>0.98357963875205279</v>
      </c>
      <c r="O1184" s="24" cm="1">
        <f t="array" ref="O1184">IF(D1184=0,0,L1184-K1184)</f>
        <v>49.054400100000045</v>
      </c>
      <c r="P1184" s="23"/>
      <c r="Q1184" s="27"/>
    </row>
    <row r="1185" spans="1:17" ht="22.5" customHeight="1">
      <c r="A1185" s="16" t="s">
        <v>71</v>
      </c>
      <c r="B1185" s="28">
        <v>44504</v>
      </c>
      <c r="C1185" s="36">
        <v>8.9849999999999999E-2</v>
      </c>
      <c r="D1185" s="36">
        <v>9.1249999999999998E-2</v>
      </c>
      <c r="E1185" s="30" cm="1">
        <f t="array" ref="E1185">IF(D1185="","",D1185-C1185)</f>
        <v>1.3999999999999985E-3</v>
      </c>
      <c r="F1185" s="31" cm="1">
        <f t="array" ref="F1185">IF(D1185=0,"",(D1185-C1185)/C1185)</f>
        <v>1.5581524763494696E-2</v>
      </c>
      <c r="G1185" s="32">
        <v>53942</v>
      </c>
      <c r="H1185" s="10">
        <v>1</v>
      </c>
      <c r="I1185" s="11" cm="1">
        <f t="array" ref="I1185">IF(D1185="","",(G1185*C1185)*0.00075)</f>
        <v>3.6350165249999997</v>
      </c>
      <c r="J1185" s="11" cm="1">
        <f t="array" ref="J1185">IF(D1185="","",(G1185*D1185)*0.00075)</f>
        <v>3.6916556249999997</v>
      </c>
      <c r="K1185" s="33" cm="1">
        <f t="array" ref="K1185">IF(D1185="","",J1185+I1185)</f>
        <v>7.3266721499999994</v>
      </c>
      <c r="L1185" s="33" cm="1">
        <f t="array" ref="L1185">IF(D1185=0,0,(D1185-C1185)*G1185)</f>
        <v>75.518799999999914</v>
      </c>
      <c r="M1185" s="12">
        <v>4767.478244375</v>
      </c>
      <c r="N1185" s="34" cm="1">
        <f t="array" ref="N1185">IFERROR((K1185-J1185)/J1185,"–")</f>
        <v>0.98465753424657532</v>
      </c>
      <c r="O1185" s="33" cm="1">
        <f t="array" ref="O1185">IF(D1185=0,0,L1185-K1185)</f>
        <v>68.19212784999992</v>
      </c>
      <c r="P1185" s="11"/>
      <c r="Q1185" s="35"/>
    </row>
    <row r="1186" spans="1:17" ht="22.5" customHeight="1">
      <c r="A1186" s="16" t="s">
        <v>71</v>
      </c>
      <c r="B1186" s="17">
        <v>44504</v>
      </c>
      <c r="C1186" s="37">
        <v>8.9849999999999999E-2</v>
      </c>
      <c r="D1186" s="37">
        <v>9.1039999999999996E-2</v>
      </c>
      <c r="E1186" s="19" cm="1">
        <f t="array" ref="E1186">IF(D1186="","",D1186-C1186)</f>
        <v>1.1899999999999966E-3</v>
      </c>
      <c r="F1186" s="20" cm="1">
        <f t="array" ref="F1186">IF(D1186=0,"",(D1186-C1186)/C1186)</f>
        <v>1.3244296048970469E-2</v>
      </c>
      <c r="G1186" s="21">
        <v>26113</v>
      </c>
      <c r="H1186" s="22">
        <v>1</v>
      </c>
      <c r="I1186" s="23" cm="1">
        <f t="array" ref="I1186">IF(D1186="","",(G1186*C1186)*0.00075)</f>
        <v>1.7596897874999999</v>
      </c>
      <c r="J1186" s="23" cm="1">
        <f t="array" ref="J1186">IF(D1186="","",(G1186*D1186)*0.00075)</f>
        <v>1.78299564</v>
      </c>
      <c r="K1186" s="24" cm="1">
        <f t="array" ref="K1186">IF(D1186="","",J1186+I1186)</f>
        <v>3.5426854274999999</v>
      </c>
      <c r="L1186" s="24" cm="1">
        <f t="array" ref="L1186">IF(D1186=0,0,(D1186-C1186)*G1186)</f>
        <v>31.074469999999913</v>
      </c>
      <c r="M1186" s="25">
        <v>2313.3955843600002</v>
      </c>
      <c r="N1186" s="26" cm="1">
        <f t="array" ref="N1186">IFERROR((K1186-J1186)/J1186,"–")</f>
        <v>0.98692882249560632</v>
      </c>
      <c r="O1186" s="24" cm="1">
        <f t="array" ref="O1186">IF(D1186=0,0,L1186-K1186)</f>
        <v>27.531784572499912</v>
      </c>
      <c r="P1186" s="23"/>
      <c r="Q1186" s="27"/>
    </row>
    <row r="1187" spans="1:17" ht="22.5" customHeight="1">
      <c r="A1187" s="16" t="s">
        <v>71</v>
      </c>
      <c r="B1187" s="28">
        <v>44504</v>
      </c>
      <c r="C1187" s="36">
        <v>8.9849999999999999E-2</v>
      </c>
      <c r="D1187" s="36">
        <v>0.09</v>
      </c>
      <c r="E1187" s="30" cm="1">
        <f t="array" ref="E1187">IF(D1187="","",D1187-C1187)</f>
        <v>1.4999999999999736E-4</v>
      </c>
      <c r="F1187" s="31" cm="1">
        <f t="array" ref="F1187">IF(D1187=0,"",(D1187-C1187)/C1187)</f>
        <v>1.6694490818029756E-3</v>
      </c>
      <c r="G1187" s="32">
        <v>27830</v>
      </c>
      <c r="H1187" s="10">
        <v>1</v>
      </c>
      <c r="I1187" s="11" cm="1">
        <f t="array" ref="I1187">IF(D1187="","",(G1187*C1187)*0.00075)</f>
        <v>1.8753941250000001</v>
      </c>
      <c r="J1187" s="11" cm="1">
        <f t="array" ref="J1187">IF(D1187="","",(G1187*D1187)*0.00075)</f>
        <v>1.878525</v>
      </c>
      <c r="K1187" s="33" cm="1">
        <f t="array" ref="K1187">IF(D1187="","",J1187+I1187)</f>
        <v>3.7539191250000004</v>
      </c>
      <c r="L1187" s="33" cm="1">
        <f t="array" ref="L1187">IF(D1187=0,0,(D1187-C1187)*G1187)</f>
        <v>4.1744999999999264</v>
      </c>
      <c r="M1187" s="12">
        <v>2494.472475</v>
      </c>
      <c r="N1187" s="34" cm="1">
        <f t="array" ref="N1187">IFERROR((K1187-J1187)/J1187,"–")</f>
        <v>0.99833333333333352</v>
      </c>
      <c r="O1187" s="33" cm="1">
        <f t="array" ref="O1187">IF(D1187=0,0,L1187-K1187)</f>
        <v>0.42058087499992602</v>
      </c>
      <c r="P1187" s="11"/>
      <c r="Q1187" s="35"/>
    </row>
    <row r="1188" spans="1:17" ht="22.5" customHeight="1">
      <c r="A1188" s="16" t="s">
        <v>95</v>
      </c>
      <c r="B1188" s="17">
        <v>44505</v>
      </c>
      <c r="C1188" s="37">
        <v>0.28939999999999999</v>
      </c>
      <c r="D1188" s="37">
        <v>0.28989999999999999</v>
      </c>
      <c r="E1188" s="19" cm="1">
        <f t="array" ref="E1188">IF(D1188="","",D1188-C1188)</f>
        <v>5.0000000000000044E-4</v>
      </c>
      <c r="F1188" s="20" cm="1">
        <f t="array" ref="F1188">IF(D1188=0,"",(D1188-C1188)/C1188)</f>
        <v>1.7277125086385642E-3</v>
      </c>
      <c r="G1188" s="21">
        <v>86384</v>
      </c>
      <c r="H1188" s="22">
        <v>1</v>
      </c>
      <c r="I1188" s="23" cm="1">
        <f t="array" ref="I1188">IF(D1188="","",(G1188*C1188)*0.00075)</f>
        <v>18.749647199999998</v>
      </c>
      <c r="J1188" s="23" cm="1">
        <f t="array" ref="J1188">IF(D1188="","",(G1188*D1188)*0.00075)</f>
        <v>18.782041200000002</v>
      </c>
      <c r="K1188" s="24" cm="1">
        <f t="array" ref="K1188">IF(D1188="","",J1188+I1188)</f>
        <v>37.5316884</v>
      </c>
      <c r="L1188" s="24" cm="1">
        <f t="array" ref="L1188">IF(D1188=0,0,(D1188-C1188)*G1188)</f>
        <v>43.192000000000036</v>
      </c>
      <c r="M1188" s="25">
        <v>24937.555558799999</v>
      </c>
      <c r="N1188" s="26" cm="1">
        <f t="array" ref="N1188">IFERROR((K1188-J1188)/J1188,"–")</f>
        <v>0.99827526733356309</v>
      </c>
      <c r="O1188" s="24" cm="1">
        <f t="array" ref="O1188">IF(D1188=0,0,L1188-K1188)</f>
        <v>5.6603116000000355</v>
      </c>
      <c r="P1188" s="23"/>
      <c r="Q1188" s="27"/>
    </row>
    <row r="1189" spans="1:17" ht="22.5" customHeight="1">
      <c r="A1189" s="16" t="s">
        <v>220</v>
      </c>
      <c r="B1189" s="28">
        <v>44505</v>
      </c>
      <c r="C1189" s="36">
        <v>6.54</v>
      </c>
      <c r="D1189" s="36">
        <v>6.5739999999999998</v>
      </c>
      <c r="E1189" s="30" cm="1">
        <f t="array" ref="E1189">IF(D1189="","",D1189-C1189)</f>
        <v>3.3999999999999808E-2</v>
      </c>
      <c r="F1189" s="31" cm="1">
        <f t="array" ref="F1189">IF(D1189=0,"",(D1189-C1189)/C1189)</f>
        <v>5.1987767584097564E-3</v>
      </c>
      <c r="G1189" s="32">
        <v>3822.2</v>
      </c>
      <c r="H1189" s="10">
        <v>1</v>
      </c>
      <c r="I1189" s="11" cm="1">
        <f t="array" ref="I1189">IF(D1189="","",(G1189*C1189)*0.00075)</f>
        <v>18.747890999999999</v>
      </c>
      <c r="J1189" s="11" cm="1">
        <f t="array" ref="J1189">IF(D1189="","",(G1189*D1189)*0.00075)</f>
        <v>18.845357099999998</v>
      </c>
      <c r="K1189" s="33" cm="1">
        <f t="array" ref="K1189">IF(D1189="","",J1189+I1189)</f>
        <v>37.593248099999997</v>
      </c>
      <c r="L1189" s="33" cm="1">
        <f t="array" ref="L1189">IF(D1189=0,0,(D1189-C1189)*G1189)</f>
        <v>129.95479999999927</v>
      </c>
      <c r="M1189" s="12">
        <v>24848.3878429</v>
      </c>
      <c r="N1189" s="34" cm="1">
        <f t="array" ref="N1189">IFERROR((K1189-J1189)/J1189,"–")</f>
        <v>0.99482811073927602</v>
      </c>
      <c r="O1189" s="33" cm="1">
        <f t="array" ref="O1189">IF(D1189=0,0,L1189-K1189)</f>
        <v>92.36155189999927</v>
      </c>
      <c r="P1189" s="11"/>
      <c r="Q1189" s="35"/>
    </row>
    <row r="1190" spans="1:17" ht="22.5" customHeight="1">
      <c r="A1190" s="16" t="s">
        <v>143</v>
      </c>
      <c r="B1190" s="17">
        <v>44505</v>
      </c>
      <c r="C1190" s="37">
        <v>4.2118900000000004</v>
      </c>
      <c r="D1190" s="37">
        <v>4.25</v>
      </c>
      <c r="E1190" s="19" cm="1">
        <f t="array" ref="E1190">IF(D1190="","",D1190-C1190)</f>
        <v>3.8109999999999644E-2</v>
      </c>
      <c r="F1190" s="20" cm="1">
        <f t="array" ref="F1190">IF(D1190=0,"",(D1190-C1190)/C1190)</f>
        <v>9.0481945160010447E-3</v>
      </c>
      <c r="G1190" s="21">
        <v>3561.3</v>
      </c>
      <c r="H1190" s="22">
        <v>1</v>
      </c>
      <c r="I1190" s="23" cm="1">
        <f t="array" ref="I1190">IF(D1190="","",(G1190*C1190)*0.00075)</f>
        <v>11.249852892750003</v>
      </c>
      <c r="J1190" s="23" cm="1">
        <f t="array" ref="J1190">IF(D1190="","",(G1190*D1190)*0.00075)</f>
        <v>11.351643750000001</v>
      </c>
      <c r="K1190" s="24" cm="1">
        <f t="array" ref="K1190">IF(D1190="","",J1190+I1190)</f>
        <v>22.601496642750003</v>
      </c>
      <c r="L1190" s="24" cm="1">
        <f t="array" ref="L1190">IF(D1190=0,0,(D1190-C1190)*G1190)</f>
        <v>135.72114299999873</v>
      </c>
      <c r="M1190" s="25">
        <v>14852.73107025</v>
      </c>
      <c r="N1190" s="26" cm="1">
        <f t="array" ref="N1190">IFERROR((K1190-J1190)/J1190,"–")</f>
        <v>0.99103294117647078</v>
      </c>
      <c r="O1190" s="24" cm="1">
        <f t="array" ref="O1190">IF(D1190=0,0,L1190-K1190)</f>
        <v>113.11964635724873</v>
      </c>
      <c r="P1190" s="23"/>
      <c r="Q1190" s="27"/>
    </row>
    <row r="1191" spans="1:17" ht="22.5" customHeight="1">
      <c r="A1191" s="16" t="s">
        <v>47</v>
      </c>
      <c r="B1191" s="28">
        <v>44505</v>
      </c>
      <c r="C1191" s="36">
        <v>12.2</v>
      </c>
      <c r="D1191" s="36">
        <v>11.9</v>
      </c>
      <c r="E1191" s="30" cm="1">
        <f t="array" ref="E1191">IF(D1191="","",D1191-C1191)</f>
        <v>-0.29999999999999893</v>
      </c>
      <c r="F1191" s="31" cm="1">
        <f t="array" ref="F1191">IF(D1191=0,"",(D1191-C1191)/C1191)</f>
        <v>-2.4590163934426142E-2</v>
      </c>
      <c r="G1191" s="32">
        <v>100</v>
      </c>
      <c r="H1191" s="10">
        <v>1</v>
      </c>
      <c r="I1191" s="11" cm="1">
        <f t="array" ref="I1191">IF(D1191="","",(G1191*C1191)*0.00075)</f>
        <v>0.91500000000000004</v>
      </c>
      <c r="J1191" s="11" cm="1">
        <f t="array" ref="J1191">IF(D1191="","",(G1191*D1191)*0.00075)</f>
        <v>0.89250000000000007</v>
      </c>
      <c r="K1191" s="33" cm="1">
        <f t="array" ref="K1191">IF(D1191="","",J1191+I1191)</f>
        <v>1.8075000000000001</v>
      </c>
      <c r="L1191" s="33" cm="1">
        <f t="array" ref="L1191">IF(D1191=0,0,(D1191-C1191)*G1191)</f>
        <v>-29.999999999999893</v>
      </c>
      <c r="M1191" s="12">
        <v>1249.1075000000001</v>
      </c>
      <c r="N1191" s="34" cm="1">
        <f t="array" ref="N1191">IFERROR((K1191-J1191)/J1191,"–")</f>
        <v>1.0252100840336134</v>
      </c>
      <c r="O1191" s="33" cm="1">
        <f t="array" ref="O1191">IF(D1191=0,0,L1191-K1191)</f>
        <v>-31.807499999999894</v>
      </c>
      <c r="P1191" s="11"/>
      <c r="Q1191" s="35"/>
    </row>
    <row r="1192" spans="1:17" ht="22.5" customHeight="1">
      <c r="A1192" s="16" t="s">
        <v>59</v>
      </c>
      <c r="B1192" s="17">
        <v>44507</v>
      </c>
      <c r="C1192" s="37">
        <v>14.94</v>
      </c>
      <c r="D1192" s="37">
        <v>16.100000000000001</v>
      </c>
      <c r="E1192" s="19" cm="1">
        <f t="array" ref="E1192">IF(D1192="","",D1192-C1192)</f>
        <v>1.1600000000000019</v>
      </c>
      <c r="F1192" s="20" cm="1">
        <f t="array" ref="F1192">IF(D1192=0,"",(D1192-C1192)/C1192)</f>
        <v>7.7643908969210307E-2</v>
      </c>
      <c r="G1192" s="21">
        <v>350</v>
      </c>
      <c r="H1192" s="22">
        <v>1</v>
      </c>
      <c r="I1192" s="23" cm="1">
        <f t="array" ref="I1192">IF(D1192="","",(G1192*C1192)*0.00075)</f>
        <v>3.9217500000000003</v>
      </c>
      <c r="J1192" s="23" cm="1">
        <f t="array" ref="J1192">IF(D1192="","",(G1192*D1192)*0.00075)</f>
        <v>4.2262500000000012</v>
      </c>
      <c r="K1192" s="24" cm="1">
        <f t="array" ref="K1192">IF(D1192="","",J1192+I1192)</f>
        <v>8.1480000000000015</v>
      </c>
      <c r="L1192" s="24" cm="1">
        <f t="array" ref="L1192">IF(D1192=0,0,(D1192-C1192)*G1192)</f>
        <v>406.00000000000068</v>
      </c>
      <c r="M1192" s="25">
        <v>4818.7737500000003</v>
      </c>
      <c r="N1192" s="26" cm="1">
        <f t="array" ref="N1192">IFERROR((K1192-J1192)/J1192,"–")</f>
        <v>0.92795031055900601</v>
      </c>
      <c r="O1192" s="24" cm="1">
        <f t="array" ref="O1192">IF(D1192=0,0,L1192-K1192)</f>
        <v>397.85200000000066</v>
      </c>
      <c r="P1192" s="23"/>
      <c r="Q1192" s="27"/>
    </row>
    <row r="1193" spans="1:17" ht="22.5" customHeight="1">
      <c r="A1193" s="16" t="s">
        <v>221</v>
      </c>
      <c r="B1193" s="28">
        <v>44509</v>
      </c>
      <c r="C1193" s="36">
        <v>1.6462000000000001</v>
      </c>
      <c r="D1193" s="36">
        <v>1.669</v>
      </c>
      <c r="E1193" s="30" cm="1">
        <f t="array" ref="E1193">IF(D1193="","",D1193-C1193)</f>
        <v>2.2799999999999931E-2</v>
      </c>
      <c r="F1193" s="31" cm="1">
        <f t="array" ref="F1193">IF(D1193=0,"",(D1193-C1193)/C1193)</f>
        <v>1.3850078969748469E-2</v>
      </c>
      <c r="G1193" s="32">
        <v>4251.8999999999996</v>
      </c>
      <c r="H1193" s="10">
        <v>1</v>
      </c>
      <c r="I1193" s="11" cm="1">
        <f t="array" ref="I1193">IF(D1193="","",(G1193*C1193)*0.00075)</f>
        <v>5.2496083350000005</v>
      </c>
      <c r="J1193" s="11" cm="1">
        <f t="array" ref="J1193">IF(D1193="","",(G1193*D1193)*0.00075)</f>
        <v>5.3223158249999996</v>
      </c>
      <c r="K1193" s="33" cm="1">
        <f t="array" ref="K1193">IF(D1193="","",J1193+I1193)</f>
        <v>10.57192416</v>
      </c>
      <c r="L1193" s="33" cm="1">
        <f t="array" ref="L1193">IF(D1193=0,0,(D1193-C1193)*G1193)</f>
        <v>96.943319999999702</v>
      </c>
      <c r="M1193" s="12">
        <v>6897.2121441749996</v>
      </c>
      <c r="N1193" s="34" cm="1">
        <f t="array" ref="N1193">IFERROR((K1193-J1193)/J1193,"–")</f>
        <v>0.98633912522468559</v>
      </c>
      <c r="O1193" s="33" cm="1">
        <f t="array" ref="O1193">IF(D1193=0,0,L1193-K1193)</f>
        <v>86.371395839999707</v>
      </c>
      <c r="P1193" s="11"/>
      <c r="Q1193" s="35"/>
    </row>
    <row r="1194" spans="1:17" ht="22.5" customHeight="1">
      <c r="A1194" s="16" t="s">
        <v>221</v>
      </c>
      <c r="B1194" s="17">
        <v>44509</v>
      </c>
      <c r="C1194" s="37">
        <v>1.6462000000000001</v>
      </c>
      <c r="D1194" s="37">
        <v>1.675</v>
      </c>
      <c r="E1194" s="19" cm="1">
        <f t="array" ref="E1194">IF(D1194="","",D1194-C1194)</f>
        <v>2.8799999999999937E-2</v>
      </c>
      <c r="F1194" s="20" cm="1">
        <f t="array" ref="F1194">IF(D1194=0,"",(D1194-C1194)/C1194)</f>
        <v>1.7494836593366501E-2</v>
      </c>
      <c r="G1194" s="21">
        <v>3189</v>
      </c>
      <c r="H1194" s="22">
        <v>1</v>
      </c>
      <c r="I1194" s="23" cm="1">
        <f t="array" ref="I1194">IF(D1194="","",(G1194*C1194)*0.00075)</f>
        <v>3.9372988500000003</v>
      </c>
      <c r="J1194" s="23" cm="1">
        <f t="array" ref="J1194">IF(D1194="","",(G1194*D1194)*0.00075)</f>
        <v>4.00618125</v>
      </c>
      <c r="K1194" s="24" cm="1">
        <f t="array" ref="K1194">IF(D1194="","",J1194+I1194)</f>
        <v>7.9434801000000004</v>
      </c>
      <c r="L1194" s="24" cm="1">
        <f t="array" ref="L1194">IF(D1194=0,0,(D1194-C1194)*G1194)</f>
        <v>91.843199999999797</v>
      </c>
      <c r="M1194" s="25">
        <v>5153.8824187500004</v>
      </c>
      <c r="N1194" s="26" cm="1">
        <f t="array" ref="N1194">IFERROR((K1194-J1194)/J1194,"–")</f>
        <v>0.98280597014925386</v>
      </c>
      <c r="O1194" s="24" cm="1">
        <f t="array" ref="O1194">IF(D1194=0,0,L1194-K1194)</f>
        <v>83.899719899999795</v>
      </c>
      <c r="P1194" s="23"/>
      <c r="Q1194" s="27"/>
    </row>
    <row r="1195" spans="1:17" ht="22.5" customHeight="1">
      <c r="A1195" s="16" t="s">
        <v>221</v>
      </c>
      <c r="B1195" s="28">
        <v>44509</v>
      </c>
      <c r="C1195" s="36">
        <v>1.6462000000000001</v>
      </c>
      <c r="D1195" s="36">
        <v>1.6739999999999999</v>
      </c>
      <c r="E1195" s="30" cm="1">
        <f t="array" ref="E1195">IF(D1195="","",D1195-C1195)</f>
        <v>2.7799999999999825E-2</v>
      </c>
      <c r="F1195" s="31" cm="1">
        <f t="array" ref="F1195">IF(D1195=0,"",(D1195-C1195)/C1195)</f>
        <v>1.6887376989430096E-2</v>
      </c>
      <c r="G1195" s="32">
        <v>4783.5</v>
      </c>
      <c r="H1195" s="10">
        <v>1</v>
      </c>
      <c r="I1195" s="11" cm="1">
        <f t="array" ref="I1195">IF(D1195="","",(G1195*C1195)*0.00075)</f>
        <v>5.9059482750000001</v>
      </c>
      <c r="J1195" s="11" cm="1">
        <f t="array" ref="J1195">IF(D1195="","",(G1195*D1195)*0.00075)</f>
        <v>6.0056842499999998</v>
      </c>
      <c r="K1195" s="33" cm="1">
        <f t="array" ref="K1195">IF(D1195="","",J1195+I1195)</f>
        <v>11.911632525</v>
      </c>
      <c r="L1195" s="33" cm="1">
        <f t="array" ref="L1195">IF(D1195=0,0,(D1195-C1195)*G1195)</f>
        <v>132.98129999999915</v>
      </c>
      <c r="M1195" s="12">
        <v>7735.6107157500001</v>
      </c>
      <c r="N1195" s="34" cm="1">
        <f t="array" ref="N1195">IFERROR((K1195-J1195)/J1195,"–")</f>
        <v>0.9833930704898447</v>
      </c>
      <c r="O1195" s="33" cm="1">
        <f t="array" ref="O1195">IF(D1195=0,0,L1195-K1195)</f>
        <v>121.06966747499915</v>
      </c>
      <c r="P1195" s="11"/>
      <c r="Q1195" s="35"/>
    </row>
    <row r="1196" spans="1:17" ht="22.5" customHeight="1">
      <c r="A1196" s="16" t="s">
        <v>221</v>
      </c>
      <c r="B1196" s="17">
        <v>44509</v>
      </c>
      <c r="C1196" s="37">
        <v>1.6462000000000001</v>
      </c>
      <c r="D1196" s="37">
        <v>1.67</v>
      </c>
      <c r="E1196" s="19" cm="1">
        <f t="array" ref="E1196">IF(D1196="","",D1196-C1196)</f>
        <v>2.3799999999999821E-2</v>
      </c>
      <c r="F1196" s="20" cm="1">
        <f t="array" ref="F1196">IF(D1196=0,"",(D1196-C1196)/C1196)</f>
        <v>1.4457538573684741E-2</v>
      </c>
      <c r="G1196" s="21">
        <v>4783.5</v>
      </c>
      <c r="H1196" s="22">
        <v>1</v>
      </c>
      <c r="I1196" s="23" cm="1">
        <f t="array" ref="I1196">IF(D1196="","",(G1196*C1196)*0.00075)</f>
        <v>5.9059482750000001</v>
      </c>
      <c r="J1196" s="23" cm="1">
        <f t="array" ref="J1196">IF(D1196="","",(G1196*D1196)*0.00075)</f>
        <v>5.9913337499999999</v>
      </c>
      <c r="K1196" s="24" cm="1">
        <f t="array" ref="K1196">IF(D1196="","",J1196+I1196)</f>
        <v>11.897282024999999</v>
      </c>
      <c r="L1196" s="24" cm="1">
        <f t="array" ref="L1196">IF(D1196=0,0,(D1196-C1196)*G1196)</f>
        <v>113.84729999999915</v>
      </c>
      <c r="M1196" s="25">
        <v>7754.7590662499997</v>
      </c>
      <c r="N1196" s="26" cm="1">
        <f t="array" ref="N1196">IFERROR((K1196-J1196)/J1196,"–")</f>
        <v>0.98574850299401184</v>
      </c>
      <c r="O1196" s="24" cm="1">
        <f t="array" ref="O1196">IF(D1196=0,0,L1196-K1196)</f>
        <v>101.95001797499916</v>
      </c>
      <c r="P1196" s="23"/>
      <c r="Q1196" s="27"/>
    </row>
    <row r="1197" spans="1:17" ht="22.5" customHeight="1">
      <c r="A1197" s="16" t="s">
        <v>222</v>
      </c>
      <c r="B1197" s="53">
        <v>44510</v>
      </c>
      <c r="C1197" s="36">
        <v>9.0109999999999996E-2</v>
      </c>
      <c r="D1197" s="36">
        <v>9.0329999999999994E-2</v>
      </c>
      <c r="E1197" s="30" cm="1">
        <f t="array" ref="E1197">IF(D1197="","",D1197-C1197)</f>
        <v>2.1999999999999797E-4</v>
      </c>
      <c r="F1197" s="31" cm="1">
        <f t="array" ref="F1197">IF(D1197=0,"",(D1197-C1197)/C1197)</f>
        <v>2.4414604372433469E-3</v>
      </c>
      <c r="G1197" s="32">
        <v>26333</v>
      </c>
      <c r="H1197" s="10">
        <v>1</v>
      </c>
      <c r="I1197" s="11" cm="1">
        <f t="array" ref="I1197">IF(D1197="","",(G1197*C1197)*0.00075)</f>
        <v>1.7796499725000001</v>
      </c>
      <c r="J1197" s="11" cm="1">
        <f t="array" ref="J1197">IF(D1197="","",(G1197*D1197)*0.00075)</f>
        <v>1.7839949175000001</v>
      </c>
      <c r="K1197" s="33" cm="1">
        <f t="array" ref="K1197">IF(D1197="","",J1197+I1197)</f>
        <v>3.56364489</v>
      </c>
      <c r="L1197" s="33" cm="1">
        <f t="array" ref="L1197">IF(D1197=0,0,(D1197-C1197)*G1197)</f>
        <v>5.7932599999999468</v>
      </c>
      <c r="M1197" s="12">
        <v>2365.2893750825001</v>
      </c>
      <c r="N1197" s="34" cm="1">
        <f t="array" ref="N1197">IFERROR((K1197-J1197)/J1197,"–")</f>
        <v>0.99756448577438273</v>
      </c>
      <c r="O1197" s="33" cm="1">
        <f t="array" ref="O1197">IF(D1197=0,0,L1197-K1197)</f>
        <v>2.2296151099999468</v>
      </c>
      <c r="P1197" s="11"/>
      <c r="Q1197" s="35"/>
    </row>
    <row r="1198" spans="1:17" ht="22.5" customHeight="1">
      <c r="A1198" s="16" t="s">
        <v>223</v>
      </c>
      <c r="B1198" s="52">
        <v>44510</v>
      </c>
      <c r="C1198" s="37">
        <v>63.5</v>
      </c>
      <c r="D1198" s="37">
        <v>62.18</v>
      </c>
      <c r="E1198" s="19" cm="1">
        <f t="array" ref="E1198">IF(D1198="","",D1198-C1198)</f>
        <v>-1.3200000000000003</v>
      </c>
      <c r="F1198" s="20" cm="1">
        <f t="array" ref="F1198">IF(D1198=0,"",(D1198-C1198)/C1198)</f>
        <v>-2.0787401574803153E-2</v>
      </c>
      <c r="G1198" s="21">
        <v>37.78</v>
      </c>
      <c r="H1198" s="22">
        <v>1</v>
      </c>
      <c r="I1198" s="23" cm="1">
        <f t="array" ref="I1198">IF(D1198="","",(G1198*C1198)*0.00075)</f>
        <v>1.7992725000000003</v>
      </c>
      <c r="J1198" s="23" cm="1">
        <f t="array" ref="J1198">IF(D1198="","",(G1198*D1198)*0.00075)</f>
        <v>1.7618703000000002</v>
      </c>
      <c r="K1198" s="24" cm="1">
        <f t="array" ref="K1198">IF(D1198="","",J1198+I1198)</f>
        <v>3.5611428000000007</v>
      </c>
      <c r="L1198" s="24" cm="1">
        <f t="array" ref="L1198">IF(D1198=0,0,(D1198-C1198)*G1198)</f>
        <v>-49.869600000000013</v>
      </c>
      <c r="M1198" s="25">
        <v>2447.1377296999999</v>
      </c>
      <c r="N1198" s="26" cm="1">
        <f t="array" ref="N1198">IFERROR((K1198-J1198)/J1198,"–")</f>
        <v>1.0212286908973949</v>
      </c>
      <c r="O1198" s="24" cm="1">
        <f t="array" ref="O1198">IF(D1198=0,0,L1198-K1198)</f>
        <v>-53.430742800000012</v>
      </c>
      <c r="P1198" s="23"/>
      <c r="Q1198" s="27"/>
    </row>
    <row r="1199" spans="1:17" ht="22.5" customHeight="1">
      <c r="A1199" s="16" t="s">
        <v>93</v>
      </c>
      <c r="B1199" s="53">
        <v>44510</v>
      </c>
      <c r="C1199" s="36">
        <v>5.16</v>
      </c>
      <c r="D1199" s="36">
        <v>5.1449999999999996</v>
      </c>
      <c r="E1199" s="30" cm="1">
        <f t="array" ref="E1199">IF(D1199="","",D1199-C1199)</f>
        <v>-1.5000000000000568E-2</v>
      </c>
      <c r="F1199" s="31" cm="1">
        <f t="array" ref="F1199">IF(D1199=0,"",(D1199-C1199)/C1199)</f>
        <v>-2.9069767441861566E-3</v>
      </c>
      <c r="G1199" s="32">
        <v>930.1</v>
      </c>
      <c r="H1199" s="10">
        <v>1</v>
      </c>
      <c r="I1199" s="11" cm="1">
        <f t="array" ref="I1199">IF(D1199="","",(G1199*C1199)*0.00075)</f>
        <v>3.5994869999999999</v>
      </c>
      <c r="J1199" s="11" cm="1">
        <f t="array" ref="J1199">IF(D1199="","",(G1199*D1199)*0.00075)</f>
        <v>3.589023375</v>
      </c>
      <c r="K1199" s="33" cm="1">
        <f t="array" ref="K1199">IF(D1199="","",J1199+I1199)</f>
        <v>7.1885103749999999</v>
      </c>
      <c r="L1199" s="33" cm="1">
        <f t="array" ref="L1199">IF(D1199=0,0,(D1199-C1199)*G1199)</f>
        <v>-13.951500000000529</v>
      </c>
      <c r="M1199" s="12">
        <v>4809.6784766250003</v>
      </c>
      <c r="N1199" s="34" cm="1">
        <f t="array" ref="N1199">IFERROR((K1199-J1199)/J1199,"–")</f>
        <v>1.0029154518950436</v>
      </c>
      <c r="O1199" s="33" cm="1">
        <f t="array" ref="O1199">IF(D1199=0,0,L1199-K1199)</f>
        <v>-21.140010375000529</v>
      </c>
      <c r="P1199" s="11"/>
      <c r="Q1199" s="35"/>
    </row>
    <row r="1200" spans="1:17" ht="22.5" customHeight="1">
      <c r="A1200" s="16" t="s">
        <v>46</v>
      </c>
      <c r="B1200" s="52">
        <v>44511</v>
      </c>
      <c r="C1200" s="37">
        <v>3.24</v>
      </c>
      <c r="D1200" s="37">
        <v>3.2749999999999999</v>
      </c>
      <c r="E1200" s="19" cm="1">
        <f t="array" ref="E1200">IF(D1200="","",D1200-C1200)</f>
        <v>3.4999999999999698E-2</v>
      </c>
      <c r="F1200" s="20" cm="1">
        <f t="array" ref="F1200">IF(D1200=0,"",(D1200-C1200)/C1200)</f>
        <v>1.0802469135802375E-2</v>
      </c>
      <c r="G1200" s="21">
        <v>1500</v>
      </c>
      <c r="H1200" s="22">
        <v>1</v>
      </c>
      <c r="I1200" s="23" cm="1">
        <f t="array" ref="I1200">IF(D1200="","",(G1200*C1200)*0.00075)</f>
        <v>3.645</v>
      </c>
      <c r="J1200" s="23" cm="1">
        <f t="array" ref="J1200">IF(D1200="","",(G1200*D1200)*0.00075)</f>
        <v>3.6843750000000002</v>
      </c>
      <c r="K1200" s="24" cm="1">
        <f t="array" ref="K1200">IF(D1200="","",J1200+I1200)</f>
        <v>7.3293750000000006</v>
      </c>
      <c r="L1200" s="24" cm="1">
        <f t="array" ref="L1200">IF(D1200=0,0,(D1200-C1200)*G1200)</f>
        <v>52.499999999999545</v>
      </c>
      <c r="M1200" s="25">
        <v>4803.8156250000002</v>
      </c>
      <c r="N1200" s="26" cm="1">
        <f t="array" ref="N1200">IFERROR((K1200-J1200)/J1200,"–")</f>
        <v>0.98931297709923671</v>
      </c>
      <c r="O1200" s="24" cm="1">
        <f t="array" ref="O1200">IF(D1200=0,0,L1200-K1200)</f>
        <v>45.170624999999546</v>
      </c>
      <c r="P1200" s="23"/>
      <c r="Q1200" s="27"/>
    </row>
    <row r="1201" spans="1:17" ht="22.5" customHeight="1">
      <c r="A1201" s="16" t="s">
        <v>224</v>
      </c>
      <c r="B1201" s="53">
        <v>44512</v>
      </c>
      <c r="C1201" s="36">
        <v>34605</v>
      </c>
      <c r="D1201" s="36">
        <v>28900</v>
      </c>
      <c r="E1201" s="30" cm="1">
        <f t="array" ref="E1201">IF(D1201="","",D1201-C1201)</f>
        <v>-5705</v>
      </c>
      <c r="F1201" s="31" cm="1">
        <f t="array" ref="F1201">IF(D1201=0,"",(D1201-C1201)/C1201)</f>
        <v>-0.16486056928189569</v>
      </c>
      <c r="G1201" s="32">
        <v>1</v>
      </c>
      <c r="H1201" s="10">
        <v>1</v>
      </c>
      <c r="I1201" s="11" cm="1">
        <f t="array" ref="I1201">IF(D1201="","",(G1201*C1201)*0.00075)</f>
        <v>25.953749999999999</v>
      </c>
      <c r="J1201" s="11" cm="1">
        <f t="array" ref="J1201">IF(D1201="","",(G1201*D1201)*0.00075)</f>
        <v>21.675000000000001</v>
      </c>
      <c r="K1201" s="33" cm="1">
        <f t="array" ref="K1201">IF(D1201="","",J1201+I1201)</f>
        <v>47.628749999999997</v>
      </c>
      <c r="L1201" s="33" cm="1">
        <f t="array" ref="L1201">IF(D1201=0,0,(D1201-C1201)*G1201)</f>
        <v>-5705</v>
      </c>
      <c r="M1201" s="12">
        <v>40288.324999999997</v>
      </c>
      <c r="N1201" s="34" cm="1">
        <f t="array" ref="N1201">IFERROR((K1201-J1201)/J1201,"–")</f>
        <v>1.1974048442906573</v>
      </c>
      <c r="O1201" s="33" cm="1">
        <f t="array" ref="O1201">IF(D1201=0,0,L1201-K1201)+1470</f>
        <v>-4282.6287499999999</v>
      </c>
      <c r="P1201" s="14" t="s">
        <v>209</v>
      </c>
      <c r="Q1201" s="35"/>
    </row>
    <row r="1202" spans="1:17" ht="22.5" customHeight="1">
      <c r="A1202" s="16" t="s">
        <v>225</v>
      </c>
      <c r="B1202" s="52">
        <v>44512</v>
      </c>
      <c r="C1202" s="37">
        <v>271</v>
      </c>
      <c r="D1202" s="37">
        <v>1</v>
      </c>
      <c r="E1202" s="19" cm="1">
        <f t="array" ref="E1202">IF(D1202="","",D1202-C1202)</f>
        <v>-270</v>
      </c>
      <c r="F1202" s="20" cm="1">
        <f t="array" ref="F1202">IF(D1202=0,"",(D1202-C1202)/C1202)</f>
        <v>-0.99630996309963105</v>
      </c>
      <c r="G1202" s="21">
        <v>1</v>
      </c>
      <c r="H1202" s="22">
        <v>1</v>
      </c>
      <c r="I1202" s="23" cm="1">
        <f t="array" ref="I1202">IF(D1202="","",(G1202*C1202)*0.00075)</f>
        <v>0.20325000000000001</v>
      </c>
      <c r="J1202" s="23" cm="1">
        <f t="array" ref="J1202">IF(D1202="","",(G1202*D1202)*0.00075)</f>
        <v>7.5000000000000002E-4</v>
      </c>
      <c r="K1202" s="24" cm="1">
        <f t="array" ref="K1202">IF(D1202="","",J1202+I1202)</f>
        <v>0.20400000000000001</v>
      </c>
      <c r="L1202" s="24" cm="1">
        <f t="array" ref="L1202">IF(D1202=0,0,(D1202-C1202)*G1202)</f>
        <v>-270</v>
      </c>
      <c r="M1202" s="25">
        <v>540.99924999999996</v>
      </c>
      <c r="N1202" s="26" cm="1">
        <f t="array" ref="N1202">IFERROR((K1202-J1202)/J1202,"–")</f>
        <v>271</v>
      </c>
      <c r="O1202" s="24" cm="1">
        <f t="array" ref="O1202">IF(D1202=0,0,L1202-K1202)</f>
        <v>-270.20400000000001</v>
      </c>
      <c r="P1202" s="23"/>
      <c r="Q1202" s="27"/>
    </row>
    <row r="1203" spans="1:17" ht="22.5" customHeight="1">
      <c r="A1203" s="16" t="s">
        <v>49</v>
      </c>
      <c r="B1203" s="53">
        <v>44512</v>
      </c>
      <c r="C1203" s="36">
        <v>23.25</v>
      </c>
      <c r="D1203" s="36">
        <v>20.440000000000001</v>
      </c>
      <c r="E1203" s="30" cm="1">
        <f t="array" ref="E1203">IF(D1203="","",D1203-C1203)</f>
        <v>-2.8099999999999987</v>
      </c>
      <c r="F1203" s="31" cm="1">
        <f t="array" ref="F1203">IF(D1203=0,"",(D1203-C1203)/C1203)</f>
        <v>-0.12086021505376339</v>
      </c>
      <c r="G1203" s="32">
        <v>260</v>
      </c>
      <c r="H1203" s="10">
        <v>1</v>
      </c>
      <c r="I1203" s="11" cm="1">
        <f t="array" ref="I1203">IF(D1203="","",(G1203*C1203)*0.00075)</f>
        <v>4.5337500000000004</v>
      </c>
      <c r="J1203" s="11" cm="1">
        <f t="array" ref="J1203">IF(D1203="","",(G1203*D1203)*0.00075)</f>
        <v>3.9858000000000007</v>
      </c>
      <c r="K1203" s="33" cm="1">
        <f t="array" ref="K1203">IF(D1203="","",J1203+I1203)</f>
        <v>8.5195500000000006</v>
      </c>
      <c r="L1203" s="33" cm="1">
        <f t="array" ref="L1203">IF(D1203=0,0,(D1203-C1203)*G1203)</f>
        <v>-730.59999999999968</v>
      </c>
      <c r="M1203" s="12">
        <v>6771.6142</v>
      </c>
      <c r="N1203" s="34" cm="1">
        <f t="array" ref="N1203">IFERROR((K1203-J1203)/J1203,"–")</f>
        <v>1.1374755381604693</v>
      </c>
      <c r="O1203" s="33" cm="1">
        <f t="array" ref="O1203">IF(D1203=0,0,L1203-K1203)</f>
        <v>-739.11954999999966</v>
      </c>
      <c r="P1203" s="8"/>
      <c r="Q1203" s="35"/>
    </row>
    <row r="1204" spans="1:17" ht="22.5" customHeight="1">
      <c r="A1204" s="16" t="s">
        <v>173</v>
      </c>
      <c r="B1204" s="52">
        <v>44512</v>
      </c>
      <c r="C1204" s="37">
        <v>8.4700000000000006</v>
      </c>
      <c r="D1204" s="37">
        <v>8.08</v>
      </c>
      <c r="E1204" s="19" cm="1">
        <f t="array" ref="E1204">IF(D1204="","",D1204-C1204)</f>
        <v>-0.39000000000000057</v>
      </c>
      <c r="F1204" s="20" cm="1">
        <f t="array" ref="F1204">IF(D1204=0,"",(D1204-C1204)/C1204)</f>
        <v>-4.6044864226682469E-2</v>
      </c>
      <c r="G1204" s="21">
        <v>650</v>
      </c>
      <c r="H1204" s="22">
        <v>1</v>
      </c>
      <c r="I1204" s="23" cm="1">
        <f t="array" ref="I1204">IF(D1204="","",(G1204*C1204)*0.00075)</f>
        <v>4.1291250000000002</v>
      </c>
      <c r="J1204" s="23" cm="1">
        <f t="array" ref="J1204">IF(D1204="","",(G1204*D1204)*0.00075)</f>
        <v>3.9390000000000001</v>
      </c>
      <c r="K1204" s="24" cm="1">
        <f t="array" ref="K1204">IF(D1204="","",J1204+I1204)</f>
        <v>8.0681250000000002</v>
      </c>
      <c r="L1204" s="24" cm="1">
        <f t="array" ref="L1204">IF(D1204=0,0,(D1204-C1204)*G1204)</f>
        <v>-253.50000000000037</v>
      </c>
      <c r="M1204" s="25">
        <v>5755.0609999999997</v>
      </c>
      <c r="N1204" s="26" cm="1">
        <f t="array" ref="N1204">IFERROR((K1204-J1204)/J1204,"–")</f>
        <v>1.0482673267326732</v>
      </c>
      <c r="O1204" s="24" cm="1">
        <f t="array" ref="O1204">IF(D1204=0,0,L1204-K1204)</f>
        <v>-261.56812500000035</v>
      </c>
      <c r="P1204" s="46"/>
      <c r="Q1204" s="27"/>
    </row>
    <row r="1205" spans="1:17" ht="22.5" customHeight="1">
      <c r="A1205" s="16" t="s">
        <v>114</v>
      </c>
      <c r="B1205" s="42">
        <v>44513</v>
      </c>
      <c r="C1205" s="36">
        <v>2.8839999999999999</v>
      </c>
      <c r="D1205" s="36">
        <v>2.8849999999999998</v>
      </c>
      <c r="E1205" s="30" cm="1">
        <f t="array" ref="E1205">IF(D1205="","",D1205-C1205)</f>
        <v>9.9999999999988987E-4</v>
      </c>
      <c r="F1205" s="31" cm="1">
        <f t="array" ref="F1205">IF(D1205=0,"",(D1205-C1205)/C1205)</f>
        <v>3.4674063800273577E-4</v>
      </c>
      <c r="G1205" s="32">
        <v>1300.0999999999999</v>
      </c>
      <c r="H1205" s="10">
        <v>1</v>
      </c>
      <c r="I1205" s="11" cm="1">
        <f t="array" ref="I1205">IF(D1205="","",(G1205*C1205)*0.00075)</f>
        <v>2.8121163</v>
      </c>
      <c r="J1205" s="11" cm="1">
        <f t="array" ref="J1205">IF(D1205="","",(G1205*D1205)*0.00075)</f>
        <v>2.8130913749999999</v>
      </c>
      <c r="K1205" s="33" cm="1">
        <f t="array" ref="K1205">IF(D1205="","",J1205+I1205)</f>
        <v>5.6252076750000004</v>
      </c>
      <c r="L1205" s="33" cm="1">
        <f t="array" ref="L1205">IF(D1205=0,0,(D1205-C1205)*G1205)</f>
        <v>1.3000999999998568</v>
      </c>
      <c r="M1205" s="12">
        <v>3745.3752086250001</v>
      </c>
      <c r="N1205" s="34" cm="1">
        <f t="array" ref="N1205">IFERROR((K1205-J1205)/J1205,"–")</f>
        <v>0.99965337954939359</v>
      </c>
      <c r="O1205" s="33" cm="1">
        <f t="array" ref="O1205">IF(D1205=0,0,L1205-K1205)</f>
        <v>-4.3251076750001438</v>
      </c>
      <c r="P1205" s="45"/>
      <c r="Q1205" s="35"/>
    </row>
    <row r="1206" spans="1:17" ht="22.5" customHeight="1">
      <c r="A1206" s="16" t="s">
        <v>114</v>
      </c>
      <c r="B1206" s="43">
        <v>44513</v>
      </c>
      <c r="C1206" s="37">
        <v>2.8839999999999999</v>
      </c>
      <c r="D1206" s="37">
        <v>2.8805999999999998</v>
      </c>
      <c r="E1206" s="19" cm="1">
        <f t="array" ref="E1206">IF(D1206="","",D1206-C1206)</f>
        <v>-3.4000000000000696E-3</v>
      </c>
      <c r="F1206" s="20" cm="1">
        <f t="array" ref="F1206">IF(D1206=0,"",(D1206-C1206)/C1206)</f>
        <v>-1.1789181692094556E-3</v>
      </c>
      <c r="G1206" s="21">
        <v>2817</v>
      </c>
      <c r="H1206" s="22">
        <v>1</v>
      </c>
      <c r="I1206" s="23" cm="1">
        <f t="array" ref="I1206">IF(D1206="","",(G1206*C1206)*0.00075)</f>
        <v>6.0931709999999999</v>
      </c>
      <c r="J1206" s="23" cm="1">
        <f t="array" ref="J1206">IF(D1206="","",(G1206*D1206)*0.00075)</f>
        <v>6.0859876499999999</v>
      </c>
      <c r="K1206" s="24" cm="1">
        <f t="array" ref="K1206">IF(D1206="","",J1206+I1206)</f>
        <v>12.17915865</v>
      </c>
      <c r="L1206" s="24" cm="1">
        <f t="array" ref="L1206">IF(D1206=0,0,(D1206-C1206)*G1206)</f>
        <v>-9.5778000000001953</v>
      </c>
      <c r="M1206" s="25">
        <v>8127.7198123500002</v>
      </c>
      <c r="N1206" s="26" cm="1">
        <f t="array" ref="N1206">IFERROR((K1206-J1206)/J1206,"–")</f>
        <v>1.0011803096577101</v>
      </c>
      <c r="O1206" s="24" cm="1">
        <f t="array" ref="O1206">IF(D1206=0,0,L1206-K1206)</f>
        <v>-21.756958650000193</v>
      </c>
      <c r="P1206" s="46"/>
      <c r="Q1206" s="27"/>
    </row>
    <row r="1207" spans="1:17" ht="22.5" customHeight="1">
      <c r="A1207" s="16" t="s">
        <v>114</v>
      </c>
      <c r="B1207" s="42">
        <v>44513</v>
      </c>
      <c r="C1207" s="36">
        <v>2.8839999999999999</v>
      </c>
      <c r="D1207" s="36">
        <v>2.8801000000000001</v>
      </c>
      <c r="E1207" s="30" cm="1">
        <f t="array" ref="E1207">IF(D1207="","",D1207-C1207)</f>
        <v>-3.8999999999997925E-3</v>
      </c>
      <c r="F1207" s="31" cm="1">
        <f t="array" ref="F1207">IF(D1207=0,"",(D1207-C1207)/C1207)</f>
        <v>-1.3522884882107465E-3</v>
      </c>
      <c r="G1207" s="32">
        <v>2817</v>
      </c>
      <c r="H1207" s="10">
        <v>1</v>
      </c>
      <c r="I1207" s="11" cm="1">
        <f t="array" ref="I1207">IF(D1207="","",(G1207*C1207)*0.00075)</f>
        <v>6.0931709999999999</v>
      </c>
      <c r="J1207" s="11" cm="1">
        <f t="array" ref="J1207">IF(D1207="","",(G1207*D1207)*0.00075)</f>
        <v>6.0849312750000006</v>
      </c>
      <c r="K1207" s="33" cm="1">
        <f t="array" ref="K1207">IF(D1207="","",J1207+I1207)</f>
        <v>12.178102275000001</v>
      </c>
      <c r="L1207" s="33" cm="1">
        <f t="array" ref="L1207">IF(D1207=0,0,(D1207-C1207)*G1207)</f>
        <v>-10.986299999999416</v>
      </c>
      <c r="M1207" s="12">
        <v>8129.1293687249999</v>
      </c>
      <c r="N1207" s="34" cm="1">
        <f t="array" ref="N1207">IFERROR((K1207-J1207)/J1207,"–")</f>
        <v>1.0013541196486231</v>
      </c>
      <c r="O1207" s="33" cm="1">
        <f t="array" ref="O1207">IF(D1207=0,0,L1207-K1207)</f>
        <v>-23.164402274999418</v>
      </c>
      <c r="P1207" s="45"/>
      <c r="Q1207" s="35"/>
    </row>
    <row r="1208" spans="1:17" ht="22.5" customHeight="1">
      <c r="A1208" s="16" t="s">
        <v>109</v>
      </c>
      <c r="B1208" s="43">
        <v>44513</v>
      </c>
      <c r="C1208" s="37">
        <v>0.12998999999999999</v>
      </c>
      <c r="D1208" s="37">
        <v>0.1313</v>
      </c>
      <c r="E1208" s="19" cm="1">
        <f t="array" ref="E1208">IF(D1208="","",D1208-C1208)</f>
        <v>1.3100000000000056E-3</v>
      </c>
      <c r="F1208" s="20" cm="1">
        <f t="array" ref="F1208">IF(D1208=0,"",(D1208-C1208)/C1208)</f>
        <v>1.0077698284483466E-2</v>
      </c>
      <c r="G1208" s="21">
        <v>38463.9</v>
      </c>
      <c r="H1208" s="22">
        <v>1</v>
      </c>
      <c r="I1208" s="23" cm="1">
        <f t="array" ref="I1208">IF(D1208="","",(G1208*C1208)*0.00075)</f>
        <v>3.74994177075</v>
      </c>
      <c r="J1208" s="23" cm="1">
        <f t="array" ref="J1208">IF(D1208="","",(G1208*D1208)*0.00075)</f>
        <v>3.7877325525000005</v>
      </c>
      <c r="K1208" s="24" cm="1">
        <f t="array" ref="K1208">IF(D1208="","",J1208+I1208)</f>
        <v>7.5376743232500001</v>
      </c>
      <c r="L1208" s="24" cm="1">
        <f t="array" ref="L1208">IF(D1208=0,0,(D1208-C1208)*G1208)</f>
        <v>50.387709000000214</v>
      </c>
      <c r="M1208" s="25">
        <v>4945.7469194474997</v>
      </c>
      <c r="N1208" s="26" cm="1">
        <f t="array" ref="N1208">IFERROR((K1208-J1208)/J1208,"–")</f>
        <v>0.99002284843868982</v>
      </c>
      <c r="O1208" s="24" cm="1">
        <f t="array" ref="O1208">IF(D1208=0,0,L1208-K1208)</f>
        <v>42.850034676750212</v>
      </c>
      <c r="P1208" s="23"/>
      <c r="Q1208" s="27"/>
    </row>
    <row r="1209" spans="1:17" ht="22.5" customHeight="1">
      <c r="A1209" s="16" t="s">
        <v>109</v>
      </c>
      <c r="B1209" s="42">
        <v>44513</v>
      </c>
      <c r="C1209" s="36">
        <v>0.12998999999999999</v>
      </c>
      <c r="D1209" s="36">
        <v>0.13200000000000001</v>
      </c>
      <c r="E1209" s="30" cm="1">
        <f t="array" ref="E1209">IF(D1209="","",D1209-C1209)</f>
        <v>2.0100000000000118E-3</v>
      </c>
      <c r="F1209" s="31" cm="1">
        <f t="array" ref="F1209">IF(D1209=0,"",(D1209-C1209)/C1209)</f>
        <v>1.546272790214641E-2</v>
      </c>
      <c r="G1209" s="32">
        <v>21635.9</v>
      </c>
      <c r="H1209" s="10">
        <v>1</v>
      </c>
      <c r="I1209" s="11" cm="1">
        <f t="array" ref="I1209">IF(D1209="","",(G1209*C1209)*0.00075)</f>
        <v>2.1093379807499999</v>
      </c>
      <c r="J1209" s="11" cm="1">
        <f t="array" ref="J1209">IF(D1209="","",(G1209*D1209)*0.00075)</f>
        <v>2.1419541000000004</v>
      </c>
      <c r="K1209" s="33" cm="1">
        <f t="array" ref="K1209">IF(D1209="","",J1209+I1209)</f>
        <v>4.2512920807499999</v>
      </c>
      <c r="L1209" s="33" cm="1">
        <f t="array" ref="L1209">IF(D1209=0,0,(D1209-C1209)*G1209)</f>
        <v>43.488159000000259</v>
      </c>
      <c r="M1209" s="12">
        <v>2766.8205278999999</v>
      </c>
      <c r="N1209" s="34" cm="1">
        <f t="array" ref="N1209">IFERROR((K1209-J1209)/J1209,"–")</f>
        <v>0.9847727272727268</v>
      </c>
      <c r="O1209" s="33" cm="1">
        <f t="array" ref="O1209">IF(D1209=0,0,L1209-K1209)</f>
        <v>39.236866919250261</v>
      </c>
      <c r="P1209" s="11"/>
      <c r="Q1209" s="35"/>
    </row>
    <row r="1210" spans="1:17" ht="22.5" customHeight="1">
      <c r="A1210" s="16" t="s">
        <v>109</v>
      </c>
      <c r="B1210" s="43">
        <v>44513</v>
      </c>
      <c r="C1210" s="37">
        <v>0.12998999999999999</v>
      </c>
      <c r="D1210" s="37">
        <v>0.1326</v>
      </c>
      <c r="E1210" s="19" cm="1">
        <f t="array" ref="E1210">IF(D1210="","",D1210-C1210)</f>
        <v>2.6100000000000012E-3</v>
      </c>
      <c r="F1210" s="20" cm="1">
        <f t="array" ref="F1210">IF(D1210=0,"",(D1210-C1210)/C1210)</f>
        <v>2.0078467574428813E-2</v>
      </c>
      <c r="G1210" s="21">
        <v>23438.9</v>
      </c>
      <c r="H1210" s="22">
        <v>1</v>
      </c>
      <c r="I1210" s="23" cm="1">
        <f t="array" ref="I1210">IF(D1210="","",(G1210*C1210)*0.00075)</f>
        <v>2.2851169582500002</v>
      </c>
      <c r="J1210" s="23" cm="1">
        <f t="array" ref="J1210">IF(D1210="","",(G1210*D1210)*0.00075)</f>
        <v>2.330998605</v>
      </c>
      <c r="K1210" s="24" cm="1">
        <f t="array" ref="K1210">IF(D1210="","",J1210+I1210)</f>
        <v>4.6161155632500002</v>
      </c>
      <c r="L1210" s="24" cm="1">
        <f t="array" ref="L1210">IF(D1210=0,0,(D1210-C1210)*G1210)</f>
        <v>61.175529000000033</v>
      </c>
      <c r="M1210" s="25">
        <v>2983.3160833950001</v>
      </c>
      <c r="N1210" s="26" cm="1">
        <f t="array" ref="N1210">IFERROR((K1210-J1210)/J1210,"–")</f>
        <v>0.98031674208144803</v>
      </c>
      <c r="O1210" s="24" cm="1">
        <f t="array" ref="O1210">IF(D1210=0,0,L1210-K1210)</f>
        <v>56.559413436750035</v>
      </c>
      <c r="P1210" s="23"/>
      <c r="Q1210" s="27"/>
    </row>
    <row r="1211" spans="1:17" ht="22.5" customHeight="1">
      <c r="A1211" s="16" t="s">
        <v>109</v>
      </c>
      <c r="B1211" s="42">
        <v>44513</v>
      </c>
      <c r="C1211" s="36">
        <v>0.12998999999999999</v>
      </c>
      <c r="D1211" s="36">
        <v>0.13300000000000001</v>
      </c>
      <c r="E1211" s="30" cm="1">
        <f t="array" ref="E1211">IF(D1211="","",D1211-C1211)</f>
        <v>3.0100000000000127E-3</v>
      </c>
      <c r="F1211" s="31" cm="1">
        <f t="array" ref="F1211">IF(D1211=0,"",(D1211-C1211)/C1211)</f>
        <v>2.3155627355950555E-2</v>
      </c>
      <c r="G1211" s="32">
        <v>70316.899999999994</v>
      </c>
      <c r="H1211" s="10">
        <v>1</v>
      </c>
      <c r="I1211" s="11" cm="1">
        <f t="array" ref="I1211">IF(D1211="","",(G1211*C1211)*0.00075)</f>
        <v>6.8553703732499987</v>
      </c>
      <c r="J1211" s="11" cm="1">
        <f t="array" ref="J1211">IF(D1211="","",(G1211*D1211)*0.00075)</f>
        <v>7.0141107749999998</v>
      </c>
      <c r="K1211" s="33" cm="1">
        <f t="array" ref="K1211">IF(D1211="","",J1211+I1211)</f>
        <v>13.869481148249999</v>
      </c>
      <c r="L1211" s="33" cm="1">
        <f t="array" ref="L1211">IF(D1211=0,0,(D1211-C1211)*G1211)</f>
        <v>211.65386900000087</v>
      </c>
      <c r="M1211" s="12">
        <v>8921.8258512249995</v>
      </c>
      <c r="N1211" s="34" cm="1">
        <f t="array" ref="N1211">IFERROR((K1211-J1211)/J1211,"–")</f>
        <v>0.97736842105263155</v>
      </c>
      <c r="O1211" s="33" cm="1">
        <f t="array" ref="O1211">IF(D1211=0,0,L1211-K1211)</f>
        <v>197.78438785175086</v>
      </c>
      <c r="P1211" s="11"/>
      <c r="Q1211" s="35"/>
    </row>
    <row r="1212" spans="1:17" ht="22.5" customHeight="1">
      <c r="A1212" s="16" t="s">
        <v>138</v>
      </c>
      <c r="B1212" s="43">
        <v>44513</v>
      </c>
      <c r="C1212" s="37">
        <v>12.16</v>
      </c>
      <c r="D1212" s="37">
        <v>12.55</v>
      </c>
      <c r="E1212" s="19" cm="1">
        <f t="array" ref="E1212">IF(D1212="","",D1212-C1212)</f>
        <v>0.39000000000000057</v>
      </c>
      <c r="F1212" s="20" cm="1">
        <f t="array" ref="F1212">IF(D1212=0,"",(D1212-C1212)/C1212)</f>
        <v>3.2072368421052676E-2</v>
      </c>
      <c r="G1212" s="21">
        <v>411.2</v>
      </c>
      <c r="H1212" s="22">
        <v>1</v>
      </c>
      <c r="I1212" s="23" cm="1">
        <f t="array" ref="I1212">IF(D1212="","",(G1212*C1212)*0.00075)</f>
        <v>3.7501440000000001</v>
      </c>
      <c r="J1212" s="23" cm="1">
        <f t="array" ref="J1212">IF(D1212="","",(G1212*D1212)*0.00075)</f>
        <v>3.8704200000000002</v>
      </c>
      <c r="K1212" s="24" cm="1">
        <f t="array" ref="K1212">IF(D1212="","",J1212+I1212)</f>
        <v>7.6205639999999999</v>
      </c>
      <c r="L1212" s="24" cm="1">
        <f t="array" ref="L1212">IF(D1212=0,0,(D1212-C1212)*G1212)</f>
        <v>160.36800000000022</v>
      </c>
      <c r="M1212" s="25">
        <v>4835.9535800000003</v>
      </c>
      <c r="N1212" s="26" cm="1">
        <f t="array" ref="N1212">IFERROR((K1212-J1212)/J1212,"–")</f>
        <v>0.96892430278884445</v>
      </c>
      <c r="O1212" s="24" cm="1">
        <f t="array" ref="O1212">IF(D1212=0,0,L1212-K1212)</f>
        <v>152.74743600000022</v>
      </c>
      <c r="P1212" s="23"/>
      <c r="Q1212" s="27"/>
    </row>
    <row r="1213" spans="1:17" ht="22.5" customHeight="1">
      <c r="A1213" s="16" t="s">
        <v>138</v>
      </c>
      <c r="B1213" s="42">
        <v>44513</v>
      </c>
      <c r="C1213" s="36">
        <v>12.16</v>
      </c>
      <c r="D1213" s="36">
        <v>12.6</v>
      </c>
      <c r="E1213" s="30" cm="1">
        <f t="array" ref="E1213">IF(D1213="","",D1213-C1213)</f>
        <v>0.4399999999999995</v>
      </c>
      <c r="F1213" s="31" cm="1">
        <f t="array" ref="F1213">IF(D1213=0,"",(D1213-C1213)/C1213)</f>
        <v>3.6184210526315749E-2</v>
      </c>
      <c r="G1213" s="32">
        <v>616.80999999999995</v>
      </c>
      <c r="H1213" s="10">
        <v>1</v>
      </c>
      <c r="I1213" s="11" cm="1">
        <f t="array" ref="I1213">IF(D1213="","",(G1213*C1213)*0.00075)</f>
        <v>5.6253071999999991</v>
      </c>
      <c r="J1213" s="11" cm="1">
        <f t="array" ref="J1213">IF(D1213="","",(G1213*D1213)*0.00075)</f>
        <v>5.8288544999999994</v>
      </c>
      <c r="K1213" s="33" cm="1">
        <f t="array" ref="K1213">IF(D1213="","",J1213+I1213)</f>
        <v>11.454161699999998</v>
      </c>
      <c r="L1213" s="33" cm="1">
        <f t="array" ref="L1213">IF(D1213=0,0,(D1213-C1213)*G1213)</f>
        <v>271.39639999999969</v>
      </c>
      <c r="M1213" s="12">
        <v>7223.1843454999998</v>
      </c>
      <c r="N1213" s="34" cm="1">
        <f t="array" ref="N1213">IFERROR((K1213-J1213)/J1213,"–")</f>
        <v>0.96507936507936498</v>
      </c>
      <c r="O1213" s="33" cm="1">
        <f t="array" ref="O1213">IF(D1213=0,0,L1213-K1213)</f>
        <v>259.9422382999997</v>
      </c>
      <c r="P1213" s="11"/>
      <c r="Q1213" s="35"/>
    </row>
    <row r="1214" spans="1:17" ht="22.5" customHeight="1">
      <c r="A1214" s="16" t="s">
        <v>138</v>
      </c>
      <c r="B1214" s="43">
        <v>44513</v>
      </c>
      <c r="C1214" s="37">
        <v>12.16</v>
      </c>
      <c r="D1214" s="37">
        <v>12.59</v>
      </c>
      <c r="E1214" s="19" cm="1">
        <f t="array" ref="E1214">IF(D1214="","",D1214-C1214)</f>
        <v>0.42999999999999972</v>
      </c>
      <c r="F1214" s="20" cm="1">
        <f t="array" ref="F1214">IF(D1214=0,"",(D1214-C1214)/C1214)</f>
        <v>3.5361842105263136E-2</v>
      </c>
      <c r="G1214" s="21">
        <v>616.82000000000005</v>
      </c>
      <c r="H1214" s="22">
        <v>1</v>
      </c>
      <c r="I1214" s="23" cm="1">
        <f t="array" ref="I1214">IF(D1214="","",(G1214*C1214)*0.00075)</f>
        <v>5.6253984000000008</v>
      </c>
      <c r="J1214" s="23" cm="1">
        <f t="array" ref="J1214">IF(D1214="","",(G1214*D1214)*0.00075)</f>
        <v>5.8243228500000006</v>
      </c>
      <c r="K1214" s="24" cm="1">
        <f t="array" ref="K1214">IF(D1214="","",J1214+I1214)</f>
        <v>11.449721250000001</v>
      </c>
      <c r="L1214" s="24" cm="1">
        <f t="array" ref="L1214">IF(D1214=0,0,(D1214-C1214)*G1214)</f>
        <v>265.23259999999982</v>
      </c>
      <c r="M1214" s="25">
        <v>7229.4742771499996</v>
      </c>
      <c r="N1214" s="26" cm="1">
        <f t="array" ref="N1214">IFERROR((K1214-J1214)/J1214,"–")</f>
        <v>0.96584590945194604</v>
      </c>
      <c r="O1214" s="24" cm="1">
        <f t="array" ref="O1214">IF(D1214=0,0,L1214-K1214)</f>
        <v>253.78287874999981</v>
      </c>
      <c r="P1214" s="23"/>
      <c r="Q1214" s="27"/>
    </row>
    <row r="1215" spans="1:17" ht="22.5" customHeight="1">
      <c r="A1215" s="16" t="s">
        <v>157</v>
      </c>
      <c r="B1215" s="42">
        <v>44513</v>
      </c>
      <c r="C1215" s="36">
        <v>0.52559999999999996</v>
      </c>
      <c r="D1215" s="36">
        <v>0.53600000000000003</v>
      </c>
      <c r="E1215" s="30" cm="1">
        <f t="array" ref="E1215">IF(D1215="","",D1215-C1215)</f>
        <v>1.0400000000000076E-2</v>
      </c>
      <c r="F1215" s="31" cm="1">
        <f t="array" ref="F1215">IF(D1215=0,"",(D1215-C1215)/C1215)</f>
        <v>1.9786910197869247E-2</v>
      </c>
      <c r="G1215" s="32">
        <v>9512</v>
      </c>
      <c r="H1215" s="10">
        <v>1</v>
      </c>
      <c r="I1215" s="11" cm="1">
        <f t="array" ref="I1215">IF(D1215="","",(G1215*C1215)*0.00075)</f>
        <v>3.7496304</v>
      </c>
      <c r="J1215" s="11" cm="1">
        <f t="array" ref="J1215">IF(D1215="","",(G1215*D1215)*0.00075)</f>
        <v>3.8238240000000006</v>
      </c>
      <c r="K1215" s="33" cm="1">
        <f t="array" ref="K1215">IF(D1215="","",J1215+I1215)</f>
        <v>7.573454400000001</v>
      </c>
      <c r="L1215" s="33" cm="1">
        <f t="array" ref="L1215">IF(D1215=0,0,(D1215-C1215)*G1215)</f>
        <v>98.924800000000715</v>
      </c>
      <c r="M1215" s="12">
        <v>4896.7585760000002</v>
      </c>
      <c r="N1215" s="34" cm="1">
        <f t="array" ref="N1215">IFERROR((K1215-J1215)/J1215,"–")</f>
        <v>0.9805970149253731</v>
      </c>
      <c r="O1215" s="33" cm="1">
        <f t="array" ref="O1215">IF(D1215=0,0,L1215-K1215)</f>
        <v>91.351345600000712</v>
      </c>
      <c r="P1215" s="11"/>
      <c r="Q1215" s="35"/>
    </row>
    <row r="1216" spans="1:17" ht="22.5" customHeight="1">
      <c r="A1216" s="16" t="s">
        <v>157</v>
      </c>
      <c r="B1216" s="43">
        <v>44513</v>
      </c>
      <c r="C1216" s="37">
        <v>0.52559999999999996</v>
      </c>
      <c r="D1216" s="37">
        <v>0.54</v>
      </c>
      <c r="E1216" s="19" cm="1">
        <f t="array" ref="E1216">IF(D1216="","",D1216-C1216)</f>
        <v>1.4400000000000079E-2</v>
      </c>
      <c r="F1216" s="20" cm="1">
        <f t="array" ref="F1216">IF(D1216=0,"",(D1216-C1216)/C1216)</f>
        <v>2.7397260273972757E-2</v>
      </c>
      <c r="G1216" s="21">
        <v>14269</v>
      </c>
      <c r="H1216" s="22">
        <v>1</v>
      </c>
      <c r="I1216" s="23" cm="1">
        <f t="array" ref="I1216">IF(D1216="","",(G1216*C1216)*0.00075)</f>
        <v>5.6248397999999993</v>
      </c>
      <c r="J1216" s="23" cm="1">
        <f t="array" ref="J1216">IF(D1216="","",(G1216*D1216)*0.00075)</f>
        <v>5.7789450000000002</v>
      </c>
      <c r="K1216" s="24" cm="1">
        <f t="array" ref="K1216">IF(D1216="","",J1216+I1216)</f>
        <v>11.4037848</v>
      </c>
      <c r="L1216" s="24" cm="1">
        <f t="array" ref="L1216">IF(D1216=0,0,(D1216-C1216)*G1216)</f>
        <v>205.47360000000114</v>
      </c>
      <c r="M1216" s="25">
        <v>7288.5338549999997</v>
      </c>
      <c r="N1216" s="26" cm="1">
        <f t="array" ref="N1216">IFERROR((K1216-J1216)/J1216,"–")</f>
        <v>0.97333333333333327</v>
      </c>
      <c r="O1216" s="24" cm="1">
        <f t="array" ref="O1216">IF(D1216=0,0,L1216-K1216)</f>
        <v>194.06981520000113</v>
      </c>
      <c r="P1216" s="23"/>
      <c r="Q1216" s="27"/>
    </row>
    <row r="1217" spans="1:17" ht="22.5" customHeight="1">
      <c r="A1217" s="16" t="s">
        <v>157</v>
      </c>
      <c r="B1217" s="42">
        <v>44513</v>
      </c>
      <c r="C1217" s="36">
        <v>0.52559999999999996</v>
      </c>
      <c r="D1217" s="36">
        <v>0.5333</v>
      </c>
      <c r="E1217" s="30" cm="1">
        <f t="array" ref="E1217">IF(D1217="","",D1217-C1217)</f>
        <v>7.7000000000000401E-3</v>
      </c>
      <c r="F1217" s="31" cm="1">
        <f t="array" ref="F1217">IF(D1217=0,"",(D1217-C1217)/C1217)</f>
        <v>1.4649923896499316E-2</v>
      </c>
      <c r="G1217" s="49">
        <v>14270</v>
      </c>
      <c r="H1217" s="10">
        <v>1</v>
      </c>
      <c r="I1217" s="11" cm="1">
        <f t="array" ref="I1217">IF(D1217="","",(G1217*C1217)*0.00075)</f>
        <v>5.625233999999999</v>
      </c>
      <c r="J1217" s="11" cm="1">
        <f t="array" ref="J1217">IF(D1217="","",(G1217*D1217)*0.00075)</f>
        <v>5.7076432500000003</v>
      </c>
      <c r="K1217" s="33" cm="1">
        <f t="array" ref="K1217">IF(D1217="","",J1217+I1217)</f>
        <v>11.332877249999999</v>
      </c>
      <c r="L1217" s="33" cm="1">
        <f t="array" ref="L1217">IF(D1217=0,0,(D1217-C1217)*G1217)</f>
        <v>109.87900000000057</v>
      </c>
      <c r="M1217" s="12">
        <v>7384.7253567500002</v>
      </c>
      <c r="N1217" s="34" cm="1">
        <f t="array" ref="N1217">IFERROR((K1217-J1217)/J1217,"–")</f>
        <v>0.98556159759984974</v>
      </c>
      <c r="O1217" s="33" cm="1">
        <f t="array" ref="O1217">IF(D1217=0,0,L1217-K1217)</f>
        <v>98.546122750000578</v>
      </c>
      <c r="P1217" s="11"/>
      <c r="Q1217" s="35"/>
    </row>
    <row r="1218" spans="1:17" ht="22.5" customHeight="1">
      <c r="A1218" s="16" t="s">
        <v>51</v>
      </c>
      <c r="B1218" s="52">
        <v>44515</v>
      </c>
      <c r="C1218" s="37">
        <v>2.7869999999999999</v>
      </c>
      <c r="D1218" s="37">
        <v>2.7965</v>
      </c>
      <c r="E1218" s="19" cm="1">
        <f t="array" ref="E1218">IF(D1218="","",D1218-C1218)</f>
        <v>9.5000000000000639E-3</v>
      </c>
      <c r="F1218" s="20" cm="1">
        <f t="array" ref="F1218">IF(D1218=0,"",(D1218-C1218)/C1218)</f>
        <v>3.4086831718694167E-3</v>
      </c>
      <c r="G1218" s="21">
        <v>8969.6</v>
      </c>
      <c r="H1218" s="22">
        <v>1</v>
      </c>
      <c r="I1218" s="23" cm="1">
        <f t="array" ref="I1218">IF(D1218="","",(G1218*C1218)*0.00075)</f>
        <v>18.7487064</v>
      </c>
      <c r="J1218" s="23" cm="1">
        <f t="array" ref="J1218">IF(D1218="","",(G1218*D1218)*0.00075)</f>
        <v>18.812614800000002</v>
      </c>
      <c r="K1218" s="24" cm="1">
        <f t="array" ref="K1218">IF(D1218="","",J1218+I1218)</f>
        <v>37.561321200000002</v>
      </c>
      <c r="L1218" s="24" cm="1">
        <f t="array" ref="L1218">IF(D1218=0,0,(D1218-C1218)*G1218)</f>
        <v>85.211200000000574</v>
      </c>
      <c r="M1218" s="25">
        <v>24894.251385200001</v>
      </c>
      <c r="N1218" s="26" cm="1">
        <f t="array" ref="N1218">IFERROR((K1218-J1218)/J1218,"–")</f>
        <v>0.99660289647773992</v>
      </c>
      <c r="O1218" s="24" cm="1">
        <f t="array" ref="O1218">IF(D1218=0,0,L1218-K1218)</f>
        <v>47.649878800000572</v>
      </c>
      <c r="P1218" s="23"/>
      <c r="Q1218" s="27"/>
    </row>
    <row r="1219" spans="1:17" ht="22.5" customHeight="1">
      <c r="A1219" s="16" t="s">
        <v>226</v>
      </c>
      <c r="B1219" s="53">
        <v>44515</v>
      </c>
      <c r="C1219" s="36">
        <v>1.93</v>
      </c>
      <c r="D1219" s="36">
        <v>1.9510000000000001</v>
      </c>
      <c r="E1219" s="30" cm="1">
        <f t="array" ref="E1219">IF(D1219="","",D1219-C1219)</f>
        <v>2.100000000000013E-2</v>
      </c>
      <c r="F1219" s="31" cm="1">
        <f t="array" ref="F1219">IF(D1219=0,"",(D1219-C1219)/C1219)</f>
        <v>1.0880829015544109E-2</v>
      </c>
      <c r="G1219" s="32">
        <v>3300</v>
      </c>
      <c r="H1219" s="10">
        <v>1</v>
      </c>
      <c r="I1219" s="11" cm="1">
        <f t="array" ref="I1219">IF(D1219="","",(G1219*C1219)*0.00075)</f>
        <v>4.7767499999999998</v>
      </c>
      <c r="J1219" s="11" cm="1">
        <f t="array" ref="J1219">IF(D1219="","",(G1219*D1219)*0.00075)</f>
        <v>4.8287250000000004</v>
      </c>
      <c r="K1219" s="33" cm="1">
        <f t="array" ref="K1219">IF(D1219="","",J1219+I1219)</f>
        <v>9.6054750000000002</v>
      </c>
      <c r="L1219" s="33" cm="1">
        <f t="array" ref="L1219">IF(D1219=0,0,(D1219-C1219)*G1219)</f>
        <v>69.300000000000423</v>
      </c>
      <c r="M1219" s="12">
        <v>6294.8712750000004</v>
      </c>
      <c r="N1219" s="34" cm="1">
        <f t="array" ref="N1219">IFERROR((K1219-J1219)/J1219,"–")</f>
        <v>0.9892362890825217</v>
      </c>
      <c r="O1219" s="33" cm="1">
        <f t="array" ref="O1219">IF(D1219=0,0,L1219-K1219)</f>
        <v>59.694525000000425</v>
      </c>
      <c r="P1219" s="11"/>
      <c r="Q1219" s="35"/>
    </row>
    <row r="1220" spans="1:17" ht="22.5" customHeight="1">
      <c r="A1220" s="16" t="s">
        <v>226</v>
      </c>
      <c r="B1220" s="52">
        <v>44515</v>
      </c>
      <c r="C1220" s="37">
        <v>1.93</v>
      </c>
      <c r="D1220" s="37">
        <v>1.96</v>
      </c>
      <c r="E1220" s="19" cm="1">
        <f t="array" ref="E1220">IF(D1220="","",D1220-C1220)</f>
        <v>3.0000000000000027E-2</v>
      </c>
      <c r="F1220" s="20" cm="1">
        <f t="array" ref="F1220">IF(D1220=0,"",(D1220-C1220)/C1220)</f>
        <v>1.5544041450777216E-2</v>
      </c>
      <c r="G1220" s="21">
        <v>6187.7</v>
      </c>
      <c r="H1220" s="22">
        <v>1</v>
      </c>
      <c r="I1220" s="23" cm="1">
        <f t="array" ref="I1220">IF(D1220="","",(G1220*C1220)*0.00075)</f>
        <v>8.9566957499999997</v>
      </c>
      <c r="J1220" s="23" cm="1">
        <f t="array" ref="J1220">IF(D1220="","",(G1220*D1220)*0.00075)</f>
        <v>9.0959190000000003</v>
      </c>
      <c r="K1220" s="24" cm="1">
        <f t="array" ref="K1220">IF(D1220="","",J1220+I1220)</f>
        <v>18.05261475</v>
      </c>
      <c r="L1220" s="24" cm="1">
        <f t="array" ref="L1220">IF(D1220=0,0,(D1220-C1220)*G1220)</f>
        <v>185.63100000000017</v>
      </c>
      <c r="M1220" s="25">
        <v>11747.534081</v>
      </c>
      <c r="N1220" s="26" cm="1">
        <f t="array" ref="N1220">IFERROR((K1220-J1220)/J1220,"–")</f>
        <v>0.98469387755102034</v>
      </c>
      <c r="O1220" s="24" cm="1">
        <f t="array" ref="O1220">IF(D1220=0,0,L1220-K1220)</f>
        <v>167.57838525000017</v>
      </c>
      <c r="P1220" s="23"/>
      <c r="Q1220" s="27"/>
    </row>
    <row r="1221" spans="1:17" ht="22.5" customHeight="1">
      <c r="A1221" s="16" t="s">
        <v>226</v>
      </c>
      <c r="B1221" s="53">
        <v>44515</v>
      </c>
      <c r="C1221" s="36">
        <v>1.93</v>
      </c>
      <c r="D1221" s="36">
        <v>1.9670000000000001</v>
      </c>
      <c r="E1221" s="30" cm="1">
        <f t="array" ref="E1221">IF(D1221="","",D1221-C1221)</f>
        <v>3.7000000000000144E-2</v>
      </c>
      <c r="F1221" s="31" cm="1">
        <f t="array" ref="F1221">IF(D1221=0,"",(D1221-C1221)/C1221)</f>
        <v>1.9170984455958624E-2</v>
      </c>
      <c r="G1221" s="32">
        <v>46.5</v>
      </c>
      <c r="H1221" s="10">
        <v>1</v>
      </c>
      <c r="I1221" s="11" cm="1">
        <f t="array" ref="I1221">IF(D1221="","",(G1221*C1221)*0.00075)</f>
        <v>6.7308750000000001E-2</v>
      </c>
      <c r="J1221" s="11" cm="1">
        <f t="array" ref="J1221">IF(D1221="","",(G1221*D1221)*0.00075)</f>
        <v>6.8599125000000011E-2</v>
      </c>
      <c r="K1221" s="33" cm="1">
        <f t="array" ref="K1221">IF(D1221="","",J1221+I1221)</f>
        <v>0.13590787500000001</v>
      </c>
      <c r="L1221" s="33" cm="1">
        <f t="array" ref="L1221">IF(D1221=0,0,(D1221-C1221)*G1221)</f>
        <v>1.7205000000000066</v>
      </c>
      <c r="M1221" s="12">
        <v>87.955900874999998</v>
      </c>
      <c r="N1221" s="34" cm="1">
        <f t="array" ref="N1221">IFERROR((K1221-J1221)/J1221,"–")</f>
        <v>0.98118962887646144</v>
      </c>
      <c r="O1221" s="33" cm="1">
        <f t="array" ref="O1221">IF(D1221=0,0,L1221-K1221)</f>
        <v>1.5845921250000066</v>
      </c>
      <c r="P1221" s="11"/>
      <c r="Q1221" s="35"/>
    </row>
    <row r="1222" spans="1:17" ht="22.5" customHeight="1">
      <c r="A1222" s="16" t="s">
        <v>226</v>
      </c>
      <c r="B1222" s="52">
        <v>44515</v>
      </c>
      <c r="C1222" s="37">
        <v>1.93</v>
      </c>
      <c r="D1222" s="37">
        <v>1.9550000000000001</v>
      </c>
      <c r="E1222" s="19" cm="1">
        <f t="array" ref="E1222">IF(D1222="","",D1222-C1222)</f>
        <v>2.5000000000000133E-2</v>
      </c>
      <c r="F1222" s="20" cm="1">
        <f t="array" ref="F1222">IF(D1222=0,"",(D1222-C1222)/C1222)</f>
        <v>1.2953367875647739E-2</v>
      </c>
      <c r="G1222" s="21">
        <v>3666.2</v>
      </c>
      <c r="H1222" s="22">
        <v>1</v>
      </c>
      <c r="I1222" s="23" cm="1">
        <f t="array" ref="I1222">IF(D1222="","",(G1222*C1222)*0.00075)</f>
        <v>5.3068244999999994</v>
      </c>
      <c r="J1222" s="23" cm="1">
        <f t="array" ref="J1222">IF(D1222="","",(G1222*D1222)*0.00075)</f>
        <v>5.3755657500000007</v>
      </c>
      <c r="K1222" s="24" cm="1">
        <f t="array" ref="K1222">IF(D1222="","",J1222+I1222)</f>
        <v>10.682390250000001</v>
      </c>
      <c r="L1222" s="24" cm="1">
        <f t="array" ref="L1222">IF(D1222=0,0,(D1222-C1222)*G1222)</f>
        <v>91.655000000000484</v>
      </c>
      <c r="M1222" s="25">
        <v>6978.7354342500003</v>
      </c>
      <c r="N1222" s="26" cm="1">
        <f t="array" ref="N1222">IFERROR((K1222-J1222)/J1222,"–")</f>
        <v>0.98721227621483365</v>
      </c>
      <c r="O1222" s="24" cm="1">
        <f t="array" ref="O1222">IF(D1222=0,0,L1222-K1222)</f>
        <v>80.972609750000487</v>
      </c>
      <c r="P1222" s="23"/>
      <c r="Q1222" s="27"/>
    </row>
    <row r="1223" spans="1:17" ht="22.5" customHeight="1">
      <c r="A1223" s="16" t="s">
        <v>43</v>
      </c>
      <c r="B1223" s="53">
        <v>44515</v>
      </c>
      <c r="C1223" s="36">
        <v>1.0920000000000001</v>
      </c>
      <c r="D1223" s="36">
        <v>1.089</v>
      </c>
      <c r="E1223" s="30" cm="1">
        <f t="array" ref="E1223">IF(D1223="","",D1223-C1223)</f>
        <v>-3.0000000000001137E-3</v>
      </c>
      <c r="F1223" s="31" cm="1">
        <f t="array" ref="F1223">IF(D1223=0,"",(D1223-C1223)/C1223)</f>
        <v>-2.7472527472528511E-3</v>
      </c>
      <c r="G1223" s="32">
        <v>20143</v>
      </c>
      <c r="H1223" s="10">
        <v>1</v>
      </c>
      <c r="I1223" s="11" cm="1">
        <f t="array" ref="I1223">IF(D1223="","",(G1223*C1223)*0.00075)</f>
        <v>16.497117000000003</v>
      </c>
      <c r="J1223" s="11" cm="1">
        <f t="array" ref="J1223">IF(D1223="","",(G1223*D1223)*0.00075)</f>
        <v>16.45179525</v>
      </c>
      <c r="K1223" s="33" cm="1">
        <f t="array" ref="K1223">IF(D1223="","",J1223+I1223)</f>
        <v>32.948912250000006</v>
      </c>
      <c r="L1223" s="33" cm="1">
        <f t="array" ref="L1223">IF(D1223=0,0,(D1223-C1223)*G1223)</f>
        <v>-60.42900000000229</v>
      </c>
      <c r="M1223" s="12">
        <v>22040.13320475</v>
      </c>
      <c r="N1223" s="34" cm="1">
        <f t="array" ref="N1223">IFERROR((K1223-J1223)/J1223,"–")</f>
        <v>1.0027548209366395</v>
      </c>
      <c r="O1223" s="33" cm="1">
        <f t="array" ref="O1223">IF(D1223=0,0,L1223-K1223)</f>
        <v>-93.377912250002296</v>
      </c>
      <c r="P1223" s="11"/>
      <c r="Q1223" s="35"/>
    </row>
    <row r="1224" spans="1:17" ht="22.5" customHeight="1">
      <c r="A1224" s="16" t="s">
        <v>227</v>
      </c>
      <c r="B1224" s="43">
        <v>44516</v>
      </c>
      <c r="C1224" s="37">
        <v>1.5069999999999999</v>
      </c>
      <c r="D1224" s="37">
        <v>1.5055000000000001</v>
      </c>
      <c r="E1224" s="19" cm="1">
        <f t="array" ref="E1224">IF(D1224="","",D1224-C1224)</f>
        <v>-1.4999999999998348E-3</v>
      </c>
      <c r="F1224" s="20" cm="1">
        <f t="array" ref="F1224">IF(D1224=0,"",(D1224-C1224)/C1224)</f>
        <v>-9.9535500995344048E-4</v>
      </c>
      <c r="G1224" s="21">
        <v>11944.2</v>
      </c>
      <c r="H1224" s="22">
        <v>1</v>
      </c>
      <c r="I1224" s="23" cm="1">
        <f t="array" ref="I1224">IF(D1224="","",(G1224*C1224)*0.00075)</f>
        <v>13.49993205</v>
      </c>
      <c r="J1224" s="23" cm="1">
        <f t="array" ref="J1224">IF(D1224="","",(G1224*D1224)*0.00075)</f>
        <v>13.486494825000003</v>
      </c>
      <c r="K1224" s="24" cm="1">
        <f t="array" ref="K1224">IF(D1224="","",J1224+I1224)</f>
        <v>26.986426875000003</v>
      </c>
      <c r="L1224" s="24" cm="1">
        <f t="array" ref="L1224">IF(D1224=0,0,(D1224-C1224)*G1224)</f>
        <v>-17.916299999998028</v>
      </c>
      <c r="M1224" s="25">
        <v>18004.339205175002</v>
      </c>
      <c r="N1224" s="26" cm="1">
        <f t="array" ref="N1224">IFERROR((K1224-J1224)/J1224,"–")</f>
        <v>1.0009963467286613</v>
      </c>
      <c r="O1224" s="24" cm="1">
        <f t="array" ref="O1224">IF(D1224=0,0,L1224-K1224)</f>
        <v>-44.902726874998031</v>
      </c>
      <c r="P1224" s="23"/>
      <c r="Q1224" s="27"/>
    </row>
    <row r="1225" spans="1:17" ht="22.5" customHeight="1">
      <c r="A1225" s="16" t="s">
        <v>227</v>
      </c>
      <c r="B1225" s="42">
        <v>44516</v>
      </c>
      <c r="C1225" s="36">
        <v>1.5168999999999999</v>
      </c>
      <c r="D1225" s="36">
        <v>1.5055000000000001</v>
      </c>
      <c r="E1225" s="30" cm="1">
        <f t="array" ref="E1225">IF(D1225="","",D1225-C1225)</f>
        <v>-1.1399999999999855E-2</v>
      </c>
      <c r="F1225" s="31" cm="1">
        <f t="array" ref="F1225">IF(D1225=0,"",(D1225-C1225)/C1225)</f>
        <v>-7.5153273122815318E-3</v>
      </c>
      <c r="G1225" s="32">
        <v>2636.7</v>
      </c>
      <c r="H1225" s="10">
        <v>1</v>
      </c>
      <c r="I1225" s="11" cm="1">
        <f t="array" ref="I1225">IF(D1225="","",(G1225*C1225)*0.00075)</f>
        <v>2.9997076724999996</v>
      </c>
      <c r="J1225" s="11" cm="1">
        <f t="array" ref="J1225">IF(D1225="","",(G1225*D1225)*0.00075)</f>
        <v>2.9771638874999997</v>
      </c>
      <c r="K1225" s="33" cm="1">
        <f t="array" ref="K1225">IF(D1225="","",J1225+I1225)</f>
        <v>5.9768715599999993</v>
      </c>
      <c r="L1225" s="33" cm="1">
        <f t="array" ref="L1225">IF(D1225=0,0,(D1225-C1225)*G1225)</f>
        <v>-30.058379999999616</v>
      </c>
      <c r="M1225" s="12">
        <v>4026.6914461125002</v>
      </c>
      <c r="N1225" s="34" cm="1">
        <f t="array" ref="N1225">IFERROR((K1225-J1225)/J1225,"–")</f>
        <v>1.007572235137828</v>
      </c>
      <c r="O1225" s="33" cm="1">
        <f t="array" ref="O1225">IF(D1225=0,0,L1225-K1225)</f>
        <v>-36.035251559999615</v>
      </c>
      <c r="P1225" s="11"/>
      <c r="Q1225" s="35"/>
    </row>
    <row r="1226" spans="1:17" ht="22.5" customHeight="1">
      <c r="A1226" s="16" t="s">
        <v>203</v>
      </c>
      <c r="B1226" s="43">
        <v>44516</v>
      </c>
      <c r="C1226" s="37">
        <v>64.69</v>
      </c>
      <c r="D1226" s="37">
        <v>64</v>
      </c>
      <c r="E1226" s="19" cm="1">
        <f t="array" ref="E1226">IF(D1226="","",D1226-C1226)</f>
        <v>-0.68999999999999773</v>
      </c>
      <c r="F1226" s="20" cm="1">
        <f t="array" ref="F1226">IF(D1226=0,"",(D1226-C1226)/C1226)</f>
        <v>-1.066625444427265E-2</v>
      </c>
      <c r="G1226" s="21">
        <v>170.03</v>
      </c>
      <c r="H1226" s="22">
        <v>1</v>
      </c>
      <c r="I1226" s="23" cm="1">
        <f t="array" ref="I1226">IF(D1226="","",(G1226*C1226)*0.00075)</f>
        <v>8.2494305250000011</v>
      </c>
      <c r="J1226" s="23" cm="1">
        <f t="array" ref="J1226">IF(D1226="","",(G1226*D1226)*0.00075)</f>
        <v>8.1614400000000007</v>
      </c>
      <c r="K1226" s="24" cm="1">
        <f t="array" ref="K1226">IF(D1226="","",J1226+I1226)</f>
        <v>16.410870525</v>
      </c>
      <c r="L1226" s="24" cm="1">
        <f t="array" ref="L1226">IF(D1226=0,0,(D1226-C1226)*G1226)</f>
        <v>-117.32069999999962</v>
      </c>
      <c r="M1226" s="25">
        <v>11108.399960000001</v>
      </c>
      <c r="N1226" s="26" cm="1">
        <f t="array" ref="N1226">IFERROR((K1226-J1226)/J1226,"–")</f>
        <v>1.0107812499999997</v>
      </c>
      <c r="O1226" s="24" cm="1">
        <f t="array" ref="O1226">IF(D1226=0,0,L1226-K1226)</f>
        <v>-133.73157052499963</v>
      </c>
      <c r="P1226" s="23"/>
      <c r="Q1226" s="27"/>
    </row>
    <row r="1227" spans="1:17" ht="22.5" customHeight="1">
      <c r="A1227" s="16" t="s">
        <v>228</v>
      </c>
      <c r="B1227" s="42">
        <v>44516</v>
      </c>
      <c r="C1227" s="36">
        <v>1</v>
      </c>
      <c r="D1227" s="36">
        <v>1111</v>
      </c>
      <c r="E1227" s="30" cm="1">
        <f t="array" ref="E1227">IF(D1227="","",D1227-C1227)</f>
        <v>1110</v>
      </c>
      <c r="F1227" s="31" cm="1">
        <f t="array" ref="F1227">IF(D1227=0,"",(D1227-C1227)/C1227)</f>
        <v>1110</v>
      </c>
      <c r="G1227" s="32">
        <v>1</v>
      </c>
      <c r="H1227" s="10">
        <v>1</v>
      </c>
      <c r="I1227" s="11" cm="1">
        <f t="array" ref="I1227">IF(D1227="","",(G1227*C1227)*0.00075)</f>
        <v>7.5000000000000002E-4</v>
      </c>
      <c r="J1227" s="11" cm="1">
        <f t="array" ref="J1227">IF(D1227="","",(G1227*D1227)*0.00075)</f>
        <v>0.83325000000000005</v>
      </c>
      <c r="K1227" s="33" cm="1">
        <f t="array" ref="K1227">IF(D1227="","",J1227+I1227)</f>
        <v>0.83400000000000007</v>
      </c>
      <c r="L1227" s="33" cm="1">
        <f t="array" ref="L1227">IF(D1227=0,0,(D1227-C1227)*G1227)</f>
        <v>1110</v>
      </c>
      <c r="M1227" s="12">
        <v>-1109.8332499999999</v>
      </c>
      <c r="N1227" s="34" cm="1">
        <f t="array" ref="N1227">IFERROR((K1227-J1227)/J1227,"–")</f>
        <v>9.000900090009341E-4</v>
      </c>
      <c r="O1227" s="33" cm="1">
        <f t="array" ref="O1227">IF(D1227=0,0,L1227-K1227)</f>
        <v>1109.1659999999999</v>
      </c>
      <c r="P1227" s="11"/>
      <c r="Q1227" s="35"/>
    </row>
    <row r="1228" spans="1:17" ht="22.5" customHeight="1">
      <c r="A1228" s="16" t="s">
        <v>47</v>
      </c>
      <c r="B1228" s="43">
        <v>44516</v>
      </c>
      <c r="C1228" s="37">
        <v>11.22</v>
      </c>
      <c r="D1228" s="37">
        <v>11.2</v>
      </c>
      <c r="E1228" s="19" cm="1">
        <f t="array" ref="E1228">IF(D1228="","",D1228-C1228)</f>
        <v>-2.000000000000135E-2</v>
      </c>
      <c r="F1228" s="20" cm="1">
        <f t="array" ref="F1228">IF(D1228=0,"",(D1228-C1228)/C1228)</f>
        <v>-1.7825311942960204E-3</v>
      </c>
      <c r="G1228" s="21">
        <v>61.12</v>
      </c>
      <c r="H1228" s="22">
        <v>1</v>
      </c>
      <c r="I1228" s="23" cm="1">
        <f t="array" ref="I1228">IF(D1228="","",(G1228*C1228)*0.00075)</f>
        <v>0.51432480000000003</v>
      </c>
      <c r="J1228" s="23" cm="1">
        <f t="array" ref="J1228">IF(D1228="","",(G1228*D1228)*0.00075)</f>
        <v>0.51340799999999998</v>
      </c>
      <c r="K1228" s="24" cm="1">
        <f t="array" ref="K1228">IF(D1228="","",J1228+I1228)</f>
        <v>1.0277327999999999</v>
      </c>
      <c r="L1228" s="24" cm="1">
        <f t="array" ref="L1228">IF(D1228=0,0,(D1228-C1228)*G1228)</f>
        <v>-1.2224000000000825</v>
      </c>
      <c r="M1228" s="25">
        <v>686.47539200000006</v>
      </c>
      <c r="N1228" s="26" cm="1">
        <f t="array" ref="N1228">IFERROR((K1228-J1228)/J1228,"–")</f>
        <v>1.0017857142857143</v>
      </c>
      <c r="O1228" s="24" cm="1">
        <f t="array" ref="O1228">IF(D1228=0,0,L1228-K1228)</f>
        <v>-2.2501328000000824</v>
      </c>
      <c r="P1228" s="46"/>
      <c r="Q1228" s="27"/>
    </row>
    <row r="1229" spans="1:17" ht="22.5" customHeight="1">
      <c r="A1229" s="16" t="s">
        <v>47</v>
      </c>
      <c r="B1229" s="42">
        <v>44516</v>
      </c>
      <c r="C1229" s="36">
        <v>11.22</v>
      </c>
      <c r="D1229" s="36">
        <v>11.16</v>
      </c>
      <c r="E1229" s="30" cm="1">
        <f t="array" ref="E1229">IF(D1229="","",D1229-C1229)</f>
        <v>-6.0000000000000497E-2</v>
      </c>
      <c r="F1229" s="31" cm="1">
        <f t="array" ref="F1229">IF(D1229=0,"",(D1229-C1229)/C1229)</f>
        <v>-5.3475935828877445E-3</v>
      </c>
      <c r="G1229" s="32">
        <v>44.72</v>
      </c>
      <c r="H1229" s="10">
        <v>1</v>
      </c>
      <c r="I1229" s="11" cm="1">
        <f t="array" ref="I1229">IF(D1229="","",(G1229*C1229)*0.00075)</f>
        <v>0.37631880000000001</v>
      </c>
      <c r="J1229" s="11" cm="1">
        <f t="array" ref="J1229">IF(D1229="","",(G1229*D1229)*0.00075)</f>
        <v>0.37430639999999998</v>
      </c>
      <c r="K1229" s="33" cm="1">
        <f t="array" ref="K1229">IF(D1229="","",J1229+I1229)</f>
        <v>0.75062519999999999</v>
      </c>
      <c r="L1229" s="33" cm="1">
        <f t="array" ref="L1229">IF(D1229=0,0,(D1229-C1229)*G1229)</f>
        <v>-2.683200000000022</v>
      </c>
      <c r="M1229" s="12">
        <v>504.06729360000003</v>
      </c>
      <c r="N1229" s="34" cm="1">
        <f t="array" ref="N1229">IFERROR((K1229-J1229)/J1229,"–")</f>
        <v>1.0053763440860215</v>
      </c>
      <c r="O1229" s="33" cm="1">
        <f t="array" ref="O1229">IF(D1229=0,0,L1229-K1229)</f>
        <v>-3.433825200000022</v>
      </c>
      <c r="P1229" s="45"/>
      <c r="Q1229" s="35"/>
    </row>
    <row r="1230" spans="1:17" ht="22.5" customHeight="1">
      <c r="A1230" s="16" t="s">
        <v>63</v>
      </c>
      <c r="B1230" s="43">
        <v>44517</v>
      </c>
      <c r="C1230" s="37">
        <v>0.34029999999999999</v>
      </c>
      <c r="D1230" s="37">
        <v>0.33800000000000002</v>
      </c>
      <c r="E1230" s="19" cm="1">
        <f t="array" ref="E1230">IF(D1230="","",D1230-C1230)</f>
        <v>-2.2999999999999687E-3</v>
      </c>
      <c r="F1230" s="20" cm="1">
        <f t="array" ref="F1230">IF(D1230=0,"",(D1230-C1230)/C1230)</f>
        <v>-6.7587422862179511E-3</v>
      </c>
      <c r="G1230" s="21">
        <v>11764</v>
      </c>
      <c r="H1230" s="22">
        <v>1</v>
      </c>
      <c r="I1230" s="23" cm="1">
        <f t="array" ref="I1230">IF(D1230="","",(G1230*C1230)*0.00075)</f>
        <v>3.0024668999999999</v>
      </c>
      <c r="J1230" s="23" cm="1">
        <f t="array" ref="J1230">IF(D1230="","",(G1230*D1230)*0.00075)</f>
        <v>2.9821740000000005</v>
      </c>
      <c r="K1230" s="24" cm="1">
        <f t="array" ref="K1230">IF(D1230="","",J1230+I1230)</f>
        <v>5.9846409000000005</v>
      </c>
      <c r="L1230" s="24" cm="1">
        <f t="array" ref="L1230">IF(D1230=0,0,(D1230-C1230)*G1230)</f>
        <v>-27.057199999999632</v>
      </c>
      <c r="M1230" s="25">
        <v>4027.3642260000001</v>
      </c>
      <c r="N1230" s="26" cm="1">
        <f t="array" ref="N1230">IFERROR((K1230-J1230)/J1230,"–")</f>
        <v>1.0068047337278105</v>
      </c>
      <c r="O1230" s="24" cm="1">
        <f t="array" ref="O1230">IF(D1230=0,0,L1230-K1230)</f>
        <v>-33.041840899999634</v>
      </c>
      <c r="P1230" s="23"/>
      <c r="Q1230" s="27"/>
    </row>
    <row r="1231" spans="1:17" ht="22.5" customHeight="1">
      <c r="A1231" s="16" t="s">
        <v>229</v>
      </c>
      <c r="B1231" s="42">
        <v>44517</v>
      </c>
      <c r="C1231" s="36">
        <v>1</v>
      </c>
      <c r="D1231" s="36">
        <v>258</v>
      </c>
      <c r="E1231" s="30" cm="1">
        <f t="array" ref="E1231">IF(D1231="","",D1231-C1231)</f>
        <v>257</v>
      </c>
      <c r="F1231" s="31" cm="1">
        <f t="array" ref="F1231">IF(D1231=0,"",(D1231-C1231)/C1231)</f>
        <v>257</v>
      </c>
      <c r="G1231" s="32">
        <v>1</v>
      </c>
      <c r="H1231" s="10">
        <v>1</v>
      </c>
      <c r="I1231" s="11" cm="1">
        <f t="array" ref="I1231">IF(D1231="","",(G1231*C1231)*0.00075)</f>
        <v>7.5000000000000002E-4</v>
      </c>
      <c r="J1231" s="11" cm="1">
        <f t="array" ref="J1231">IF(D1231="","",(G1231*D1231)*0.00075)</f>
        <v>0.19350000000000001</v>
      </c>
      <c r="K1231" s="33" cm="1">
        <f t="array" ref="K1231">IF(D1231="","",J1231+I1231)</f>
        <v>0.19425000000000001</v>
      </c>
      <c r="L1231" s="33" cm="1">
        <f t="array" ref="L1231">IF(D1231=0,0,(D1231-C1231)*G1231)</f>
        <v>257</v>
      </c>
      <c r="M1231" s="12">
        <v>-256.19349999999997</v>
      </c>
      <c r="N1231" s="34" cm="1">
        <f t="array" ref="N1231">IFERROR((K1231-J1231)/J1231,"–")</f>
        <v>3.8759689922480654E-3</v>
      </c>
      <c r="O1231" s="33" cm="1">
        <f t="array" ref="O1231">IF(D1231=0,0,L1231-K1231)</f>
        <v>256.80574999999999</v>
      </c>
      <c r="P1231" s="11"/>
      <c r="Q1231" s="35"/>
    </row>
    <row r="1232" spans="1:17" ht="22.5" customHeight="1">
      <c r="A1232" s="16" t="s">
        <v>230</v>
      </c>
      <c r="B1232" s="43">
        <v>44518</v>
      </c>
      <c r="C1232" s="37">
        <v>7.8959999999999999</v>
      </c>
      <c r="D1232" s="37">
        <v>12.77</v>
      </c>
      <c r="E1232" s="19" cm="1">
        <f t="array" ref="E1232">IF(D1232="","",D1232-C1232)</f>
        <v>4.8739999999999997</v>
      </c>
      <c r="F1232" s="20" cm="1">
        <f t="array" ref="F1232">IF(D1232=0,"",(D1232-C1232)/C1232)</f>
        <v>0.61727456940222891</v>
      </c>
      <c r="G1232" s="21">
        <v>82.850999999999999</v>
      </c>
      <c r="H1232" s="22">
        <v>1</v>
      </c>
      <c r="I1232" s="23" cm="1">
        <f t="array" ref="I1232">IF(D1232="","",(G1232*C1232)*0.00075)</f>
        <v>0.49064362200000006</v>
      </c>
      <c r="J1232" s="23" cm="1">
        <f t="array" ref="J1232">IF(D1232="","",(G1232*D1232)*0.00075)</f>
        <v>0.79350545250000004</v>
      </c>
      <c r="K1232" s="24" cm="1">
        <f t="array" ref="K1232">IF(D1232="","",J1232+I1232)</f>
        <v>1.2841490745000002</v>
      </c>
      <c r="L1232" s="24" cm="1">
        <f t="array" ref="L1232">IF(D1232=0,0,(D1232-C1232)*G1232)</f>
        <v>403.81577399999998</v>
      </c>
      <c r="M1232" s="25">
        <v>249.5822165475</v>
      </c>
      <c r="N1232" s="26" cm="1">
        <f t="array" ref="N1232">IFERROR((K1232-J1232)/J1232,"–")</f>
        <v>0.61832419733750987</v>
      </c>
      <c r="O1232" s="24" cm="1">
        <f t="array" ref="O1232">IF(D1232=0,0,L1232-K1232)</f>
        <v>402.53162492549995</v>
      </c>
      <c r="P1232" s="23"/>
      <c r="Q1232" s="27"/>
    </row>
    <row r="1233" spans="1:17" ht="22.5" customHeight="1">
      <c r="A1233" s="16" t="s">
        <v>66</v>
      </c>
      <c r="B1233" s="42">
        <v>44518</v>
      </c>
      <c r="C1233" s="36">
        <v>1.296</v>
      </c>
      <c r="D1233" s="36">
        <v>1.3</v>
      </c>
      <c r="E1233" s="30" cm="1">
        <f t="array" ref="E1233">IF(D1233="","",D1233-C1233)</f>
        <v>4.0000000000000036E-3</v>
      </c>
      <c r="F1233" s="31" cm="1">
        <f t="array" ref="F1233">IF(D1233=0,"",(D1233-C1233)/C1233)</f>
        <v>3.0864197530864222E-3</v>
      </c>
      <c r="G1233" s="32">
        <v>7137</v>
      </c>
      <c r="H1233" s="10">
        <v>1</v>
      </c>
      <c r="I1233" s="11" cm="1">
        <f t="array" ref="I1233">IF(D1233="","",(G1233*C1233)*0.00075)</f>
        <v>6.9371640000000001</v>
      </c>
      <c r="J1233" s="11" cm="1">
        <f t="array" ref="J1233">IF(D1233="","",(G1233*D1233)*0.00075)</f>
        <v>6.9585750000000006</v>
      </c>
      <c r="K1233" s="33" cm="1">
        <f t="array" ref="K1233">IF(D1233="","",J1233+I1233)</f>
        <v>13.895739000000001</v>
      </c>
      <c r="L1233" s="33" cm="1">
        <f t="array" ref="L1233">IF(D1233=0,0,(D1233-C1233)*G1233)</f>
        <v>28.548000000000027</v>
      </c>
      <c r="M1233" s="12">
        <v>9214.0454250000003</v>
      </c>
      <c r="N1233" s="34" cm="1">
        <f t="array" ref="N1233">IFERROR((K1233-J1233)/J1233,"–")</f>
        <v>0.9969230769230768</v>
      </c>
      <c r="O1233" s="33" cm="1">
        <f t="array" ref="O1233">IF(D1233=0,0,L1233-K1233)</f>
        <v>14.652261000000026</v>
      </c>
      <c r="P1233" s="11"/>
      <c r="Q1233" s="35"/>
    </row>
    <row r="1234" spans="1:17" ht="22.5" customHeight="1">
      <c r="A1234" s="16" t="s">
        <v>66</v>
      </c>
      <c r="B1234" s="43">
        <v>44518</v>
      </c>
      <c r="C1234" s="37">
        <v>1.296</v>
      </c>
      <c r="D1234" s="37">
        <v>1.2785</v>
      </c>
      <c r="E1234" s="19" cm="1">
        <f t="array" ref="E1234">IF(D1234="","",D1234-C1234)</f>
        <v>-1.7500000000000071E-2</v>
      </c>
      <c r="F1234" s="20" cm="1">
        <f t="array" ref="F1234">IF(D1234=0,"",(D1234-C1234)/C1234)</f>
        <v>-1.3503086419753141E-2</v>
      </c>
      <c r="G1234" s="21">
        <v>7138</v>
      </c>
      <c r="H1234" s="22">
        <v>1</v>
      </c>
      <c r="I1234" s="23" cm="1">
        <f t="array" ref="I1234">IF(D1234="","",(G1234*C1234)*0.00075)</f>
        <v>6.9381360000000001</v>
      </c>
      <c r="J1234" s="23" cm="1">
        <f t="array" ref="J1234">IF(D1234="","",(G1234*D1234)*0.00075)</f>
        <v>6.8444497499999999</v>
      </c>
      <c r="K1234" s="24" cm="1">
        <f t="array" ref="K1234">IF(D1234="","",J1234+I1234)</f>
        <v>13.782585749999999</v>
      </c>
      <c r="L1234" s="24" cm="1">
        <f t="array" ref="L1234">IF(D1234=0,0,(D1234-C1234)*G1234)</f>
        <v>-124.9150000000005</v>
      </c>
      <c r="M1234" s="25">
        <v>9368.9185502500004</v>
      </c>
      <c r="N1234" s="26" cm="1">
        <f t="array" ref="N1234">IFERROR((K1234-J1234)/J1234,"–")</f>
        <v>1.013687915526007</v>
      </c>
      <c r="O1234" s="24" cm="1">
        <f t="array" ref="O1234">IF(D1234=0,0,L1234-K1234)</f>
        <v>-138.69758575000051</v>
      </c>
      <c r="P1234" s="23"/>
      <c r="Q1234" s="27"/>
    </row>
    <row r="1235" spans="1:17" ht="22.5" customHeight="1">
      <c r="A1235" s="16" t="s">
        <v>231</v>
      </c>
      <c r="B1235" s="42">
        <v>44519</v>
      </c>
      <c r="C1235" s="36">
        <v>4.0920000000000003E-4</v>
      </c>
      <c r="D1235" s="36">
        <v>3.8850000000000001E-4</v>
      </c>
      <c r="E1235" s="30" cm="1">
        <f t="array" ref="E1235">IF(D1235="","",D1235-C1235)</f>
        <v>-2.0700000000000015E-5</v>
      </c>
      <c r="F1235" s="31" cm="1">
        <f t="array" ref="F1235">IF(D1235=0,"",(D1235-C1235)/C1235)</f>
        <v>-5.058651026392965E-2</v>
      </c>
      <c r="G1235" s="32">
        <v>1252327.53</v>
      </c>
      <c r="H1235" s="10">
        <v>1</v>
      </c>
      <c r="I1235" s="11" cm="1">
        <f t="array" ref="I1235">IF(D1235="","",(G1235*C1235)*0.00075)</f>
        <v>0.38433931895700008</v>
      </c>
      <c r="J1235" s="11" cm="1">
        <f t="array" ref="J1235">IF(D1235="","",(G1235*D1235)*0.00075)</f>
        <v>0.36489693405375001</v>
      </c>
      <c r="K1235" s="33" cm="1">
        <f t="array" ref="K1235">IF(D1235="","",J1235+I1235)</f>
        <v>0.74923625301075014</v>
      </c>
      <c r="L1235" s="33" cm="1">
        <f t="array" ref="L1235">IF(D1235=0,0,(D1235-C1235)*G1235)</f>
        <v>-25.92317987100002</v>
      </c>
      <c r="M1235" s="12">
        <v>538.01070821294604</v>
      </c>
      <c r="N1235" s="34" cm="1">
        <f t="array" ref="N1235">IFERROR((K1235-J1235)/J1235,"–")</f>
        <v>1.0532818532818535</v>
      </c>
      <c r="O1235" s="33" cm="1">
        <f t="array" ref="O1235">IF(D1235=0,0,L1235-K1235)</f>
        <v>-26.67241612401077</v>
      </c>
      <c r="P1235" s="11"/>
      <c r="Q1235" s="35"/>
    </row>
    <row r="1236" spans="1:17" ht="22.5" customHeight="1">
      <c r="A1236" s="16" t="s">
        <v>231</v>
      </c>
      <c r="B1236" s="43">
        <v>44519</v>
      </c>
      <c r="C1236" s="37">
        <v>4.0920000000000003E-4</v>
      </c>
      <c r="D1236" s="37">
        <v>4.215E-4</v>
      </c>
      <c r="E1236" s="19" cm="1">
        <f t="array" ref="E1236">IF(D1236="","",D1236-C1236)</f>
        <v>1.2299999999999974E-5</v>
      </c>
      <c r="F1236" s="20" cm="1">
        <f t="array" ref="F1236">IF(D1236=0,"",(D1236-C1236)/C1236)</f>
        <v>3.0058651026392897E-2</v>
      </c>
      <c r="G1236" s="21">
        <v>2650057.14</v>
      </c>
      <c r="H1236" s="22">
        <v>1</v>
      </c>
      <c r="I1236" s="23" cm="1">
        <f t="array" ref="I1236">IF(D1236="","",(G1236*C1236)*0.00075)</f>
        <v>0.81330253626600013</v>
      </c>
      <c r="J1236" s="23" cm="1">
        <f t="array" ref="J1236">IF(D1236="","",(G1236*D1236)*0.00075)</f>
        <v>0.83774931338250014</v>
      </c>
      <c r="K1236" s="24" cm="1">
        <f t="array" ref="K1236">IF(D1236="","",J1236+I1236)</f>
        <v>1.6510518496485003</v>
      </c>
      <c r="L1236" s="24" cm="1">
        <f t="array" ref="L1236">IF(D1236=0,0,(D1236-C1236)*G1236)</f>
        <v>32.595702821999929</v>
      </c>
      <c r="M1236" s="25">
        <v>1050.96992955262</v>
      </c>
      <c r="N1236" s="26" cm="1">
        <f t="array" ref="N1236">IFERROR((K1236-J1236)/J1236,"–")</f>
        <v>0.97081850533807834</v>
      </c>
      <c r="O1236" s="24" cm="1">
        <f t="array" ref="O1236">IF(D1236=0,0,L1236-K1236)</f>
        <v>30.944650972351429</v>
      </c>
      <c r="P1236" s="23"/>
      <c r="Q1236" s="27"/>
    </row>
    <row r="1237" spans="1:17" ht="22.5" customHeight="1">
      <c r="A1237" s="16" t="s">
        <v>231</v>
      </c>
      <c r="B1237" s="42">
        <v>44519</v>
      </c>
      <c r="C1237" s="36">
        <v>4.0920000000000003E-4</v>
      </c>
      <c r="D1237" s="36">
        <v>3.7889999999999999E-4</v>
      </c>
      <c r="E1237" s="30" cm="1">
        <f t="array" ref="E1237">IF(D1237="","",D1237-C1237)</f>
        <v>-3.0300000000000032E-5</v>
      </c>
      <c r="F1237" s="31" cm="1">
        <f t="array" ref="F1237">IF(D1237=0,"",(D1237-C1237)/C1237)</f>
        <v>-7.4046920821114443E-2</v>
      </c>
      <c r="G1237" s="32">
        <v>914259.66</v>
      </c>
      <c r="H1237" s="10">
        <v>1</v>
      </c>
      <c r="I1237" s="11" cm="1">
        <f t="array" ref="I1237">IF(D1237="","",(G1237*C1237)*0.00075)</f>
        <v>0.28058628965400001</v>
      </c>
      <c r="J1237" s="11" cm="1">
        <f t="array" ref="J1237">IF(D1237="","",(G1237*D1237)*0.00075)</f>
        <v>0.25980973888050002</v>
      </c>
      <c r="K1237" s="33" cm="1">
        <f t="array" ref="K1237">IF(D1237="","",J1237+I1237)</f>
        <v>0.54039602853449997</v>
      </c>
      <c r="L1237" s="33" cm="1">
        <f t="array" ref="L1237">IF(D1237=0,0,(D1237-C1237)*G1237)</f>
        <v>-27.702067698000029</v>
      </c>
      <c r="M1237" s="12">
        <v>401.55731083111999</v>
      </c>
      <c r="N1237" s="34" cm="1">
        <f t="array" ref="N1237">IFERROR((K1237-J1237)/J1237,"–")</f>
        <v>1.0799683293745048</v>
      </c>
      <c r="O1237" s="33" cm="1">
        <f t="array" ref="O1237">IF(D1237=0,0,L1237-K1237)</f>
        <v>-28.242463726534528</v>
      </c>
      <c r="P1237" s="11"/>
      <c r="Q1237" s="35"/>
    </row>
    <row r="1238" spans="1:17" ht="22.5" customHeight="1">
      <c r="A1238" s="16" t="s">
        <v>55</v>
      </c>
      <c r="B1238" s="43">
        <v>44520</v>
      </c>
      <c r="C1238" s="37">
        <v>0.11466</v>
      </c>
      <c r="D1238" s="37">
        <v>0.11507000000000001</v>
      </c>
      <c r="E1238" s="19" cm="1">
        <f t="array" ref="E1238">IF(D1238="","",D1238-C1238)</f>
        <v>4.1000000000000758E-4</v>
      </c>
      <c r="F1238" s="20" cm="1">
        <f t="array" ref="F1238">IF(D1238=0,"",(D1238-C1238)/C1238)</f>
        <v>3.5757892900750705E-3</v>
      </c>
      <c r="G1238" s="21">
        <v>65410.7</v>
      </c>
      <c r="H1238" s="22">
        <v>1</v>
      </c>
      <c r="I1238" s="23" cm="1">
        <f t="array" ref="I1238">IF(D1238="","",(G1238*C1238)*0.00075)</f>
        <v>5.6249931464999996</v>
      </c>
      <c r="J1238" s="23" cm="1">
        <f t="array" ref="J1238">IF(D1238="","",(G1238*D1238)*0.00075)</f>
        <v>5.6451069367500004</v>
      </c>
      <c r="K1238" s="24" cm="1">
        <f t="array" ref="K1238">IF(D1238="","",J1238+I1238)</f>
        <v>11.27010008325</v>
      </c>
      <c r="L1238" s="24" cm="1">
        <f t="array" ref="L1238">IF(D1238=0,0,(D1238-C1238)*G1238)</f>
        <v>26.818387000000495</v>
      </c>
      <c r="M1238" s="25">
        <v>7467.5273680632499</v>
      </c>
      <c r="N1238" s="26" cm="1">
        <f t="array" ref="N1238">IFERROR((K1238-J1238)/J1238,"–")</f>
        <v>0.99643695142087407</v>
      </c>
      <c r="O1238" s="24" cm="1">
        <f t="array" ref="O1238">IF(D1238=0,0,L1238-K1238)</f>
        <v>15.548286916750495</v>
      </c>
      <c r="P1238" s="23"/>
      <c r="Q1238" s="27"/>
    </row>
    <row r="1239" spans="1:17" ht="22.5" customHeight="1">
      <c r="A1239" s="16" t="s">
        <v>55</v>
      </c>
      <c r="B1239" s="42">
        <v>44520</v>
      </c>
      <c r="C1239" s="36">
        <v>0.11466</v>
      </c>
      <c r="D1239" s="36">
        <v>0.11529</v>
      </c>
      <c r="E1239" s="30" cm="1">
        <f t="array" ref="E1239">IF(D1239="","",D1239-C1239)</f>
        <v>6.3000000000000556E-4</v>
      </c>
      <c r="F1239" s="31" cm="1">
        <f t="array" ref="F1239">IF(D1239=0,"",(D1239-C1239)/C1239)</f>
        <v>5.4945054945055426E-3</v>
      </c>
      <c r="G1239" s="32">
        <v>65410.8</v>
      </c>
      <c r="H1239" s="10">
        <v>1</v>
      </c>
      <c r="I1239" s="11" cm="1">
        <f t="array" ref="I1239">IF(D1239="","",(G1239*C1239)*0.00075)</f>
        <v>5.6250017460000006</v>
      </c>
      <c r="J1239" s="11" cm="1">
        <f t="array" ref="J1239">IF(D1239="","",(G1239*D1239)*0.00075)</f>
        <v>5.6559083490000006</v>
      </c>
      <c r="K1239" s="33" cm="1">
        <f t="array" ref="K1239">IF(D1239="","",J1239+I1239)</f>
        <v>11.280910095000001</v>
      </c>
      <c r="L1239" s="33" cm="1">
        <f t="array" ref="L1239">IF(D1239=0,0,(D1239-C1239)*G1239)</f>
        <v>41.208804000000363</v>
      </c>
      <c r="M1239" s="12">
        <v>7453.1376156509996</v>
      </c>
      <c r="N1239" s="34" cm="1">
        <f t="array" ref="N1239">IFERROR((K1239-J1239)/J1239,"–")</f>
        <v>0.99453551912568305</v>
      </c>
      <c r="O1239" s="33" cm="1">
        <f t="array" ref="O1239">IF(D1239=0,0,L1239-K1239)</f>
        <v>29.92789390500036</v>
      </c>
      <c r="P1239" s="11"/>
      <c r="Q1239" s="35"/>
    </row>
    <row r="1240" spans="1:17" ht="22.5" customHeight="1">
      <c r="A1240" s="16" t="s">
        <v>232</v>
      </c>
      <c r="B1240" s="43">
        <v>44520</v>
      </c>
      <c r="C1240" s="37">
        <v>3.5609999999999999</v>
      </c>
      <c r="D1240" s="37">
        <v>3.61</v>
      </c>
      <c r="E1240" s="19" cm="1">
        <f t="array" ref="E1240">IF(D1240="","",D1240-C1240)</f>
        <v>4.8999999999999932E-2</v>
      </c>
      <c r="F1240" s="20" cm="1">
        <f t="array" ref="F1240">IF(D1240=0,"",(D1240-C1240)/C1240)</f>
        <v>1.3760179724796387E-2</v>
      </c>
      <c r="G1240" s="21">
        <v>2808</v>
      </c>
      <c r="H1240" s="22">
        <v>1</v>
      </c>
      <c r="I1240" s="23" cm="1">
        <f t="array" ref="I1240">IF(D1240="","",(G1240*C1240)*0.00075)</f>
        <v>7.4994660000000009</v>
      </c>
      <c r="J1240" s="23" cm="1">
        <f t="array" ref="J1240">IF(D1240="","",(G1240*D1240)*0.00075)</f>
        <v>7.6026599999999993</v>
      </c>
      <c r="K1240" s="24" cm="1">
        <f t="array" ref="K1240">IF(D1240="","",J1240+I1240)</f>
        <v>15.102126</v>
      </c>
      <c r="L1240" s="24" cm="1">
        <f t="array" ref="L1240">IF(D1240=0,0,(D1240-C1240)*G1240)</f>
        <v>137.59199999999981</v>
      </c>
      <c r="M1240" s="25">
        <v>9854.0933399999994</v>
      </c>
      <c r="N1240" s="26" cm="1">
        <f t="array" ref="N1240">IFERROR((K1240-J1240)/J1240,"–")</f>
        <v>0.98642659279778411</v>
      </c>
      <c r="O1240" s="24" cm="1">
        <f t="array" ref="O1240">IF(D1240=0,0,L1240-K1240)</f>
        <v>122.48987399999982</v>
      </c>
      <c r="P1240" s="23"/>
      <c r="Q1240" s="27"/>
    </row>
    <row r="1241" spans="1:17" ht="22.5" customHeight="1">
      <c r="A1241" s="16" t="s">
        <v>233</v>
      </c>
      <c r="B1241" s="42">
        <v>44520</v>
      </c>
      <c r="C1241" s="36">
        <v>1.86</v>
      </c>
      <c r="D1241" s="36">
        <v>1.899</v>
      </c>
      <c r="E1241" s="30" cm="1">
        <f t="array" ref="E1241">IF(D1241="","",D1241-C1241)</f>
        <v>3.8999999999999924E-2</v>
      </c>
      <c r="F1241" s="31" cm="1">
        <f t="array" ref="F1241">IF(D1241=0,"",(D1241-C1241)/C1241)</f>
        <v>2.0967741935483827E-2</v>
      </c>
      <c r="G1241" s="32">
        <v>1343.9</v>
      </c>
      <c r="H1241" s="10">
        <v>1</v>
      </c>
      <c r="I1241" s="11" cm="1">
        <f t="array" ref="I1241">IF(D1241="","",(G1241*C1241)*0.00075)</f>
        <v>1.8747405000000004</v>
      </c>
      <c r="J1241" s="11" cm="1">
        <f t="array" ref="J1241">IF(D1241="","",(G1241*D1241)*0.00075)</f>
        <v>1.9140495749999999</v>
      </c>
      <c r="K1241" s="33" cm="1">
        <f t="array" ref="K1241">IF(D1241="","",J1241+I1241)</f>
        <v>3.7887900750000005</v>
      </c>
      <c r="L1241" s="33" cm="1">
        <f t="array" ref="L1241">IF(D1241=0,0,(D1241-C1241)*G1241)</f>
        <v>52.412099999999903</v>
      </c>
      <c r="M1241" s="12">
        <v>2445.3278504250002</v>
      </c>
      <c r="N1241" s="34" cm="1">
        <f t="array" ref="N1241">IFERROR((K1241-J1241)/J1241,"–")</f>
        <v>0.97946287519747266</v>
      </c>
      <c r="O1241" s="33" cm="1">
        <f t="array" ref="O1241">IF(D1241=0,0,L1241-K1241)</f>
        <v>48.623309924999901</v>
      </c>
      <c r="P1241" s="11"/>
      <c r="Q1241" s="35"/>
    </row>
    <row r="1242" spans="1:17" ht="22.5" customHeight="1">
      <c r="A1242" s="16" t="s">
        <v>233</v>
      </c>
      <c r="B1242" s="43">
        <v>44520</v>
      </c>
      <c r="C1242" s="37">
        <v>1.86</v>
      </c>
      <c r="D1242" s="37">
        <v>1.9079999999999999</v>
      </c>
      <c r="E1242" s="19" cm="1">
        <f t="array" ref="E1242">IF(D1242="","",D1242-C1242)</f>
        <v>4.7999999999999821E-2</v>
      </c>
      <c r="F1242" s="20" cm="1">
        <f t="array" ref="F1242">IF(D1242=0,"",(D1242-C1242)/C1242)</f>
        <v>2.5806451612903129E-2</v>
      </c>
      <c r="G1242" s="21">
        <v>4032</v>
      </c>
      <c r="H1242" s="22">
        <v>1</v>
      </c>
      <c r="I1242" s="23" cm="1">
        <f t="array" ref="I1242">IF(D1242="","",(G1242*C1242)*0.00075)</f>
        <v>5.6246400000000003</v>
      </c>
      <c r="J1242" s="23" cm="1">
        <f t="array" ref="J1242">IF(D1242="","",(G1242*D1242)*0.00075)</f>
        <v>5.7697919999999998</v>
      </c>
      <c r="K1242" s="24" cm="1">
        <f t="array" ref="K1242">IF(D1242="","",J1242+I1242)</f>
        <v>11.394432</v>
      </c>
      <c r="L1242" s="24" cm="1">
        <f t="array" ref="L1242">IF(D1242=0,0,(D1242-C1242)*G1242)</f>
        <v>193.53599999999926</v>
      </c>
      <c r="M1242" s="25">
        <v>7300.2142080000003</v>
      </c>
      <c r="N1242" s="26" cm="1">
        <f t="array" ref="N1242">IFERROR((K1242-J1242)/J1242,"–")</f>
        <v>0.9748427672955976</v>
      </c>
      <c r="O1242" s="24" cm="1">
        <f t="array" ref="O1242">IF(D1242=0,0,L1242-K1242)</f>
        <v>182.14156799999927</v>
      </c>
      <c r="P1242" s="23"/>
      <c r="Q1242" s="27"/>
    </row>
    <row r="1243" spans="1:17" ht="22.5" customHeight="1">
      <c r="A1243" s="16" t="s">
        <v>233</v>
      </c>
      <c r="B1243" s="42">
        <v>44520</v>
      </c>
      <c r="C1243" s="36">
        <v>1.9379999999999999</v>
      </c>
      <c r="D1243" s="36">
        <v>1.95</v>
      </c>
      <c r="E1243" s="30" cm="1">
        <f t="array" ref="E1243">IF(D1243="","",D1243-C1243)</f>
        <v>1.2000000000000011E-2</v>
      </c>
      <c r="F1243" s="31" cm="1">
        <f t="array" ref="F1243">IF(D1243=0,"",(D1243-C1243)/C1243)</f>
        <v>6.1919504643962904E-3</v>
      </c>
      <c r="G1243" s="32">
        <v>8769.2000000000007</v>
      </c>
      <c r="H1243" s="10">
        <v>1</v>
      </c>
      <c r="I1243" s="11" cm="1">
        <f t="array" ref="I1243">IF(D1243="","",(G1243*C1243)*0.00075)</f>
        <v>12.746032200000002</v>
      </c>
      <c r="J1243" s="11" cm="1">
        <f t="array" ref="J1243">IF(D1243="","",(G1243*D1243)*0.00075)</f>
        <v>12.824955000000003</v>
      </c>
      <c r="K1243" s="33" cm="1">
        <f t="array" ref="K1243">IF(D1243="","",J1243+I1243)</f>
        <v>25.570987200000005</v>
      </c>
      <c r="L1243" s="33" cm="1">
        <f t="array" ref="L1243">IF(D1243=0,0,(D1243-C1243)*G1243)</f>
        <v>105.2304000000001</v>
      </c>
      <c r="M1243" s="12">
        <v>16876.654245000002</v>
      </c>
      <c r="N1243" s="34" cm="1">
        <f t="array" ref="N1243">IFERROR((K1243-J1243)/J1243,"–")</f>
        <v>0.99384615384615382</v>
      </c>
      <c r="O1243" s="33" cm="1">
        <f t="array" ref="O1243">IF(D1243=0,0,L1243-K1243)</f>
        <v>79.659412800000098</v>
      </c>
      <c r="P1243" s="11"/>
      <c r="Q1243" s="35"/>
    </row>
    <row r="1244" spans="1:17" ht="22.5" customHeight="1">
      <c r="A1244" s="16" t="s">
        <v>162</v>
      </c>
      <c r="B1244" s="43">
        <v>44520</v>
      </c>
      <c r="C1244" s="37">
        <v>10.45</v>
      </c>
      <c r="D1244" s="37">
        <v>10.6</v>
      </c>
      <c r="E1244" s="19" cm="1">
        <f t="array" ref="E1244">IF(D1244="","",D1244-C1244)</f>
        <v>0.15000000000000036</v>
      </c>
      <c r="F1244" s="20" cm="1">
        <f t="array" ref="F1244">IF(D1244=0,"",(D1244-C1244)/C1244)</f>
        <v>1.4354066985645968E-2</v>
      </c>
      <c r="G1244" s="21">
        <v>813.03</v>
      </c>
      <c r="H1244" s="22">
        <v>1</v>
      </c>
      <c r="I1244" s="23" cm="1">
        <f t="array" ref="I1244">IF(D1244="","",(G1244*C1244)*0.00075)</f>
        <v>6.3721226249999994</v>
      </c>
      <c r="J1244" s="23" cm="1">
        <f t="array" ref="J1244">IF(D1244="","",(G1244*D1244)*0.00075)</f>
        <v>6.4635884999999993</v>
      </c>
      <c r="K1244" s="24" cm="1">
        <f t="array" ref="K1244">IF(D1244="","",J1244+I1244)</f>
        <v>12.835711125</v>
      </c>
      <c r="L1244" s="24" cm="1">
        <f t="array" ref="L1244">IF(D1244=0,0,(D1244-C1244)*G1244)</f>
        <v>121.95450000000028</v>
      </c>
      <c r="M1244" s="25">
        <v>8367.7454115</v>
      </c>
      <c r="N1244" s="26" cm="1">
        <f t="array" ref="N1244">IFERROR((K1244-J1244)/J1244,"–")</f>
        <v>0.98584905660377375</v>
      </c>
      <c r="O1244" s="24" cm="1">
        <f t="array" ref="O1244">IF(D1244=0,0,L1244-K1244)</f>
        <v>109.11878887500028</v>
      </c>
      <c r="P1244" s="23"/>
      <c r="Q1244" s="27"/>
    </row>
    <row r="1245" spans="1:17" ht="22.5" customHeight="1">
      <c r="A1245" s="16" t="s">
        <v>162</v>
      </c>
      <c r="B1245" s="42">
        <v>44520</v>
      </c>
      <c r="C1245" s="36">
        <v>10.45</v>
      </c>
      <c r="D1245" s="36">
        <v>10.62</v>
      </c>
      <c r="E1245" s="30" cm="1">
        <f t="array" ref="E1245">IF(D1245="","",D1245-C1245)</f>
        <v>0.16999999999999993</v>
      </c>
      <c r="F1245" s="31" cm="1">
        <f t="array" ref="F1245">IF(D1245=0,"",(D1245-C1245)/C1245)</f>
        <v>1.6267942583732053E-2</v>
      </c>
      <c r="G1245" s="32">
        <v>813.03</v>
      </c>
      <c r="H1245" s="10">
        <v>1</v>
      </c>
      <c r="I1245" s="11" cm="1">
        <f t="array" ref="I1245">IF(D1245="","",(G1245*C1245)*0.00075)</f>
        <v>6.3721226249999994</v>
      </c>
      <c r="J1245" s="11" cm="1">
        <f t="array" ref="J1245">IF(D1245="","",(G1245*D1245)*0.00075)</f>
        <v>6.4757839499999985</v>
      </c>
      <c r="K1245" s="33" cm="1">
        <f t="array" ref="K1245">IF(D1245="","",J1245+I1245)</f>
        <v>12.847906574999998</v>
      </c>
      <c r="L1245" s="33" cm="1">
        <f t="array" ref="L1245">IF(D1245=0,0,(D1245-C1245)*G1245)</f>
        <v>138.21509999999995</v>
      </c>
      <c r="M1245" s="12">
        <v>8351.4726160499995</v>
      </c>
      <c r="N1245" s="34" cm="1">
        <f t="array" ref="N1245">IFERROR((K1245-J1245)/J1245,"–")</f>
        <v>0.98399246704331467</v>
      </c>
      <c r="O1245" s="33" cm="1">
        <f t="array" ref="O1245">IF(D1245=0,0,L1245-K1245)</f>
        <v>125.36719342499995</v>
      </c>
      <c r="P1245" s="11"/>
      <c r="Q1245" s="35"/>
    </row>
    <row r="1246" spans="1:17" ht="22.5" customHeight="1">
      <c r="A1246" s="16" t="s">
        <v>113</v>
      </c>
      <c r="B1246" s="43">
        <v>44520</v>
      </c>
      <c r="C1246" s="37">
        <v>9.1999999999999998E-2</v>
      </c>
      <c r="D1246" s="37">
        <v>9.0800000000000006E-2</v>
      </c>
      <c r="E1246" s="19" cm="1">
        <f t="array" ref="E1246">IF(D1246="","",D1246-C1246)</f>
        <v>-1.1999999999999927E-3</v>
      </c>
      <c r="F1246" s="20" cm="1">
        <f t="array" ref="F1246">IF(D1246=0,"",(D1246-C1246)/C1246)</f>
        <v>-1.3043478260869486E-2</v>
      </c>
      <c r="G1246" s="21">
        <v>1693</v>
      </c>
      <c r="H1246" s="22">
        <v>1</v>
      </c>
      <c r="I1246" s="23" cm="1">
        <f t="array" ref="I1246">IF(D1246="","",(G1246*C1246)*0.00075)</f>
        <v>0.116817</v>
      </c>
      <c r="J1246" s="23" cm="1">
        <f t="array" ref="J1246">IF(D1246="","",(G1246*D1246)*0.00075)</f>
        <v>0.1152933</v>
      </c>
      <c r="K1246" s="24" cm="1">
        <f t="array" ref="K1246">IF(D1246="","",J1246+I1246)</f>
        <v>0.23211029999999999</v>
      </c>
      <c r="L1246" s="24" cm="1">
        <f t="array" ref="L1246">IF(D1246=0,0,(D1246-C1246)*G1246)</f>
        <v>-2.0315999999999876</v>
      </c>
      <c r="M1246" s="25">
        <v>157.67230670000001</v>
      </c>
      <c r="N1246" s="26" cm="1">
        <f t="array" ref="N1246">IFERROR((K1246-J1246)/J1246,"–")</f>
        <v>1.0132158590308369</v>
      </c>
      <c r="O1246" s="24" cm="1">
        <f t="array" ref="O1246">IF(D1246=0,0,L1246-K1246)</f>
        <v>-2.2637102999999876</v>
      </c>
      <c r="P1246" s="23"/>
      <c r="Q1246" s="27"/>
    </row>
    <row r="1247" spans="1:17" ht="22.5" customHeight="1">
      <c r="A1247" s="16" t="s">
        <v>113</v>
      </c>
      <c r="B1247" s="42">
        <v>44520</v>
      </c>
      <c r="C1247" s="36">
        <v>9.1999999999999998E-2</v>
      </c>
      <c r="D1247" s="36">
        <v>8.9969999999999994E-2</v>
      </c>
      <c r="E1247" s="30" cm="1">
        <f t="array" ref="E1247">IF(D1247="","",D1247-C1247)</f>
        <v>-2.030000000000004E-3</v>
      </c>
      <c r="F1247" s="31" cm="1">
        <f t="array" ref="F1247">IF(D1247=0,"",(D1247-C1247)/C1247)</f>
        <v>-2.2065217391304393E-2</v>
      </c>
      <c r="G1247" s="32">
        <v>1831</v>
      </c>
      <c r="H1247" s="10">
        <v>1</v>
      </c>
      <c r="I1247" s="11" cm="1">
        <f t="array" ref="I1247">IF(D1247="","",(G1247*C1247)*0.00075)</f>
        <v>0.12633900000000001</v>
      </c>
      <c r="J1247" s="11" cm="1">
        <f t="array" ref="J1247">IF(D1247="","",(G1247*D1247)*0.00075)</f>
        <v>0.12355130249999999</v>
      </c>
      <c r="K1247" s="33" cm="1">
        <f t="array" ref="K1247">IF(D1247="","",J1247+I1247)</f>
        <v>0.24989030249999999</v>
      </c>
      <c r="L1247" s="33" cm="1">
        <f t="array" ref="L1247">IF(D1247=0,0,(D1247-C1247)*G1247)</f>
        <v>-3.7169300000000072</v>
      </c>
      <c r="M1247" s="12">
        <v>172.04537869750001</v>
      </c>
      <c r="N1247" s="34" cm="1">
        <f t="array" ref="N1247">IFERROR((K1247-J1247)/J1247,"–")</f>
        <v>1.0225630765810827</v>
      </c>
      <c r="O1247" s="33" cm="1">
        <f t="array" ref="O1247">IF(D1247=0,0,L1247-K1247)</f>
        <v>-3.9668203025000071</v>
      </c>
      <c r="P1247" s="11"/>
      <c r="Q1247" s="35"/>
    </row>
    <row r="1248" spans="1:17" ht="22.5" customHeight="1">
      <c r="A1248" s="16" t="s">
        <v>113</v>
      </c>
      <c r="B1248" s="43">
        <v>44520</v>
      </c>
      <c r="C1248" s="37">
        <v>9.1999999999999998E-2</v>
      </c>
      <c r="D1248" s="37">
        <v>8.8450000000000001E-2</v>
      </c>
      <c r="E1248" s="19" cm="1">
        <f t="array" ref="E1248">IF(D1248="","",D1248-C1248)</f>
        <v>-3.5499999999999976E-3</v>
      </c>
      <c r="F1248" s="20" cm="1">
        <f t="array" ref="F1248">IF(D1248=0,"",(D1248-C1248)/C1248)</f>
        <v>-3.8586956521739102E-2</v>
      </c>
      <c r="G1248" s="21">
        <v>90628</v>
      </c>
      <c r="H1248" s="22">
        <v>1</v>
      </c>
      <c r="I1248" s="23" cm="1">
        <f t="array" ref="I1248">IF(D1248="","",(G1248*C1248)*0.00075)</f>
        <v>6.2533320000000003</v>
      </c>
      <c r="J1248" s="23" cm="1">
        <f t="array" ref="J1248">IF(D1248="","",(G1248*D1248)*0.00075)</f>
        <v>6.0120349500000003</v>
      </c>
      <c r="K1248" s="24" cm="1">
        <f t="array" ref="K1248">IF(D1248="","",J1248+I1248)</f>
        <v>12.265366950000001</v>
      </c>
      <c r="L1248" s="24" cm="1">
        <f t="array" ref="L1248">IF(D1248=0,0,(D1248-C1248)*G1248)</f>
        <v>-321.72939999999977</v>
      </c>
      <c r="M1248" s="25">
        <v>8653.4933650500006</v>
      </c>
      <c r="N1248" s="26" cm="1">
        <f t="array" ref="N1248">IFERROR((K1248-J1248)/J1248,"–")</f>
        <v>1.0401356698699831</v>
      </c>
      <c r="O1248" s="24" cm="1">
        <f t="array" ref="O1248">IF(D1248=0,0,L1248-K1248)</f>
        <v>-333.99476694999976</v>
      </c>
      <c r="P1248" s="23"/>
      <c r="Q1248" s="27"/>
    </row>
    <row r="1249" spans="1:17" ht="22.5" customHeight="1">
      <c r="A1249" s="16" t="s">
        <v>113</v>
      </c>
      <c r="B1249" s="42">
        <v>44520</v>
      </c>
      <c r="C1249" s="36">
        <v>9.1999999999999998E-2</v>
      </c>
      <c r="D1249" s="36">
        <v>8.7999999999999995E-2</v>
      </c>
      <c r="E1249" s="30" cm="1">
        <f t="array" ref="E1249">IF(D1249="","",D1249-C1249)</f>
        <v>-4.0000000000000036E-3</v>
      </c>
      <c r="F1249" s="31" cm="1">
        <f t="array" ref="F1249">IF(D1249=0,"",(D1249-C1249)/C1249)</f>
        <v>-4.3478260869565258E-2</v>
      </c>
      <c r="G1249" s="32">
        <v>90628</v>
      </c>
      <c r="H1249" s="10">
        <v>1</v>
      </c>
      <c r="I1249" s="11" cm="1">
        <f t="array" ref="I1249">IF(D1249="","",(G1249*C1249)*0.00075)</f>
        <v>6.2533320000000003</v>
      </c>
      <c r="J1249" s="11" cm="1">
        <f t="array" ref="J1249">IF(D1249="","",(G1249*D1249)*0.00075)</f>
        <v>5.9814479999999994</v>
      </c>
      <c r="K1249" s="33" cm="1">
        <f t="array" ref="K1249">IF(D1249="","",J1249+I1249)</f>
        <v>12.234780000000001</v>
      </c>
      <c r="L1249" s="33" cm="1">
        <f t="array" ref="L1249">IF(D1249=0,0,(D1249-C1249)*G1249)</f>
        <v>-362.51200000000034</v>
      </c>
      <c r="M1249" s="12">
        <v>8694.306552</v>
      </c>
      <c r="N1249" s="34" cm="1">
        <f t="array" ref="N1249">IFERROR((K1249-J1249)/J1249,"–")</f>
        <v>1.0454545454545459</v>
      </c>
      <c r="O1249" s="33" cm="1">
        <f t="array" ref="O1249">IF(D1249=0,0,L1249-K1249)</f>
        <v>-374.74678000000034</v>
      </c>
      <c r="P1249" s="11"/>
      <c r="Q1249" s="35"/>
    </row>
    <row r="1250" spans="1:17" ht="22.5" customHeight="1">
      <c r="A1250" s="16" t="s">
        <v>39</v>
      </c>
      <c r="B1250" s="43">
        <v>44520</v>
      </c>
      <c r="C1250" s="37">
        <v>3.95E-2</v>
      </c>
      <c r="D1250" s="37">
        <v>4.1640000000000003E-2</v>
      </c>
      <c r="E1250" s="19" cm="1">
        <f t="array" ref="E1250">IF(D1250="","",D1250-C1250)</f>
        <v>2.140000000000003E-3</v>
      </c>
      <c r="F1250" s="20" cm="1">
        <f t="array" ref="F1250">IF(D1250=0,"",(D1250-C1250)/C1250)</f>
        <v>5.4177215189873493E-2</v>
      </c>
      <c r="G1250" s="21">
        <v>50622</v>
      </c>
      <c r="H1250" s="22">
        <v>1</v>
      </c>
      <c r="I1250" s="23" cm="1">
        <f t="array" ref="I1250">IF(D1250="","",(G1250*C1250)*0.00075)</f>
        <v>1.4996767499999999</v>
      </c>
      <c r="J1250" s="23" cm="1">
        <f t="array" ref="J1250">IF(D1250="","",(G1250*D1250)*0.00075)</f>
        <v>1.5809250600000002</v>
      </c>
      <c r="K1250" s="24" cm="1">
        <f t="array" ref="K1250">IF(D1250="","",J1250+I1250)</f>
        <v>3.0806018100000001</v>
      </c>
      <c r="L1250" s="24" cm="1">
        <f t="array" ref="L1250">IF(D1250=0,0,(D1250-C1250)*G1250)</f>
        <v>108.33108000000016</v>
      </c>
      <c r="M1250" s="25">
        <v>1889.65699494</v>
      </c>
      <c r="N1250" s="26" cm="1">
        <f t="array" ref="N1250">IFERROR((K1250-J1250)/J1250,"–")</f>
        <v>0.9486071085494715</v>
      </c>
      <c r="O1250" s="24" cm="1">
        <f t="array" ref="O1250">IF(D1250=0,0,L1250-K1250)</f>
        <v>105.25047819000015</v>
      </c>
      <c r="P1250" s="23"/>
      <c r="Q1250" s="27"/>
    </row>
    <row r="1251" spans="1:17" ht="22.5" customHeight="1">
      <c r="A1251" s="16" t="s">
        <v>234</v>
      </c>
      <c r="B1251" s="42">
        <v>44520</v>
      </c>
      <c r="C1251" s="36">
        <v>7.1055999999999999</v>
      </c>
      <c r="D1251" s="36">
        <v>14.4983</v>
      </c>
      <c r="E1251" s="30" cm="1">
        <f t="array" ref="E1251">IF(D1251="","",D1251-C1251)</f>
        <v>7.3927000000000005</v>
      </c>
      <c r="F1251" s="31" cm="1">
        <f t="array" ref="F1251">IF(D1251=0,"",(D1251-C1251)/C1251)</f>
        <v>1.0404047511821664</v>
      </c>
      <c r="G1251" s="32">
        <v>200.53299999999999</v>
      </c>
      <c r="H1251" s="10">
        <v>1</v>
      </c>
      <c r="I1251" s="11" cm="1">
        <f t="array" ref="I1251">IF(D1251="","",(G1251*C1251)*0.002)</f>
        <v>2.8498145695999999</v>
      </c>
      <c r="J1251" s="11" cm="1">
        <f t="array" ref="J1251">IF(D1251="","",(G1251*D1251)*0.002)</f>
        <v>5.8147751878000005</v>
      </c>
      <c r="K1251" s="33" cm="1">
        <f t="array" ref="K1251">IF(D1251="","",J1251+I1251)</f>
        <v>8.6645897573999999</v>
      </c>
      <c r="L1251" s="33" cm="1">
        <f t="array" ref="L1251">IF(D1251=0,0,(D1251-C1251)*G1251)</f>
        <v>1482.4803091000001</v>
      </c>
      <c r="M1251" s="12">
        <v>-63.387799487800002</v>
      </c>
      <c r="N1251" s="34" cm="1">
        <f t="array" ref="N1251">IFERROR((K1251-J1251)/J1251,"–")</f>
        <v>0.4900988391742479</v>
      </c>
      <c r="O1251" s="33" cm="1">
        <f t="array" ref="O1251">IF(D1251=0,0,L1251-K1251)</f>
        <v>1473.8157193426</v>
      </c>
      <c r="P1251" s="11"/>
      <c r="Q1251" s="35"/>
    </row>
    <row r="1252" spans="1:17" ht="22.5" customHeight="1">
      <c r="A1252" s="16" t="s">
        <v>111</v>
      </c>
      <c r="B1252" s="43">
        <v>44520</v>
      </c>
      <c r="C1252" s="37">
        <v>0.67549999999999999</v>
      </c>
      <c r="D1252" s="37">
        <v>0.71899999999999997</v>
      </c>
      <c r="E1252" s="19" cm="1">
        <f t="array" ref="E1252">IF(D1252="","",D1252-C1252)</f>
        <v>4.3499999999999983E-2</v>
      </c>
      <c r="F1252" s="20" cm="1">
        <f t="array" ref="F1252">IF(D1252=0,"",(D1252-C1252)/C1252)</f>
        <v>6.4396743153219818E-2</v>
      </c>
      <c r="G1252" s="21">
        <v>7142</v>
      </c>
      <c r="H1252" s="22">
        <v>1</v>
      </c>
      <c r="I1252" s="23" cm="1">
        <f t="array" ref="I1252">IF(D1252="","",(G1252*C1252)*0.00075)</f>
        <v>3.6183157500000003</v>
      </c>
      <c r="J1252" s="23" cm="1">
        <f t="array" ref="J1252">IF(D1252="","",(G1252*D1252)*0.00075)</f>
        <v>3.8513234999999999</v>
      </c>
      <c r="K1252" s="24" cm="1">
        <f t="array" ref="K1252">IF(D1252="","",J1252+I1252)</f>
        <v>7.4696392500000002</v>
      </c>
      <c r="L1252" s="24" cm="1">
        <f t="array" ref="L1252">IF(D1252=0,0,(D1252-C1252)*G1252)</f>
        <v>310.67699999999991</v>
      </c>
      <c r="M1252" s="25">
        <v>4509.8926764999997</v>
      </c>
      <c r="N1252" s="26" cm="1">
        <f t="array" ref="N1252">IFERROR((K1252-J1252)/J1252,"–")</f>
        <v>0.93949930458970798</v>
      </c>
      <c r="O1252" s="24" cm="1">
        <f t="array" ref="O1252">IF(D1252=0,0,L1252-K1252)</f>
        <v>303.20736074999991</v>
      </c>
      <c r="P1252" s="23"/>
      <c r="Q1252" s="27"/>
    </row>
    <row r="1253" spans="1:17" ht="22.5" customHeight="1">
      <c r="A1253" s="16" t="s">
        <v>117</v>
      </c>
      <c r="B1253" s="42">
        <v>44521</v>
      </c>
      <c r="C1253" s="36">
        <v>1.8685</v>
      </c>
      <c r="D1253" s="36">
        <v>1.8749</v>
      </c>
      <c r="E1253" s="30" cm="1">
        <f t="array" ref="E1253">IF(D1253="","",D1253-C1253)</f>
        <v>6.3999999999999613E-3</v>
      </c>
      <c r="F1253" s="31" cm="1">
        <f t="array" ref="F1253">IF(D1253=0,"",(D1253-C1253)/C1253)</f>
        <v>3.4252073856034042E-3</v>
      </c>
      <c r="G1253" s="32">
        <v>2675.8</v>
      </c>
      <c r="H1253" s="10">
        <v>1</v>
      </c>
      <c r="I1253" s="11" cm="1">
        <f t="array" ref="I1253">IF(D1253="","",(G1253*C1253)*0.00075)</f>
        <v>3.7497992250000003</v>
      </c>
      <c r="J1253" s="11" cm="1">
        <f t="array" ref="J1253">IF(D1253="","",(G1253*D1253)*0.00075)</f>
        <v>3.7626430650000002</v>
      </c>
      <c r="K1253" s="33" cm="1">
        <f t="array" ref="K1253">IF(D1253="","",J1253+I1253)</f>
        <v>7.512442290000001</v>
      </c>
      <c r="L1253" s="33" cm="1">
        <f t="array" ref="L1253">IF(D1253=0,0,(D1253-C1253)*G1253)</f>
        <v>17.125119999999896</v>
      </c>
      <c r="M1253" s="12">
        <v>4978.8445369350002</v>
      </c>
      <c r="N1253" s="34" cm="1">
        <f t="array" ref="N1253">IFERROR((K1253-J1253)/J1253,"–")</f>
        <v>0.99658648461251276</v>
      </c>
      <c r="O1253" s="33" cm="1">
        <f t="array" ref="O1253">IF(D1253=0,0,L1253-K1253)</f>
        <v>9.612677709999895</v>
      </c>
      <c r="P1253" s="11"/>
      <c r="Q1253" s="35"/>
    </row>
    <row r="1254" spans="1:17" ht="22.5" customHeight="1">
      <c r="A1254" s="16" t="s">
        <v>117</v>
      </c>
      <c r="B1254" s="43">
        <v>44521</v>
      </c>
      <c r="C1254" s="37">
        <v>1.8685</v>
      </c>
      <c r="D1254" s="37">
        <v>1.8779999999999999</v>
      </c>
      <c r="E1254" s="19" cm="1">
        <f t="array" ref="E1254">IF(D1254="","",D1254-C1254)</f>
        <v>9.4999999999998419E-3</v>
      </c>
      <c r="F1254" s="20" cm="1">
        <f t="array" ref="F1254">IF(D1254=0,"",(D1254-C1254)/C1254)</f>
        <v>5.0842922130049997E-3</v>
      </c>
      <c r="G1254" s="21">
        <v>4013.7</v>
      </c>
      <c r="H1254" s="22">
        <v>1</v>
      </c>
      <c r="I1254" s="23" cm="1">
        <f t="array" ref="I1254">IF(D1254="","",(G1254*C1254)*0.00075)</f>
        <v>5.6246988374999995</v>
      </c>
      <c r="J1254" s="23" cm="1">
        <f t="array" ref="J1254">IF(D1254="","",(G1254*D1254)*0.00075)</f>
        <v>5.65329645</v>
      </c>
      <c r="K1254" s="24" cm="1">
        <f t="array" ref="K1254">IF(D1254="","",J1254+I1254)</f>
        <v>11.2779952875</v>
      </c>
      <c r="L1254" s="24" cm="1">
        <f t="array" ref="L1254">IF(D1254=0,0,(D1254-C1254)*G1254)</f>
        <v>38.130149999999361</v>
      </c>
      <c r="M1254" s="25">
        <v>7455.8150035500003</v>
      </c>
      <c r="N1254" s="26" cm="1">
        <f t="array" ref="N1254">IFERROR((K1254-J1254)/J1254,"–")</f>
        <v>0.99494142705005317</v>
      </c>
      <c r="O1254" s="24" cm="1">
        <f t="array" ref="O1254">IF(D1254=0,0,L1254-K1254)</f>
        <v>26.852154712499363</v>
      </c>
      <c r="P1254" s="23"/>
      <c r="Q1254" s="27"/>
    </row>
    <row r="1255" spans="1:17" ht="22.5" customHeight="1">
      <c r="A1255" s="16" t="s">
        <v>117</v>
      </c>
      <c r="B1255" s="42">
        <v>44521</v>
      </c>
      <c r="C1255" s="36">
        <v>1.8685</v>
      </c>
      <c r="D1255" s="36">
        <v>1.845</v>
      </c>
      <c r="E1255" s="30" cm="1">
        <f t="array" ref="E1255">IF(D1255="","",D1255-C1255)</f>
        <v>-2.3500000000000076E-2</v>
      </c>
      <c r="F1255" s="31" cm="1">
        <f t="array" ref="F1255">IF(D1255=0,"",(D1255-C1255)/C1255)</f>
        <v>-1.2576933369012618E-2</v>
      </c>
      <c r="G1255" s="32">
        <v>4013.7</v>
      </c>
      <c r="H1255" s="10">
        <v>1</v>
      </c>
      <c r="I1255" s="11" cm="1">
        <f t="array" ref="I1255">IF(D1255="","",(G1255*C1255)*0.00075)</f>
        <v>5.6246988374999995</v>
      </c>
      <c r="J1255" s="11" cm="1">
        <f t="array" ref="J1255">IF(D1255="","",(G1255*D1255)*0.00075)</f>
        <v>5.5539573750000004</v>
      </c>
      <c r="K1255" s="33" cm="1">
        <f t="array" ref="K1255">IF(D1255="","",J1255+I1255)</f>
        <v>11.1786562125</v>
      </c>
      <c r="L1255" s="33" cm="1">
        <f t="array" ref="L1255">IF(D1255=0,0,(D1255-C1255)*G1255)</f>
        <v>-94.321950000000299</v>
      </c>
      <c r="M1255" s="12">
        <v>7588.3664426249998</v>
      </c>
      <c r="N1255" s="34" cm="1">
        <f t="array" ref="N1255">IFERROR((K1255-J1255)/J1255,"–")</f>
        <v>1.0127371273712735</v>
      </c>
      <c r="O1255" s="33" cm="1">
        <f t="array" ref="O1255">IF(D1255=0,0,L1255-K1255)</f>
        <v>-105.5006062125003</v>
      </c>
      <c r="P1255" s="11"/>
      <c r="Q1255" s="35"/>
    </row>
    <row r="1256" spans="1:17" ht="22.5" customHeight="1">
      <c r="A1256" s="16" t="s">
        <v>235</v>
      </c>
      <c r="B1256" s="52">
        <v>44521</v>
      </c>
      <c r="C1256" s="37">
        <v>3.4091999999999998</v>
      </c>
      <c r="D1256" s="37">
        <v>3.43</v>
      </c>
      <c r="E1256" s="19" cm="1">
        <f t="array" ref="E1256">IF(D1256="","",D1256-C1256)</f>
        <v>2.0800000000000374E-2</v>
      </c>
      <c r="F1256" s="20" cm="1">
        <f t="array" ref="F1256">IF(D1256=0,"",(D1256-C1256)/C1256)</f>
        <v>6.1011380969143419E-3</v>
      </c>
      <c r="G1256" s="21">
        <v>2977.2</v>
      </c>
      <c r="H1256" s="22">
        <v>1</v>
      </c>
      <c r="I1256" s="23" cm="1">
        <f t="array" ref="I1256">IF(D1256="","",(G1256*C1256)*0.00075)</f>
        <v>7.6124026799999989</v>
      </c>
      <c r="J1256" s="23" cm="1">
        <f t="array" ref="J1256">IF(D1256="","",(G1256*D1256)*0.00075)</f>
        <v>7.6588470000000006</v>
      </c>
      <c r="K1256" s="24" cm="1">
        <f t="array" ref="K1256">IF(D1256="","",J1256+I1256)</f>
        <v>15.27124968</v>
      </c>
      <c r="L1256" s="24" cm="1">
        <f t="array" ref="L1256">IF(D1256=0,0,(D1256-C1256)*G1256)</f>
        <v>61.925760000001112</v>
      </c>
      <c r="M1256" s="25">
        <v>10080.285633</v>
      </c>
      <c r="N1256" s="26" cm="1">
        <f t="array" ref="N1256">IFERROR((K1256-J1256)/J1256,"–")</f>
        <v>0.99393586005830892</v>
      </c>
      <c r="O1256" s="24" cm="1">
        <f t="array" ref="O1256">IF(D1256=0,0,L1256-K1256)</f>
        <v>46.654510320001108</v>
      </c>
      <c r="P1256" s="23"/>
      <c r="Q1256" s="27"/>
    </row>
    <row r="1257" spans="1:17" ht="22.5" customHeight="1">
      <c r="A1257" s="16" t="s">
        <v>235</v>
      </c>
      <c r="B1257" s="53">
        <v>44521</v>
      </c>
      <c r="C1257" s="36">
        <v>3.4091999999999998</v>
      </c>
      <c r="D1257" s="36">
        <v>3.41</v>
      </c>
      <c r="E1257" s="30" cm="1">
        <f t="array" ref="E1257">IF(D1257="","",D1257-C1257)</f>
        <v>8.0000000000035598E-4</v>
      </c>
      <c r="F1257" s="31" cm="1">
        <f t="array" ref="F1257">IF(D1257=0,"",(D1257-C1257)/C1257)</f>
        <v>2.3465915757372874E-4</v>
      </c>
      <c r="G1257" s="32">
        <v>2977.2</v>
      </c>
      <c r="H1257" s="10">
        <v>1</v>
      </c>
      <c r="I1257" s="11" cm="1">
        <f t="array" ref="I1257">IF(D1257="","",(G1257*C1257)*0.00075)</f>
        <v>7.6124026799999989</v>
      </c>
      <c r="J1257" s="11" cm="1">
        <f t="array" ref="J1257">IF(D1257="","",(G1257*D1257)*0.00075)</f>
        <v>7.6141890000000005</v>
      </c>
      <c r="K1257" s="33" cm="1">
        <f t="array" ref="K1257">IF(D1257="","",J1257+I1257)</f>
        <v>15.226591679999999</v>
      </c>
      <c r="L1257" s="33" cm="1">
        <f t="array" ref="L1257">IF(D1257=0,0,(D1257-C1257)*G1257)</f>
        <v>2.3817600000010595</v>
      </c>
      <c r="M1257" s="12">
        <v>10139.874291</v>
      </c>
      <c r="N1257" s="34" cm="1">
        <f t="array" ref="N1257">IFERROR((K1257-J1257)/J1257,"–")</f>
        <v>0.99976539589442781</v>
      </c>
      <c r="O1257" s="33" cm="1">
        <f t="array" ref="O1257">IF(D1257=0,0,L1257-K1257)</f>
        <v>-12.84483167999894</v>
      </c>
      <c r="P1257" s="11"/>
      <c r="Q1257" s="35"/>
    </row>
    <row r="1258" spans="1:17" ht="22.5" customHeight="1">
      <c r="A1258" s="16" t="s">
        <v>236</v>
      </c>
      <c r="B1258" s="43">
        <v>44521</v>
      </c>
      <c r="C1258" s="37">
        <v>0.3841</v>
      </c>
      <c r="D1258" s="37">
        <v>0.43</v>
      </c>
      <c r="E1258" s="19" cm="1">
        <f t="array" ref="E1258">IF(D1258="","",D1258-C1258)</f>
        <v>4.5899999999999996E-2</v>
      </c>
      <c r="F1258" s="20" cm="1">
        <f t="array" ref="F1258">IF(D1258=0,"",(D1258-C1258)/C1258)</f>
        <v>0.11950013017443373</v>
      </c>
      <c r="G1258" s="21">
        <v>6381.15</v>
      </c>
      <c r="H1258" s="22">
        <v>1</v>
      </c>
      <c r="I1258" s="23" cm="1">
        <f t="array" ref="I1258">IF(D1258="","",(G1258*C1258)*0.00075)</f>
        <v>1.83824978625</v>
      </c>
      <c r="J1258" s="23" cm="1">
        <f t="array" ref="J1258">IF(D1258="","",(G1258*D1258)*0.00075)</f>
        <v>2.0579208749999998</v>
      </c>
      <c r="K1258" s="24" cm="1">
        <f t="array" ref="K1258">IF(D1258="","",J1258+I1258)</f>
        <v>3.8961706612499998</v>
      </c>
      <c r="L1258" s="24" cm="1">
        <f t="array" ref="L1258">IF(D1258=0,0,(D1258-C1258)*G1258)</f>
        <v>292.89478499999996</v>
      </c>
      <c r="M1258" s="25">
        <v>2156.0470091249999</v>
      </c>
      <c r="N1258" s="26" cm="1">
        <f t="array" ref="N1258">IFERROR((K1258-J1258)/J1258,"–")</f>
        <v>0.89325581395348852</v>
      </c>
      <c r="O1258" s="24" cm="1">
        <f t="array" ref="O1258">IF(D1258=0,0,L1258-K1258)/2</f>
        <v>144.49930716937499</v>
      </c>
      <c r="P1258" s="23"/>
      <c r="Q1258" s="27"/>
    </row>
    <row r="1259" spans="1:17" ht="22.5" customHeight="1">
      <c r="A1259" s="16" t="s">
        <v>237</v>
      </c>
      <c r="B1259" s="42">
        <v>44521</v>
      </c>
      <c r="C1259" s="36">
        <v>2.5371999999999999</v>
      </c>
      <c r="D1259" s="36">
        <v>3.3561000000000001</v>
      </c>
      <c r="E1259" s="30" cm="1">
        <f t="array" ref="E1259">IF(D1259="","",D1259-C1259)</f>
        <v>0.81890000000000018</v>
      </c>
      <c r="F1259" s="31" cm="1">
        <f t="array" ref="F1259">IF(D1259=0,"",(D1259-C1259)/C1259)</f>
        <v>0.3227573703294972</v>
      </c>
      <c r="G1259" s="32">
        <v>1254.95</v>
      </c>
      <c r="H1259" s="10">
        <v>1</v>
      </c>
      <c r="I1259" s="11" cm="1">
        <f t="array" ref="I1259">IF(D1259="","",(G1259*C1259)*0.00075)</f>
        <v>2.3880443549999999</v>
      </c>
      <c r="J1259" s="11" cm="1">
        <f t="array" ref="J1259">IF(D1259="","",(G1259*D1259)*0.00075)</f>
        <v>3.15880327125</v>
      </c>
      <c r="K1259" s="33" cm="1">
        <f t="array" ref="K1259">IF(D1259="","",J1259+I1259)</f>
        <v>5.5468476262499999</v>
      </c>
      <c r="L1259" s="33" cm="1">
        <f t="array" ref="L1259">IF(D1259=0,0,(D1259-C1259)*G1259)</f>
        <v>1027.6785550000002</v>
      </c>
      <c r="M1259" s="12">
        <v>2153.2217817287501</v>
      </c>
      <c r="N1259" s="34" cm="1">
        <f t="array" ref="N1259">IFERROR((K1259-J1259)/J1259,"–")</f>
        <v>0.75599654360716306</v>
      </c>
      <c r="O1259" s="33" cm="1">
        <f t="array" ref="O1259">IF(D1259=0,0,L1259-K1259)/2</f>
        <v>511.06585368687507</v>
      </c>
      <c r="P1259" s="11"/>
      <c r="Q1259" s="35"/>
    </row>
    <row r="1260" spans="1:17" ht="22.5" customHeight="1">
      <c r="A1260" s="16" t="s">
        <v>238</v>
      </c>
      <c r="B1260" s="43">
        <v>44521</v>
      </c>
      <c r="C1260" s="37">
        <v>0.23957999999999999</v>
      </c>
      <c r="D1260" s="37">
        <v>0.27023999999999998</v>
      </c>
      <c r="E1260" s="19" cm="1">
        <f t="array" ref="E1260">IF(D1260="","",D1260-C1260)</f>
        <v>3.0659999999999993E-2</v>
      </c>
      <c r="F1260" s="20" cm="1">
        <f t="array" ref="F1260">IF(D1260=0,"",(D1260-C1260)/C1260)</f>
        <v>0.12797395442023538</v>
      </c>
      <c r="G1260" s="21">
        <v>7192.7349999999997</v>
      </c>
      <c r="H1260" s="22">
        <v>1</v>
      </c>
      <c r="I1260" s="23" cm="1">
        <f t="array" ref="I1260">IF(D1260="","",(G1260*C1260)*0.00075)</f>
        <v>1.2924265884749999</v>
      </c>
      <c r="J1260" s="23" cm="1">
        <f t="array" ref="J1260">IF(D1260="","",(G1260*D1260)*0.00075)</f>
        <v>1.4578235298</v>
      </c>
      <c r="K1260" s="24" cm="1">
        <f t="array" ref="K1260">IF(D1260="","",J1260+I1260)</f>
        <v>2.7502501182749999</v>
      </c>
      <c r="L1260" s="24" cm="1">
        <f t="array" ref="L1260">IF(D1260=0,0,(D1260-C1260)*G1260)</f>
        <v>220.52925509999994</v>
      </c>
      <c r="M1260" s="25">
        <v>1501.2483726702001</v>
      </c>
      <c r="N1260" s="26" cm="1">
        <f t="array" ref="N1260">IFERROR((K1260-J1260)/J1260,"–")</f>
        <v>0.88654529307282415</v>
      </c>
      <c r="O1260" s="24" cm="1">
        <f t="array" ref="O1260">IF(D1260=0,0,L1260-K1260)/2</f>
        <v>108.88950249086247</v>
      </c>
      <c r="P1260" s="23"/>
      <c r="Q1260" s="27"/>
    </row>
    <row r="1261" spans="1:17" ht="22.5" customHeight="1">
      <c r="A1261" s="16" t="s">
        <v>238</v>
      </c>
      <c r="B1261" s="42">
        <v>44521</v>
      </c>
      <c r="C1261" s="36">
        <v>0.23957999999999999</v>
      </c>
      <c r="D1261" s="36">
        <v>0.26902999999999999</v>
      </c>
      <c r="E1261" s="30" cm="1">
        <f t="array" ref="E1261">IF(D1261="","",D1261-C1261)</f>
        <v>2.9450000000000004E-2</v>
      </c>
      <c r="F1261" s="31" cm="1">
        <f t="array" ref="F1261">IF(D1261=0,"",(D1261-C1261)/C1261)</f>
        <v>0.12292344936973039</v>
      </c>
      <c r="G1261" s="32">
        <v>5426.098</v>
      </c>
      <c r="H1261" s="10">
        <v>1</v>
      </c>
      <c r="I1261" s="11" cm="1">
        <f t="array" ref="I1261">IF(D1261="","",(G1261*C1261)*0.00075)</f>
        <v>0.97498841912999989</v>
      </c>
      <c r="J1261" s="11" cm="1">
        <f t="array" ref="J1261">IF(D1261="","",(G1261*D1261)*0.00075)</f>
        <v>1.094837358705</v>
      </c>
      <c r="K1261" s="33" cm="1">
        <f t="array" ref="K1261">IF(D1261="","",J1261+I1261)</f>
        <v>2.0698257778349998</v>
      </c>
      <c r="L1261" s="33" cm="1">
        <f t="array" ref="L1261">IF(D1261=0,0,(D1261-C1261)*G1261)</f>
        <v>159.79858610000002</v>
      </c>
      <c r="M1261" s="12">
        <v>1139.0911353813001</v>
      </c>
      <c r="N1261" s="34" cm="1">
        <f t="array" ref="N1261">IFERROR((K1261-J1261)/J1261,"–")</f>
        <v>0.89053265435081574</v>
      </c>
      <c r="O1261" s="33" cm="1">
        <f t="array" ref="O1261">IF(D1261=0,0,L1261-K1261)/2</f>
        <v>78.864380161082508</v>
      </c>
      <c r="P1261" s="11"/>
      <c r="Q1261" s="35"/>
    </row>
    <row r="1262" spans="1:17" ht="22.5" customHeight="1">
      <c r="A1262" s="16" t="s">
        <v>239</v>
      </c>
      <c r="B1262" s="43">
        <v>44521</v>
      </c>
      <c r="C1262" s="37">
        <v>44.4</v>
      </c>
      <c r="D1262" s="37">
        <v>45.75</v>
      </c>
      <c r="E1262" s="19" cm="1">
        <f t="array" ref="E1262">IF(D1262="","",D1262-C1262)</f>
        <v>1.3500000000000014</v>
      </c>
      <c r="F1262" s="20" cm="1">
        <f t="array" ref="F1262">IF(D1262=0,"",(D1262-C1262)/C1262)</f>
        <v>3.0405405405405438E-2</v>
      </c>
      <c r="G1262" s="21">
        <v>464.61</v>
      </c>
      <c r="H1262" s="22">
        <v>1</v>
      </c>
      <c r="I1262" s="23" cm="1">
        <f t="array" ref="I1262">IF(D1262="","",(G1262*C1262)*0.00075)</f>
        <v>15.471513000000002</v>
      </c>
      <c r="J1262" s="23" cm="1">
        <f t="array" ref="J1262">IF(D1262="","",(G1262*D1262)*0.00075)</f>
        <v>15.941930625000001</v>
      </c>
      <c r="K1262" s="24" cm="1">
        <f t="array" ref="K1262">IF(D1262="","",J1262+I1262)</f>
        <v>31.413443625000003</v>
      </c>
      <c r="L1262" s="24" cm="1">
        <f t="array" ref="L1262">IF(D1262=0,0,(D1262-C1262)*G1262)</f>
        <v>627.22350000000063</v>
      </c>
      <c r="M1262" s="25">
        <v>19985.518569374999</v>
      </c>
      <c r="N1262" s="26" cm="1">
        <f t="array" ref="N1262">IFERROR((K1262-J1262)/J1262,"–")</f>
        <v>0.97049180327868856</v>
      </c>
      <c r="O1262" s="24" cm="1">
        <f t="array" ref="O1262">IF(D1262=0,0,L1262-K1262)*(0.73)</f>
        <v>434.94134115375044</v>
      </c>
      <c r="P1262" s="23"/>
      <c r="Q1262" s="27"/>
    </row>
    <row r="1263" spans="1:17" ht="22.5" customHeight="1">
      <c r="A1263" s="16" t="s">
        <v>239</v>
      </c>
      <c r="B1263" s="42">
        <v>44521</v>
      </c>
      <c r="C1263" s="36">
        <v>44.4</v>
      </c>
      <c r="D1263" s="36">
        <v>44.45</v>
      </c>
      <c r="E1263" s="30" cm="1">
        <f t="array" ref="E1263">IF(D1263="","",D1263-C1263)</f>
        <v>5.0000000000004263E-2</v>
      </c>
      <c r="F1263" s="31" cm="1">
        <f t="array" ref="F1263">IF(D1263=0,"",(D1263-C1263)/C1263)</f>
        <v>1.1261261261262222E-3</v>
      </c>
      <c r="G1263" s="32">
        <v>154.88</v>
      </c>
      <c r="H1263" s="10">
        <v>1</v>
      </c>
      <c r="I1263" s="11" cm="1">
        <f t="array" ref="I1263">IF(D1263="","",(G1263*C1263)*0.00075)</f>
        <v>5.1575039999999994</v>
      </c>
      <c r="J1263" s="11" cm="1">
        <f t="array" ref="J1263">IF(D1263="","",(G1263*D1263)*0.00075)</f>
        <v>5.1633120000000003</v>
      </c>
      <c r="K1263" s="33" cm="1">
        <f t="array" ref="K1263">IF(D1263="","",J1263+I1263)</f>
        <v>10.320816000000001</v>
      </c>
      <c r="L1263" s="33" cm="1">
        <f t="array" ref="L1263">IF(D1263=0,0,(D1263-C1263)*G1263)</f>
        <v>7.7440000000006597</v>
      </c>
      <c r="M1263" s="12">
        <v>6863.7646880000002</v>
      </c>
      <c r="N1263" s="34" cm="1">
        <f t="array" ref="N1263">IFERROR((K1263-J1263)/J1263,"–")</f>
        <v>0.99887514060742411</v>
      </c>
      <c r="O1263" s="33" cm="1">
        <f t="array" ref="O1263">IF(D1263=0,0,L1263-K1263)</f>
        <v>-2.576815999999341</v>
      </c>
      <c r="P1263" s="11"/>
      <c r="Q1263" s="35"/>
    </row>
    <row r="1264" spans="1:17" ht="22.5" customHeight="1">
      <c r="A1264" s="16" t="s">
        <v>240</v>
      </c>
      <c r="B1264" s="43">
        <v>44522</v>
      </c>
      <c r="C1264" s="37">
        <v>0.20510999999999999</v>
      </c>
      <c r="D1264" s="37">
        <v>0.23</v>
      </c>
      <c r="E1264" s="19" cm="1">
        <f t="array" ref="E1264">IF(D1264="","",D1264-C1264)</f>
        <v>2.4890000000000023E-2</v>
      </c>
      <c r="F1264" s="20" cm="1">
        <f t="array" ref="F1264">IF(D1264=0,"",(D1264-C1264)/C1264)</f>
        <v>0.1213495197698797</v>
      </c>
      <c r="G1264" s="21">
        <v>7901.07</v>
      </c>
      <c r="H1264" s="22">
        <v>1</v>
      </c>
      <c r="I1264" s="23" cm="1">
        <f t="array" ref="I1264">IF(D1264="","",(G1264*C1264)*0.002)</f>
        <v>3.2411769354</v>
      </c>
      <c r="J1264" s="23" cm="1">
        <f t="array" ref="J1264">IF(D1264="","",(G1264*D1264)*0.002)</f>
        <v>3.6344922000000004</v>
      </c>
      <c r="K1264" s="24" cm="1">
        <f t="array" ref="K1264">IF(D1264="","",J1264+I1264)</f>
        <v>6.8756691354000008</v>
      </c>
      <c r="L1264" s="24" cm="1">
        <f t="array" ref="L1264">IF(D1264=0,0,(D1264-C1264)*G1264)</f>
        <v>196.65763230000019</v>
      </c>
      <c r="M1264" s="25">
        <v>1420.2963431999999</v>
      </c>
      <c r="N1264" s="26" cm="1">
        <f t="array" ref="N1264">IFERROR((K1264-J1264)/J1264,"–")</f>
        <v>0.89178260869565218</v>
      </c>
      <c r="O1264" s="24" cm="1">
        <f t="array" ref="O1264">IF(D1264=0,0,L1264-K1264)/2</f>
        <v>94.8909815823001</v>
      </c>
      <c r="P1264" s="23"/>
      <c r="Q1264" s="27"/>
    </row>
    <row r="1265" spans="1:17" ht="22.5" customHeight="1">
      <c r="A1265" s="16" t="s">
        <v>240</v>
      </c>
      <c r="B1265" s="42">
        <v>44522</v>
      </c>
      <c r="C1265" s="36">
        <v>0.20510999999999999</v>
      </c>
      <c r="D1265" s="36">
        <v>0.16445000000000001</v>
      </c>
      <c r="E1265" s="30" cm="1">
        <f t="array" ref="E1265">IF(D1265="","",D1265-C1265)</f>
        <v>-4.0659999999999974E-2</v>
      </c>
      <c r="F1265" s="31" cm="1">
        <f t="array" ref="F1265">IF(D1265=0,"",(D1265-C1265)/C1265)</f>
        <v>-0.19823509336453599</v>
      </c>
      <c r="G1265" s="32">
        <v>3950.5349999999999</v>
      </c>
      <c r="H1265" s="10">
        <v>1</v>
      </c>
      <c r="I1265" s="11" cm="1">
        <f t="array" ref="I1265">IF(D1265="","",(G1265*C1265)*0.002)</f>
        <v>1.6205884677</v>
      </c>
      <c r="J1265" s="11" cm="1">
        <f t="array" ref="J1265">IF(D1265="","",(G1265*D1265)*0.002)</f>
        <v>1.2993309615000002</v>
      </c>
      <c r="K1265" s="33" cm="1">
        <f t="array" ref="K1265">IF(D1265="","",J1265+I1265)</f>
        <v>2.9199194292000001</v>
      </c>
      <c r="L1265" s="33" cm="1">
        <f t="array" ref="L1265">IF(D1265=0,0,(D1265-C1265)*G1265)</f>
        <v>-160.6287530999999</v>
      </c>
      <c r="M1265" s="12">
        <v>969.62365598849999</v>
      </c>
      <c r="N1265" s="34" cm="1">
        <f t="array" ref="N1265">IFERROR((K1265-J1265)/J1265,"–")</f>
        <v>1.2472484037701428</v>
      </c>
      <c r="O1265" s="33" cm="1">
        <f t="array" ref="O1265">IF(D1265=0,0,L1265-K1265)/2</f>
        <v>-81.774336264599953</v>
      </c>
      <c r="P1265" s="11"/>
      <c r="Q1265" s="35"/>
    </row>
    <row r="1266" spans="1:17" ht="22.5" customHeight="1">
      <c r="A1266" s="16" t="s">
        <v>240</v>
      </c>
      <c r="B1266" s="43">
        <v>44522</v>
      </c>
      <c r="C1266" s="37">
        <v>0.20510999999999999</v>
      </c>
      <c r="D1266" s="37">
        <v>0.23716000000000001</v>
      </c>
      <c r="E1266" s="19" cm="1">
        <f t="array" ref="E1266">IF(D1266="","",D1266-C1266)</f>
        <v>3.2050000000000023E-2</v>
      </c>
      <c r="F1266" s="20" cm="1">
        <f t="array" ref="F1266">IF(D1266=0,"",(D1266-C1266)/C1266)</f>
        <v>0.15625761786358552</v>
      </c>
      <c r="G1266" s="21">
        <v>3950.5349999999999</v>
      </c>
      <c r="H1266" s="22">
        <v>1</v>
      </c>
      <c r="I1266" s="23" cm="1">
        <f t="array" ref="I1266">IF(D1266="","",(G1266*C1266)*0.002)</f>
        <v>1.6205884677</v>
      </c>
      <c r="J1266" s="23" cm="1">
        <f t="array" ref="J1266">IF(D1266="","",(G1266*D1266)*0.002)</f>
        <v>1.8738177612</v>
      </c>
      <c r="K1266" s="24" cm="1">
        <f t="array" ref="K1266">IF(D1266="","",J1266+I1266)</f>
        <v>3.4944062289</v>
      </c>
      <c r="L1266" s="24" cm="1">
        <f t="array" ref="L1266">IF(D1266=0,0,(D1266-C1266)*G1266)</f>
        <v>126.61464675000009</v>
      </c>
      <c r="M1266" s="25">
        <v>681.80576933880002</v>
      </c>
      <c r="N1266" s="26" cm="1">
        <f t="array" ref="N1266">IFERROR((K1266-J1266)/J1266,"–")</f>
        <v>0.86485916680721875</v>
      </c>
      <c r="O1266" s="24" cm="1">
        <f t="array" ref="O1266">IF(D1266=0,0,L1266-K1266)/2</f>
        <v>61.560120260550043</v>
      </c>
      <c r="P1266" s="23"/>
      <c r="Q1266" s="27"/>
    </row>
    <row r="1267" spans="1:17" ht="22.5" customHeight="1">
      <c r="A1267" s="16" t="s">
        <v>241</v>
      </c>
      <c r="B1267" s="42">
        <v>44522</v>
      </c>
      <c r="C1267" s="36">
        <v>5.8478000000000002E-3</v>
      </c>
      <c r="D1267" s="36">
        <v>5.1500000000000001E-3</v>
      </c>
      <c r="E1267" s="30" cm="1">
        <f t="array" ref="E1267">IF(D1267="","",D1267-C1267)</f>
        <v>-6.9780000000000016E-4</v>
      </c>
      <c r="F1267" s="31" cm="1">
        <f t="array" ref="F1267">IF(D1267=0,"",(D1267-C1267)/C1267)</f>
        <v>-0.11932692636547079</v>
      </c>
      <c r="G1267" s="32">
        <v>407335.43900000001</v>
      </c>
      <c r="H1267" s="10">
        <v>1</v>
      </c>
      <c r="I1267" s="11" cm="1">
        <f t="array" ref="I1267">IF(D1267="","",(G1267*C1267)*0.002)</f>
        <v>4.7640323603684003</v>
      </c>
      <c r="J1267" s="11" cm="1">
        <f t="array" ref="J1267">IF(D1267="","",(G1267*D1267)*0.002)</f>
        <v>4.1955550216999997</v>
      </c>
      <c r="K1267" s="33" cm="1">
        <f t="array" ref="K1267">IF(D1267="","",J1267+I1267)</f>
        <v>8.9595873820683991</v>
      </c>
      <c r="L1267" s="33" cm="1">
        <f t="array" ref="L1267">IF(D1267=0,0,(D1267-C1267)*G1267)</f>
        <v>-284.2386693342001</v>
      </c>
      <c r="M1267" s="12">
        <v>2662.0592944967002</v>
      </c>
      <c r="N1267" s="34" cm="1">
        <f t="array" ref="N1267">IFERROR((K1267-J1267)/J1267,"–")</f>
        <v>1.1354951456310678</v>
      </c>
      <c r="O1267" s="33" cm="1">
        <f t="array" ref="O1267">IF(D1267=0,0,L1267-K1267)/2</f>
        <v>-146.59912835813424</v>
      </c>
      <c r="P1267" s="11"/>
      <c r="Q1267" s="35"/>
    </row>
    <row r="1268" spans="1:17" ht="22.5" customHeight="1">
      <c r="A1268" s="16" t="s">
        <v>241</v>
      </c>
      <c r="B1268" s="43">
        <v>44522</v>
      </c>
      <c r="C1268" s="37">
        <v>5.8478000000000002E-3</v>
      </c>
      <c r="D1268" s="37">
        <v>4.5999999999999999E-3</v>
      </c>
      <c r="E1268" s="19" cm="1">
        <f t="array" ref="E1268">IF(D1268="","",D1268-C1268)</f>
        <v>-1.2478000000000003E-3</v>
      </c>
      <c r="F1268" s="20" cm="1">
        <f t="array" ref="F1268">IF(D1268=0,"",(D1268-C1268)/C1268)</f>
        <v>-0.21337939054003219</v>
      </c>
      <c r="G1268" s="21">
        <v>35035.351999999999</v>
      </c>
      <c r="H1268" s="22">
        <v>1</v>
      </c>
      <c r="I1268" s="23" cm="1">
        <f t="array" ref="I1268">IF(D1268="","",(G1268*C1268)*0.002)</f>
        <v>0.40975946285120002</v>
      </c>
      <c r="J1268" s="23" cm="1">
        <f t="array" ref="J1268">IF(D1268="","",(G1268*D1268)*0.002)</f>
        <v>0.32232523839999999</v>
      </c>
      <c r="K1268" s="24" cm="1">
        <f t="array" ref="K1268">IF(D1268="","",J1268+I1268)</f>
        <v>0.73208470125119995</v>
      </c>
      <c r="L1268" s="24" cm="1">
        <f t="array" ref="L1268">IF(D1268=0,0,(D1268-C1268)*G1268)</f>
        <v>-43.717112225600012</v>
      </c>
      <c r="M1268" s="25">
        <v>248.27451841280001</v>
      </c>
      <c r="N1268" s="26" cm="1">
        <f t="array" ref="N1268">IFERROR((K1268-J1268)/J1268,"–")</f>
        <v>1.2712608695652172</v>
      </c>
      <c r="O1268" s="24" cm="1">
        <f t="array" ref="O1268">IF(D1268=0,0,L1268-K1268)/2</f>
        <v>-22.224598463425608</v>
      </c>
      <c r="P1268" s="23"/>
      <c r="Q1268" s="27"/>
    </row>
    <row r="1269" spans="1:17" ht="22.5" customHeight="1">
      <c r="A1269" s="16" t="s">
        <v>234</v>
      </c>
      <c r="B1269" s="42">
        <v>44522</v>
      </c>
      <c r="C1269" s="36">
        <v>8.3358000000000008</v>
      </c>
      <c r="D1269" s="36">
        <v>10.532</v>
      </c>
      <c r="E1269" s="30" cm="1">
        <f t="array" ref="E1269">IF(D1269="","",D1269-C1269)</f>
        <v>2.1961999999999993</v>
      </c>
      <c r="F1269" s="31" cm="1">
        <f t="array" ref="F1269">IF(D1269=0,"",(D1269-C1269)/C1269)</f>
        <v>0.26346601405983816</v>
      </c>
      <c r="G1269" s="32">
        <v>163.52799999999999</v>
      </c>
      <c r="H1269" s="10">
        <v>1</v>
      </c>
      <c r="I1269" s="11" cm="1">
        <f t="array" ref="I1269">IF(D1269="","",(G1269*C1269)*0.002)</f>
        <v>2.7262734048000001</v>
      </c>
      <c r="J1269" s="11" cm="1">
        <f t="array" ref="J1269">IF(D1269="","",(G1269*D1269)*0.002)</f>
        <v>3.4445537919999998</v>
      </c>
      <c r="K1269" s="33" cm="1">
        <f t="array" ref="K1269">IF(D1269="","",J1269+I1269)</f>
        <v>6.1708271967999995</v>
      </c>
      <c r="L1269" s="33" cm="1">
        <f t="array" ref="L1269">IF(D1269=0,0,(D1269-C1269)*G1269)</f>
        <v>359.14019359999986</v>
      </c>
      <c r="M1269" s="12">
        <v>1000.551955008</v>
      </c>
      <c r="N1269" s="34" cm="1">
        <f t="array" ref="N1269">IFERROR((K1269-J1269)/J1269,"–")</f>
        <v>0.79147360425370294</v>
      </c>
      <c r="O1269" s="33" cm="1">
        <f t="array" ref="O1269">IF(D1269=0,0,L1269-K1269)/2</f>
        <v>176.48468320159992</v>
      </c>
      <c r="P1269" s="11"/>
      <c r="Q1269" s="35"/>
    </row>
    <row r="1270" spans="1:17" ht="22.5" customHeight="1">
      <c r="A1270" s="16" t="s">
        <v>234</v>
      </c>
      <c r="B1270" s="43">
        <v>44522</v>
      </c>
      <c r="C1270" s="37">
        <v>8.3358000000000008</v>
      </c>
      <c r="D1270" s="37">
        <v>12.05</v>
      </c>
      <c r="E1270" s="19" cm="1">
        <f t="array" ref="E1270">IF(D1270="","",D1270-C1270)</f>
        <v>3.7141999999999999</v>
      </c>
      <c r="F1270" s="20" cm="1">
        <f t="array" ref="F1270">IF(D1270=0,"",(D1270-C1270)/C1270)</f>
        <v>0.44557211065524599</v>
      </c>
      <c r="G1270" s="21">
        <v>163.52799999999999</v>
      </c>
      <c r="H1270" s="22">
        <v>1</v>
      </c>
      <c r="I1270" s="23" cm="1">
        <f t="array" ref="I1270">IF(D1270="","",(G1270*C1270)*0.002)</f>
        <v>2.7262734048000001</v>
      </c>
      <c r="J1270" s="23" cm="1">
        <f t="array" ref="J1270">IF(D1270="","",(G1270*D1270)*0.002)</f>
        <v>3.9410248000000001</v>
      </c>
      <c r="K1270" s="24" cm="1">
        <f t="array" ref="K1270">IF(D1270="","",J1270+I1270)</f>
        <v>6.6672982047999998</v>
      </c>
      <c r="L1270" s="24" cm="1">
        <f t="array" ref="L1270">IF(D1270=0,0,(D1270-C1270)*G1270)</f>
        <v>607.37569759999997</v>
      </c>
      <c r="M1270" s="25">
        <v>751.81997999999999</v>
      </c>
      <c r="N1270" s="26" cm="1">
        <f t="array" ref="N1270">IFERROR((K1270-J1270)/J1270,"–")</f>
        <v>0.69176763485477166</v>
      </c>
      <c r="O1270" s="24" cm="1">
        <f t="array" ref="O1270">IF(D1270=0,0,L1270-K1270)/2</f>
        <v>300.3541996976</v>
      </c>
      <c r="P1270" s="23"/>
      <c r="Q1270" s="27"/>
    </row>
    <row r="1271" spans="1:17" ht="22.5" customHeight="1">
      <c r="A1271" s="16" t="s">
        <v>242</v>
      </c>
      <c r="B1271" s="42">
        <v>44522</v>
      </c>
      <c r="C1271" s="36">
        <v>23.994800000000001</v>
      </c>
      <c r="D1271" s="36">
        <v>24.15</v>
      </c>
      <c r="E1271" s="30" cm="1">
        <f t="array" ref="E1271">IF(D1271="","",D1271-C1271)</f>
        <v>0.15519999999999712</v>
      </c>
      <c r="F1271" s="31" cm="1">
        <f t="array" ref="F1271">IF(D1271=0,"",(D1271-C1271)/C1271)</f>
        <v>6.4680680814175199E-3</v>
      </c>
      <c r="G1271" s="32">
        <v>541.78</v>
      </c>
      <c r="H1271" s="10">
        <v>1</v>
      </c>
      <c r="I1271" s="11" cm="1">
        <f t="array" ref="I1271">IF(D1271="","",(G1271*C1271)*0.00075)</f>
        <v>9.7499270580000008</v>
      </c>
      <c r="J1271" s="11" cm="1">
        <f t="array" ref="J1271">IF(D1271="","",(G1271*D1271)*0.00075)</f>
        <v>9.8129902500000004</v>
      </c>
      <c r="K1271" s="33" cm="1">
        <f t="array" ref="K1271">IF(D1271="","",J1271+I1271)</f>
        <v>19.562917308000003</v>
      </c>
      <c r="L1271" s="33" cm="1">
        <f t="array" ref="L1271">IF(D1271=0,0,(D1271-C1271)*G1271)</f>
        <v>84.084255999998433</v>
      </c>
      <c r="M1271" s="12">
        <v>12906.00549775</v>
      </c>
      <c r="N1271" s="34" cm="1">
        <f t="array" ref="N1271">IFERROR((K1271-J1271)/J1271,"–")</f>
        <v>0.99357349896480351</v>
      </c>
      <c r="O1271" s="33" cm="1">
        <f t="array" ref="O1271">IF(D1271=0,0,L1271-K1271)*0.7307</f>
        <v>47.145742182243261</v>
      </c>
      <c r="P1271" s="11"/>
      <c r="Q1271" s="35"/>
    </row>
    <row r="1272" spans="1:17" ht="22.5" customHeight="1">
      <c r="A1272" s="16" t="s">
        <v>242</v>
      </c>
      <c r="B1272" s="43">
        <v>44522</v>
      </c>
      <c r="C1272" s="37">
        <v>23.994800000000001</v>
      </c>
      <c r="D1272" s="37">
        <v>24.18</v>
      </c>
      <c r="E1272" s="19" cm="1">
        <f t="array" ref="E1272">IF(D1272="","",D1272-C1272)</f>
        <v>0.18519999999999825</v>
      </c>
      <c r="F1272" s="20" cm="1">
        <f t="array" ref="F1272">IF(D1272=0,"",(D1272-C1272)/C1272)</f>
        <v>7.7183389734441733E-3</v>
      </c>
      <c r="G1272" s="21">
        <v>541.78</v>
      </c>
      <c r="H1272" s="22">
        <v>1</v>
      </c>
      <c r="I1272" s="23" cm="1">
        <f t="array" ref="I1272">IF(D1272="","",(G1272*C1272)*0.00075)</f>
        <v>9.7499270580000008</v>
      </c>
      <c r="J1272" s="23" cm="1">
        <f t="array" ref="J1272">IF(D1272="","",(G1272*D1272)*0.00075)</f>
        <v>9.8251802999999995</v>
      </c>
      <c r="K1272" s="24" cm="1">
        <f t="array" ref="K1272">IF(D1272="","",J1272+I1272)</f>
        <v>19.575107358</v>
      </c>
      <c r="L1272" s="24" cm="1">
        <f t="array" ref="L1272">IF(D1272=0,0,(D1272-C1272)*G1272)</f>
        <v>100.33765599999904</v>
      </c>
      <c r="M1272" s="25">
        <v>12889.739907699999</v>
      </c>
      <c r="N1272" s="26" cm="1">
        <f t="array" ref="N1272">IFERROR((K1272-J1272)/J1272,"–")</f>
        <v>0.99234077750206795</v>
      </c>
      <c r="O1272" s="24" cm="1">
        <f t="array" ref="O1272">IF(D1272=0,0,L1272-K1272)*0.7307</f>
        <v>59.013194292708704</v>
      </c>
      <c r="P1272" s="23"/>
      <c r="Q1272" s="27"/>
    </row>
    <row r="1273" spans="1:17" ht="22.5" customHeight="1">
      <c r="A1273" s="16" t="s">
        <v>243</v>
      </c>
      <c r="B1273" s="42">
        <v>44522</v>
      </c>
      <c r="C1273" s="36">
        <v>0.16719999999999999</v>
      </c>
      <c r="D1273" s="36">
        <v>0.1757</v>
      </c>
      <c r="E1273" s="30" cm="1">
        <f t="array" ref="E1273">IF(D1273="","",D1273-C1273)</f>
        <v>8.5000000000000075E-3</v>
      </c>
      <c r="F1273" s="31" cm="1">
        <f t="array" ref="F1273">IF(D1273=0,"",(D1273-C1273)/C1273)</f>
        <v>5.083732057416273E-2</v>
      </c>
      <c r="G1273" s="32">
        <v>12029.4</v>
      </c>
      <c r="H1273" s="10">
        <v>1</v>
      </c>
      <c r="I1273" s="11" cm="1">
        <f t="array" ref="I1273">IF(D1273="","",(G1273*C1273)*0.002)</f>
        <v>4.0226313599999992</v>
      </c>
      <c r="J1273" s="11" cm="1">
        <f t="array" ref="J1273">IF(D1273="","",(G1273*D1273)*0.002)</f>
        <v>4.2271311599999999</v>
      </c>
      <c r="K1273" s="33" cm="1">
        <f t="array" ref="K1273">IF(D1273="","",J1273+I1273)</f>
        <v>8.2497625199999991</v>
      </c>
      <c r="L1273" s="33" cm="1">
        <f t="array" ref="L1273">IF(D1273=0,0,(D1273-C1273)*G1273)</f>
        <v>102.24990000000008</v>
      </c>
      <c r="M1273" s="12">
        <v>1904.8386488399999</v>
      </c>
      <c r="N1273" s="34" cm="1">
        <f t="array" ref="N1273">IFERROR((K1273-J1273)/J1273,"–")</f>
        <v>0.95162208309618657</v>
      </c>
      <c r="O1273" s="33" cm="1">
        <f t="array" ref="O1273">IF(D1273=0,0,L1273-K1273)</f>
        <v>94.000137480000078</v>
      </c>
      <c r="P1273" s="11"/>
      <c r="Q1273" s="35"/>
    </row>
    <row r="1274" spans="1:17" ht="22.5" customHeight="1">
      <c r="A1274" s="16" t="s">
        <v>243</v>
      </c>
      <c r="B1274" s="43">
        <v>44522</v>
      </c>
      <c r="C1274" s="37">
        <v>0.16769999999999999</v>
      </c>
      <c r="D1274" s="37">
        <v>0.1757</v>
      </c>
      <c r="E1274" s="19" cm="1">
        <f t="array" ref="E1274">IF(D1274="","",D1274-C1274)</f>
        <v>8.0000000000000071E-3</v>
      </c>
      <c r="F1274" s="20" cm="1">
        <f t="array" ref="F1274">IF(D1274=0,"",(D1274-C1274)/C1274)</f>
        <v>4.7704233750745423E-2</v>
      </c>
      <c r="G1274" s="21">
        <v>7195.5</v>
      </c>
      <c r="H1274" s="22">
        <v>1</v>
      </c>
      <c r="I1274" s="23" cm="1">
        <f t="array" ref="I1274">IF(D1274="","",(G1274*C1274)*0.002)</f>
        <v>2.4133707000000002</v>
      </c>
      <c r="J1274" s="23" cm="1">
        <f t="array" ref="J1274">IF(D1274="","",(G1274*D1274)*0.002)</f>
        <v>2.5284987000000001</v>
      </c>
      <c r="K1274" s="24" cm="1">
        <f t="array" ref="K1274">IF(D1274="","",J1274+I1274)</f>
        <v>4.9418693999999999</v>
      </c>
      <c r="L1274" s="24" cm="1">
        <f t="array" ref="L1274">IF(D1274=0,0,(D1274-C1274)*G1274)</f>
        <v>57.56400000000005</v>
      </c>
      <c r="M1274" s="25">
        <v>1146.5928512999999</v>
      </c>
      <c r="N1274" s="26" cm="1">
        <f t="array" ref="N1274">IFERROR((K1274-J1274)/J1274,"–")</f>
        <v>0.95446784291405795</v>
      </c>
      <c r="O1274" s="24" cm="1">
        <f t="array" ref="O1274">IF(D1274=0,0,L1274-K1274)</f>
        <v>52.622130600000048</v>
      </c>
      <c r="P1274" s="23"/>
      <c r="Q1274" s="27"/>
    </row>
    <row r="1275" spans="1:17" ht="22.5" customHeight="1">
      <c r="A1275" s="16" t="s">
        <v>58</v>
      </c>
      <c r="B1275" s="42">
        <v>44522</v>
      </c>
      <c r="C1275" s="36">
        <v>1.0402</v>
      </c>
      <c r="D1275" s="36">
        <v>1.0348999999999999</v>
      </c>
      <c r="E1275" s="30" cm="1">
        <f t="array" ref="E1275">IF(D1275="","",D1275-C1275)</f>
        <v>-5.3000000000000824E-3</v>
      </c>
      <c r="F1275" s="31" cm="1">
        <f t="array" ref="F1275">IF(D1275=0,"",(D1275-C1275)/C1275)</f>
        <v>-5.0951740049991175E-3</v>
      </c>
      <c r="G1275" s="32">
        <v>2022</v>
      </c>
      <c r="H1275" s="10">
        <v>1</v>
      </c>
      <c r="I1275" s="11" cm="1">
        <f t="array" ref="I1275">IF(D1275="","",(G1275*C1275)*0.00075)</f>
        <v>1.5774633</v>
      </c>
      <c r="J1275" s="11" cm="1">
        <f t="array" ref="J1275">IF(D1275="","",(G1275*D1275)*0.00075)</f>
        <v>1.5694258499999998</v>
      </c>
      <c r="K1275" s="33" cm="1">
        <f t="array" ref="K1275">IF(D1275="","",J1275+I1275)</f>
        <v>3.1468891499999998</v>
      </c>
      <c r="L1275" s="33" cm="1">
        <f t="array" ref="L1275">IF(D1275=0,0,(D1275-C1275)*G1275)</f>
        <v>-10.716600000000167</v>
      </c>
      <c r="M1275" s="12">
        <v>2112.43157415</v>
      </c>
      <c r="N1275" s="34" cm="1">
        <f t="array" ref="N1275">IFERROR((K1275-J1275)/J1275,"–")</f>
        <v>1.0051212677553387</v>
      </c>
      <c r="O1275" s="33" cm="1">
        <f t="array" ref="O1275">IF(D1275=0,0,L1275-K1275)</f>
        <v>-13.863489150000166</v>
      </c>
      <c r="P1275" s="11"/>
      <c r="Q1275" s="35"/>
    </row>
    <row r="1276" spans="1:17" ht="22.5" customHeight="1">
      <c r="A1276" s="16" t="s">
        <v>244</v>
      </c>
      <c r="B1276" s="43">
        <v>44523</v>
      </c>
      <c r="C1276" s="37">
        <v>16118</v>
      </c>
      <c r="D1276" s="37">
        <v>16560</v>
      </c>
      <c r="E1276" s="19" cm="1">
        <f t="array" ref="E1276">IF(D1276="","",D1276-C1276)</f>
        <v>442</v>
      </c>
      <c r="F1276" s="20" cm="1">
        <f t="array" ref="F1276">IF(D1276=0,"",(D1276-C1276)/C1276)</f>
        <v>2.7422757165901476E-2</v>
      </c>
      <c r="G1276" s="21">
        <v>1</v>
      </c>
      <c r="H1276" s="22">
        <v>1</v>
      </c>
      <c r="I1276" s="23" cm="1">
        <f t="array" ref="I1276">IF(D1276="","",(G1276*C1276)*0.00075)</f>
        <v>12.0885</v>
      </c>
      <c r="J1276" s="23" cm="1">
        <f t="array" ref="J1276">IF(D1276="","",(G1276*D1276)*0.00075)</f>
        <v>12.42</v>
      </c>
      <c r="K1276" s="24" cm="1">
        <f t="array" ref="K1276">IF(D1276="","",J1276+I1276)</f>
        <v>24.508499999999998</v>
      </c>
      <c r="L1276" s="24" cm="1">
        <f t="array" ref="L1276">IF(D1276=0,0,(D1276-C1276)*G1276)</f>
        <v>442</v>
      </c>
      <c r="M1276" s="25">
        <v>15663.58</v>
      </c>
      <c r="N1276" s="26" cm="1">
        <f t="array" ref="N1276">IFERROR((K1276-J1276)/J1276,"–")</f>
        <v>0.97330917874396117</v>
      </c>
      <c r="O1276" s="24" cm="1">
        <f t="array" ref="O1276">IF(D1276=0,0,L1276-K1276)</f>
        <v>417.49149999999997</v>
      </c>
      <c r="P1276" s="23"/>
      <c r="Q1276" s="27"/>
    </row>
    <row r="1277" spans="1:17" ht="22.5" customHeight="1">
      <c r="A1277" s="16" t="s">
        <v>245</v>
      </c>
      <c r="B1277" s="42">
        <v>44523</v>
      </c>
      <c r="C1277" s="36">
        <v>225</v>
      </c>
      <c r="D1277" s="49">
        <v>1</v>
      </c>
      <c r="E1277" s="30" cm="1">
        <f t="array" ref="E1277">IF(D1277="","",D1277-C1277)</f>
        <v>-224</v>
      </c>
      <c r="F1277" s="31" cm="1">
        <f t="array" ref="F1277">IF(D1277=0,"",(D1277-C1277)/C1277)</f>
        <v>-0.99555555555555553</v>
      </c>
      <c r="G1277" s="32">
        <v>1</v>
      </c>
      <c r="H1277" s="10">
        <v>1</v>
      </c>
      <c r="I1277" s="11" cm="1">
        <f t="array" ref="I1277">IF(D1277="","",(G1277*C1277)*0.00075)</f>
        <v>0.16875000000000001</v>
      </c>
      <c r="J1277" s="11" cm="1">
        <f t="array" ref="J1277">IF(D1277="","",(G1277*D1277)*0.00075)</f>
        <v>7.5000000000000002E-4</v>
      </c>
      <c r="K1277" s="33" cm="1">
        <f t="array" ref="K1277">IF(D1277="","",J1277+I1277)</f>
        <v>0.16950000000000001</v>
      </c>
      <c r="L1277" s="33" cm="1">
        <f t="array" ref="L1277">IF(D1277=0,0,(D1277-C1277)*G1277)</f>
        <v>-224</v>
      </c>
      <c r="M1277" s="12">
        <v>448.99925000000002</v>
      </c>
      <c r="N1277" s="34" cm="1">
        <f t="array" ref="N1277">IFERROR((K1277-J1277)/J1277,"–")</f>
        <v>225</v>
      </c>
      <c r="O1277" s="33" cm="1">
        <f t="array" ref="O1277">IF(D1277=0,0,L1277-K1277)</f>
        <v>-224.1695</v>
      </c>
      <c r="P1277" s="11"/>
      <c r="Q1277" s="35"/>
    </row>
    <row r="1278" spans="1:17" ht="22.5" customHeight="1">
      <c r="A1278" s="16" t="s">
        <v>246</v>
      </c>
      <c r="B1278" s="43">
        <v>44523</v>
      </c>
      <c r="C1278" s="37">
        <v>7.1786000000000003</v>
      </c>
      <c r="D1278" s="37">
        <v>11.95</v>
      </c>
      <c r="E1278" s="19" cm="1">
        <f t="array" ref="E1278">IF(D1278="","",D1278-C1278)</f>
        <v>4.771399999999999</v>
      </c>
      <c r="F1278" s="20" cm="1">
        <f t="array" ref="F1278">IF(D1278=0,"",(D1278-C1278)/C1278)</f>
        <v>0.66466999136321825</v>
      </c>
      <c r="G1278" s="21">
        <v>519.00800000000004</v>
      </c>
      <c r="H1278" s="22">
        <v>1</v>
      </c>
      <c r="I1278" s="23" cm="1">
        <f t="array" ref="I1278">IF(D1278="","",(G1278*C1278)*0.002)</f>
        <v>7.4515016576000006</v>
      </c>
      <c r="J1278" s="23" cm="1">
        <f t="array" ref="J1278">IF(D1278="","",(G1278*D1278)*0.002)</f>
        <v>12.404291199999999</v>
      </c>
      <c r="K1278" s="24" cm="1">
        <f t="array" ref="K1278">IF(D1278="","",J1278+I1278)</f>
        <v>19.855792857600001</v>
      </c>
      <c r="L1278" s="24" cm="1">
        <f t="array" ref="L1278">IF(D1278=0,0,(D1278-C1278)*G1278)</f>
        <v>2476.3947711999995</v>
      </c>
      <c r="M1278" s="25">
        <v>1236.9517664</v>
      </c>
      <c r="N1278" s="26" cm="1">
        <f t="array" ref="N1278">IFERROR((K1278-J1278)/J1278,"–")</f>
        <v>0.60071966527196663</v>
      </c>
      <c r="O1278" s="24" cm="1">
        <f t="array" ref="O1278">IF(D1278=0,0,L1278-K1278)/2</f>
        <v>1228.2694891711997</v>
      </c>
      <c r="P1278" s="23"/>
      <c r="Q1278" s="27"/>
    </row>
    <row r="1279" spans="1:17" ht="22.5" customHeight="1">
      <c r="A1279" s="16" t="s">
        <v>229</v>
      </c>
      <c r="B1279" s="42">
        <v>44523</v>
      </c>
      <c r="C1279" s="36">
        <v>5.8279999999999998E-2</v>
      </c>
      <c r="D1279" s="36">
        <v>8.2489999999999994E-2</v>
      </c>
      <c r="E1279" s="30" cm="1">
        <f t="array" ref="E1279">IF(D1279="","",D1279-C1279)</f>
        <v>2.4209999999999995E-2</v>
      </c>
      <c r="F1279" s="31" cm="1">
        <f t="array" ref="F1279">IF(D1279=0,"",(D1279-C1279)/C1279)</f>
        <v>0.41540837336993819</v>
      </c>
      <c r="G1279" s="32">
        <v>29722.62</v>
      </c>
      <c r="H1279" s="10">
        <v>1</v>
      </c>
      <c r="I1279" s="11" cm="1">
        <f t="array" ref="I1279">IF(D1279="","",(G1279*C1279)*0.002)</f>
        <v>3.4644685872000003</v>
      </c>
      <c r="J1279" s="11" cm="1">
        <f t="array" ref="J1279">IF(D1279="","",(G1279*D1279)*0.002)</f>
        <v>4.9036378475999989</v>
      </c>
      <c r="K1279" s="33" cm="1">
        <f t="array" ref="K1279">IF(D1279="","",J1279+I1279)</f>
        <v>8.3681064347999996</v>
      </c>
      <c r="L1279" s="33" cm="1">
        <f t="array" ref="L1279">IF(D1279=0,0,(D1279-C1279)*G1279)</f>
        <v>719.58463019999988</v>
      </c>
      <c r="M1279" s="12">
        <v>1007.7460255524001</v>
      </c>
      <c r="N1279" s="34" cm="1">
        <f t="array" ref="N1279">IFERROR((K1279-J1279)/J1279,"–")</f>
        <v>0.70650987998545312</v>
      </c>
      <c r="O1279" s="33" cm="1">
        <f t="array" ref="O1279">IF(D1279=0,0,L1279-K1279)/2</f>
        <v>355.60826188259995</v>
      </c>
      <c r="P1279" s="11"/>
      <c r="Q1279" s="35"/>
    </row>
    <row r="1280" spans="1:17" ht="22.5" customHeight="1">
      <c r="A1280" s="16" t="s">
        <v>229</v>
      </c>
      <c r="B1280" s="43">
        <v>44523</v>
      </c>
      <c r="C1280" s="37">
        <v>5.8279999999999998E-2</v>
      </c>
      <c r="D1280" s="37">
        <v>8.5000000000000006E-2</v>
      </c>
      <c r="E1280" s="19" cm="1">
        <f t="array" ref="E1280">IF(D1280="","",D1280-C1280)</f>
        <v>2.6720000000000008E-2</v>
      </c>
      <c r="F1280" s="20" cm="1">
        <f t="array" ref="F1280">IF(D1280=0,"",(D1280-C1280)/C1280)</f>
        <v>0.45847632120796172</v>
      </c>
      <c r="G1280" s="21">
        <v>14861.31</v>
      </c>
      <c r="H1280" s="22">
        <v>1</v>
      </c>
      <c r="I1280" s="23" cm="1">
        <f t="array" ref="I1280">IF(D1280="","",(G1280*C1280)*0.002)</f>
        <v>1.7322342936000001</v>
      </c>
      <c r="J1280" s="23" cm="1">
        <f t="array" ref="J1280">IF(D1280="","",(G1280*D1280)*0.002)</f>
        <v>2.5264226999999999</v>
      </c>
      <c r="K1280" s="24" cm="1">
        <f t="array" ref="K1280">IF(D1280="","",J1280+I1280)</f>
        <v>4.2586569935999998</v>
      </c>
      <c r="L1280" s="24" cm="1">
        <f t="array" ref="L1280">IF(D1280=0,0,(D1280-C1280)*G1280)</f>
        <v>397.09420320000009</v>
      </c>
      <c r="M1280" s="25">
        <v>466.49652090000001</v>
      </c>
      <c r="N1280" s="26" cm="1">
        <f t="array" ref="N1280">IFERROR((K1280-J1280)/J1280,"–")</f>
        <v>0.68564705882352939</v>
      </c>
      <c r="O1280" s="24" cm="1">
        <f t="array" ref="O1280">IF(D1280=0,0,L1280-K1280)/2</f>
        <v>196.41777310320003</v>
      </c>
      <c r="P1280" s="23"/>
      <c r="Q1280" s="27"/>
    </row>
    <row r="1281" spans="1:17" ht="22.5" customHeight="1">
      <c r="A1281" s="16" t="s">
        <v>229</v>
      </c>
      <c r="B1281" s="42">
        <v>44523</v>
      </c>
      <c r="C1281" s="36">
        <v>5.8279999999999998E-2</v>
      </c>
      <c r="D1281" s="36">
        <v>8.8749999999999996E-2</v>
      </c>
      <c r="E1281" s="30" cm="1">
        <f t="array" ref="E1281">IF(D1281="","",D1281-C1281)</f>
        <v>3.0469999999999997E-2</v>
      </c>
      <c r="F1281" s="31" cm="1">
        <f t="array" ref="F1281">IF(D1281=0,"",(D1281-C1281)/C1281)</f>
        <v>0.5228208647906657</v>
      </c>
      <c r="G1281" s="32">
        <v>14861.31</v>
      </c>
      <c r="H1281" s="10">
        <v>1</v>
      </c>
      <c r="I1281" s="11" cm="1">
        <f t="array" ref="I1281">IF(D1281="","",(G1281*C1281)*0.002)</f>
        <v>1.7322342936000001</v>
      </c>
      <c r="J1281" s="11" cm="1">
        <f t="array" ref="J1281">IF(D1281="","",(G1281*D1281)*0.002)</f>
        <v>2.6378825250000002</v>
      </c>
      <c r="K1281" s="33" cm="1">
        <f t="array" ref="K1281">IF(D1281="","",J1281+I1281)</f>
        <v>4.3701168186000006</v>
      </c>
      <c r="L1281" s="33" cm="1">
        <f t="array" ref="L1281">IF(D1281=0,0,(D1281-C1281)*G1281)</f>
        <v>452.82411569999994</v>
      </c>
      <c r="M1281" s="12">
        <v>410.655148575</v>
      </c>
      <c r="N1281" s="34" cm="1">
        <f t="array" ref="N1281">IFERROR((K1281-J1281)/J1281,"–")</f>
        <v>0.65667605633802828</v>
      </c>
      <c r="O1281" s="33" cm="1">
        <f t="array" ref="O1281">IF(D1281=0,0,L1281-K1281)/2</f>
        <v>224.22699944069996</v>
      </c>
      <c r="P1281" s="11"/>
      <c r="Q1281" s="35"/>
    </row>
    <row r="1282" spans="1:17" ht="22.5" customHeight="1">
      <c r="A1282" s="16" t="s">
        <v>222</v>
      </c>
      <c r="B1282" s="43">
        <v>44524</v>
      </c>
      <c r="C1282" s="37">
        <v>0.42266999999999999</v>
      </c>
      <c r="D1282" s="37">
        <v>0.42</v>
      </c>
      <c r="E1282" s="19" cm="1">
        <f t="array" ref="E1282">IF(D1282="","",D1282-C1282)</f>
        <v>-2.6700000000000057E-3</v>
      </c>
      <c r="F1282" s="20" cm="1">
        <f t="array" ref="F1282">IF(D1282=0,"",(D1282-C1282)/C1282)</f>
        <v>-6.3169848818227124E-3</v>
      </c>
      <c r="G1282" s="21">
        <v>23658</v>
      </c>
      <c r="H1282" s="22">
        <v>1</v>
      </c>
      <c r="I1282" s="23" cm="1">
        <f t="array" ref="I1282">IF(D1282="","",(G1282*C1282)*0.00075)</f>
        <v>7.4996451449999997</v>
      </c>
      <c r="J1282" s="23" cm="1">
        <f t="array" ref="J1282">IF(D1282="","",(G1282*D1282)*0.00075)</f>
        <v>7.4522699999999995</v>
      </c>
      <c r="K1282" s="24" cm="1">
        <f t="array" ref="K1282">IF(D1282="","",J1282+I1282)</f>
        <v>14.951915144999999</v>
      </c>
      <c r="L1282" s="24" cm="1">
        <f t="array" ref="L1282">IF(D1282=0,0,(D1282-C1282)*G1282)</f>
        <v>-63.166860000000135</v>
      </c>
      <c r="M1282" s="25">
        <v>10055.24145</v>
      </c>
      <c r="N1282" s="26" cm="1">
        <f t="array" ref="N1282">IFERROR((K1282-J1282)/J1282,"–")</f>
        <v>1.006357142857143</v>
      </c>
      <c r="O1282" s="24" cm="1">
        <f t="array" ref="O1282">IF(D1282=0,0,L1282-K1282)</f>
        <v>-78.118775145000129</v>
      </c>
      <c r="P1282" s="23"/>
      <c r="Q1282" s="27"/>
    </row>
    <row r="1283" spans="1:17" ht="22.5" customHeight="1">
      <c r="A1283" s="16" t="s">
        <v>247</v>
      </c>
      <c r="B1283" s="42">
        <v>44524</v>
      </c>
      <c r="C1283" s="36">
        <v>6.1170000000000002E-2</v>
      </c>
      <c r="D1283" s="36">
        <v>6.1530000000000001E-2</v>
      </c>
      <c r="E1283" s="30" cm="1">
        <f t="array" ref="E1283">IF(D1283="","",D1283-C1283)</f>
        <v>3.5999999999999921E-4</v>
      </c>
      <c r="F1283" s="31" cm="1">
        <f t="array" ref="F1283">IF(D1283=0,"",(D1283-C1283)/C1283)</f>
        <v>5.8852378616968968E-3</v>
      </c>
      <c r="G1283" s="32">
        <v>326916</v>
      </c>
      <c r="H1283" s="10">
        <v>1</v>
      </c>
      <c r="I1283" s="11" cm="1">
        <f t="array" ref="I1283">IF(D1283="","",(G1283*C1283)*0.00075)</f>
        <v>14.998088790000001</v>
      </c>
      <c r="J1283" s="11" cm="1">
        <f t="array" ref="J1283">IF(D1283="","",(G1283*D1283)*0.00075)</f>
        <v>15.086356110000002</v>
      </c>
      <c r="K1283" s="33" cm="1">
        <f t="array" ref="K1283">IF(D1283="","",J1283+I1283)</f>
        <v>30.084444900000001</v>
      </c>
      <c r="L1283" s="33" cm="1">
        <f t="array" ref="L1283">IF(D1283=0,0,(D1283-C1283)*G1283)</f>
        <v>117.68975999999974</v>
      </c>
      <c r="M1283" s="12">
        <v>19864.675603889998</v>
      </c>
      <c r="N1283" s="34" cm="1">
        <f t="array" ref="N1283">IFERROR((K1283-J1283)/J1283,"–")</f>
        <v>0.99414919551438297</v>
      </c>
      <c r="O1283" s="33" cm="1">
        <f t="array" ref="O1283">IF(D1283=0,0,L1283-K1283)</f>
        <v>87.605315099999729</v>
      </c>
      <c r="P1283" s="11"/>
      <c r="Q1283" s="35"/>
    </row>
    <row r="1284" spans="1:17" ht="22.5" customHeight="1">
      <c r="A1284" s="16" t="s">
        <v>95</v>
      </c>
      <c r="B1284" s="43">
        <v>44524</v>
      </c>
      <c r="C1284" s="37">
        <v>0.44990000000000002</v>
      </c>
      <c r="D1284" s="37">
        <v>0.45150000000000001</v>
      </c>
      <c r="E1284" s="19" cm="1">
        <f t="array" ref="E1284">IF(D1284="","",D1284-C1284)</f>
        <v>1.5999999999999903E-3</v>
      </c>
      <c r="F1284" s="20" cm="1">
        <f t="array" ref="F1284">IF(D1284=0,"",(D1284-C1284)/C1284)</f>
        <v>3.5563458546343414E-3</v>
      </c>
      <c r="G1284" s="21">
        <v>22224</v>
      </c>
      <c r="H1284" s="22">
        <v>1</v>
      </c>
      <c r="I1284" s="23" cm="1">
        <f t="array" ref="I1284">IF(D1284="","",(G1284*C1284)*0.00075)</f>
        <v>7.4989332000000006</v>
      </c>
      <c r="J1284" s="23" cm="1">
        <f t="array" ref="J1284">IF(D1284="","",(G1284*D1284)*0.00075)</f>
        <v>7.5256020000000001</v>
      </c>
      <c r="K1284" s="24" cm="1">
        <f t="array" ref="K1284">IF(D1284="","",J1284+I1284)</f>
        <v>15.024535200000001</v>
      </c>
      <c r="L1284" s="24" cm="1">
        <f t="array" ref="L1284">IF(D1284=0,0,(D1284-C1284)*G1284)</f>
        <v>35.558399999999786</v>
      </c>
      <c r="M1284" s="25">
        <v>9955.4935979999991</v>
      </c>
      <c r="N1284" s="26" cm="1">
        <f t="array" ref="N1284">IFERROR((K1284-J1284)/J1284,"–")</f>
        <v>0.9964562569213733</v>
      </c>
      <c r="O1284" s="24" cm="1">
        <f t="array" ref="O1284">IF(D1284=0,0,L1284-K1284)</f>
        <v>20.533864799999783</v>
      </c>
      <c r="P1284" s="23"/>
      <c r="Q1284" s="27"/>
    </row>
    <row r="1285" spans="1:17" ht="22.5" customHeight="1">
      <c r="A1285" s="16" t="s">
        <v>95</v>
      </c>
      <c r="B1285" s="42">
        <v>44524</v>
      </c>
      <c r="C1285" s="36">
        <v>0.44990000000000002</v>
      </c>
      <c r="D1285" s="36">
        <v>0.4511</v>
      </c>
      <c r="E1285" s="30" cm="1">
        <f t="array" ref="E1285">IF(D1285="","",D1285-C1285)</f>
        <v>1.1999999999999789E-3</v>
      </c>
      <c r="F1285" s="31" cm="1">
        <f t="array" ref="F1285">IF(D1285=0,"",(D1285-C1285)/C1285)</f>
        <v>2.6672593909757253E-3</v>
      </c>
      <c r="G1285" s="32">
        <v>4539</v>
      </c>
      <c r="H1285" s="10">
        <v>1</v>
      </c>
      <c r="I1285" s="11" cm="1">
        <f t="array" ref="I1285">IF(D1285="","",(G1285*C1285)*0.00075)</f>
        <v>1.5315720750000001</v>
      </c>
      <c r="J1285" s="11" cm="1">
        <f t="array" ref="J1285">IF(D1285="","",(G1285*D1285)*0.00075)</f>
        <v>1.5356571749999999</v>
      </c>
      <c r="K1285" s="33" cm="1">
        <f t="array" ref="K1285">IF(D1285="","",J1285+I1285)</f>
        <v>3.06722925</v>
      </c>
      <c r="L1285" s="33" cm="1">
        <f t="array" ref="L1285">IF(D1285=0,0,(D1285-C1285)*G1285)</f>
        <v>5.4467999999999037</v>
      </c>
      <c r="M1285" s="12">
        <v>2035.1136428249999</v>
      </c>
      <c r="N1285" s="34" cm="1">
        <f t="array" ref="N1285">IFERROR((K1285-J1285)/J1285,"–")</f>
        <v>0.99733983595655085</v>
      </c>
      <c r="O1285" s="33" cm="1">
        <f t="array" ref="O1285">IF(D1285=0,0,L1285-K1285)</f>
        <v>2.3795707499999037</v>
      </c>
      <c r="P1285" s="11"/>
      <c r="Q1285" s="35"/>
    </row>
    <row r="1286" spans="1:17" ht="22.5" customHeight="1">
      <c r="A1286" s="16" t="s">
        <v>95</v>
      </c>
      <c r="B1286" s="43">
        <v>44524</v>
      </c>
      <c r="C1286" s="37">
        <v>0.44990000000000002</v>
      </c>
      <c r="D1286" s="37">
        <v>0.45100000000000001</v>
      </c>
      <c r="E1286" s="19" cm="1">
        <f t="array" ref="E1286">IF(D1286="","",D1286-C1286)</f>
        <v>1.0999999999999899E-3</v>
      </c>
      <c r="F1286" s="20" cm="1">
        <f t="array" ref="F1286">IF(D1286=0,"",(D1286-C1286)/C1286)</f>
        <v>2.4449877750611021E-3</v>
      </c>
      <c r="G1286" s="21">
        <v>3805</v>
      </c>
      <c r="H1286" s="22">
        <v>1</v>
      </c>
      <c r="I1286" s="23" cm="1">
        <f t="array" ref="I1286">IF(D1286="","",(G1286*C1286)*0.00075)</f>
        <v>1.283902125</v>
      </c>
      <c r="J1286" s="23" cm="1">
        <f t="array" ref="J1286">IF(D1286="","",(G1286*D1286)*0.00075)</f>
        <v>1.2870412500000001</v>
      </c>
      <c r="K1286" s="24" cm="1">
        <f t="array" ref="K1286">IF(D1286="","",J1286+I1286)</f>
        <v>2.5709433750000001</v>
      </c>
      <c r="L1286" s="24" cm="1">
        <f t="array" ref="L1286">IF(D1286=0,0,(D1286-C1286)*G1286)</f>
        <v>4.1854999999999611</v>
      </c>
      <c r="M1286" s="25">
        <v>1706.3969587500001</v>
      </c>
      <c r="N1286" s="26" cm="1">
        <f t="array" ref="N1286">IFERROR((K1286-J1286)/J1286,"–")</f>
        <v>0.99756097560975598</v>
      </c>
      <c r="O1286" s="24" cm="1">
        <f t="array" ref="O1286">IF(D1286=0,0,L1286-K1286)</f>
        <v>1.614556624999961</v>
      </c>
      <c r="P1286" s="23"/>
      <c r="Q1286" s="27"/>
    </row>
    <row r="1287" spans="1:17" ht="22.5" customHeight="1">
      <c r="A1287" s="16" t="s">
        <v>95</v>
      </c>
      <c r="B1287" s="42">
        <v>44524</v>
      </c>
      <c r="C1287" s="36">
        <v>0.44990000000000002</v>
      </c>
      <c r="D1287" s="36">
        <v>0.44900000000000001</v>
      </c>
      <c r="E1287" s="30" cm="1">
        <f t="array" ref="E1287">IF(D1287="","",D1287-C1287)</f>
        <v>-9.000000000000119E-4</v>
      </c>
      <c r="F1287" s="31" cm="1">
        <f t="array" ref="F1287">IF(D1287=0,"",(D1287-C1287)/C1287)</f>
        <v>-2.0004445432318559E-3</v>
      </c>
      <c r="G1287" s="32">
        <v>13880</v>
      </c>
      <c r="H1287" s="10">
        <v>1</v>
      </c>
      <c r="I1287" s="11" cm="1">
        <f t="array" ref="I1287">IF(D1287="","",(G1287*C1287)*0.00075)</f>
        <v>4.683459</v>
      </c>
      <c r="J1287" s="11" cm="1">
        <f t="array" ref="J1287">IF(D1287="","",(G1287*D1287)*0.00075)</f>
        <v>4.6740899999999996</v>
      </c>
      <c r="K1287" s="33" cm="1">
        <f t="array" ref="K1287">IF(D1287="","",J1287+I1287)</f>
        <v>9.3575489999999988</v>
      </c>
      <c r="L1287" s="33" cm="1">
        <f t="array" ref="L1287">IF(D1287=0,0,(D1287-C1287)*G1287)</f>
        <v>-12.492000000000164</v>
      </c>
      <c r="M1287" s="12">
        <v>6252.4299099999998</v>
      </c>
      <c r="N1287" s="34" cm="1">
        <f t="array" ref="N1287">IFERROR((K1287-J1287)/J1287,"–")</f>
        <v>1.0020044543429842</v>
      </c>
      <c r="O1287" s="33" cm="1">
        <f t="array" ref="O1287">IF(D1287=0,0,L1287-K1287)</f>
        <v>-21.849549000000163</v>
      </c>
      <c r="P1287" s="11"/>
      <c r="Q1287" s="35"/>
    </row>
    <row r="1288" spans="1:17" ht="22.5" customHeight="1">
      <c r="A1288" s="16" t="s">
        <v>213</v>
      </c>
      <c r="B1288" s="43">
        <v>44525</v>
      </c>
      <c r="C1288" s="37">
        <v>15.208500000000001</v>
      </c>
      <c r="D1288" s="37">
        <v>15.205</v>
      </c>
      <c r="E1288" s="19" cm="1">
        <f t="array" ref="E1288">IF(D1288="","",D1288-C1288)</f>
        <v>-3.5000000000007248E-3</v>
      </c>
      <c r="F1288" s="20" cm="1">
        <f t="array" ref="F1288">IF(D1288=0,"",(D1288-C1288)/C1288)</f>
        <v>-2.3013446427989115E-4</v>
      </c>
      <c r="G1288" s="21">
        <v>657.52</v>
      </c>
      <c r="H1288" s="22">
        <v>1</v>
      </c>
      <c r="I1288" s="23" cm="1">
        <f t="array" ref="I1288">IF(D1288="","",(G1288*C1288)*0.00075)</f>
        <v>7.4999196900000005</v>
      </c>
      <c r="J1288" s="23" cm="1">
        <f t="array" ref="J1288">IF(D1288="","",(G1288*D1288)*0.00075)</f>
        <v>7.4981936999999999</v>
      </c>
      <c r="K1288" s="24" cm="1">
        <f t="array" ref="K1288">IF(D1288="","",J1288+I1288)</f>
        <v>14.99811339</v>
      </c>
      <c r="L1288" s="24" cm="1">
        <f t="array" ref="L1288">IF(D1288=0,0,(D1288-C1288)*G1288)</f>
        <v>-2.3013200000004765</v>
      </c>
      <c r="M1288" s="25">
        <v>9994.6960462999996</v>
      </c>
      <c r="N1288" s="26" cm="1">
        <f t="array" ref="N1288">IFERROR((K1288-J1288)/J1288,"–")</f>
        <v>1.0002301874383428</v>
      </c>
      <c r="O1288" s="24" cm="1">
        <f t="array" ref="O1288">IF(D1288=0,0,L1288-K1288)</f>
        <v>-17.299433390000477</v>
      </c>
      <c r="P1288" s="23"/>
      <c r="Q1288" s="27"/>
    </row>
    <row r="1289" spans="1:17" ht="22.5" customHeight="1">
      <c r="A1289" s="16" t="s">
        <v>186</v>
      </c>
      <c r="B1289" s="42">
        <v>44525</v>
      </c>
      <c r="C1289" s="36">
        <v>0.83115000000000006</v>
      </c>
      <c r="D1289" s="36">
        <v>0.83050000000000002</v>
      </c>
      <c r="E1289" s="30" cm="1">
        <f t="array" ref="E1289">IF(D1289="","",D1289-C1289)</f>
        <v>-6.5000000000003944E-4</v>
      </c>
      <c r="F1289" s="31" cm="1">
        <f t="array" ref="F1289">IF(D1289=0,"",(D1289-C1289)/C1289)</f>
        <v>-7.8204896829698538E-4</v>
      </c>
      <c r="G1289" s="32">
        <v>2405</v>
      </c>
      <c r="H1289" s="10">
        <v>1</v>
      </c>
      <c r="I1289" s="11" cm="1">
        <f t="array" ref="I1289">IF(D1289="","",(G1289*C1289)*0.00075)</f>
        <v>1.4991868125000001</v>
      </c>
      <c r="J1289" s="11" cm="1">
        <f t="array" ref="J1289">IF(D1289="","",(G1289*D1289)*0.00075)</f>
        <v>1.4980143749999999</v>
      </c>
      <c r="K1289" s="33" cm="1">
        <f t="array" ref="K1289">IF(D1289="","",J1289+I1289)</f>
        <v>2.9972011875</v>
      </c>
      <c r="L1289" s="33" cm="1">
        <f t="array" ref="L1289">IF(D1289=0,0,(D1289-C1289)*G1289)</f>
        <v>-1.5632500000000948</v>
      </c>
      <c r="M1289" s="12">
        <v>1998.9809856249999</v>
      </c>
      <c r="N1289" s="34" cm="1">
        <f t="array" ref="N1289">IFERROR((K1289-J1289)/J1289,"–")</f>
        <v>1.0007826610475619</v>
      </c>
      <c r="O1289" s="33" cm="1">
        <f t="array" ref="O1289">IF(D1289=0,0,L1289-K1289)</f>
        <v>-4.560451187500095</v>
      </c>
      <c r="P1289" s="11"/>
      <c r="Q1289" s="35"/>
    </row>
    <row r="1290" spans="1:17" ht="22.5" customHeight="1">
      <c r="A1290" s="16" t="s">
        <v>46</v>
      </c>
      <c r="B1290" s="43">
        <v>44525</v>
      </c>
      <c r="C1290" s="37">
        <v>2.718</v>
      </c>
      <c r="D1290" s="37">
        <v>2.7357</v>
      </c>
      <c r="E1290" s="19" cm="1">
        <f t="array" ref="E1290">IF(D1290="","",D1290-C1290)</f>
        <v>1.7700000000000049E-2</v>
      </c>
      <c r="F1290" s="20" cm="1">
        <f t="array" ref="F1290">IF(D1290=0,"",(D1290-C1290)/C1290)</f>
        <v>6.5121412803532189E-3</v>
      </c>
      <c r="G1290" s="21">
        <v>1000</v>
      </c>
      <c r="H1290" s="22">
        <v>1</v>
      </c>
      <c r="I1290" s="23" cm="1">
        <f t="array" ref="I1290">IF(D1290="","",(G1290*C1290)*0.00075)</f>
        <v>2.0385</v>
      </c>
      <c r="J1290" s="23" cm="1">
        <f t="array" ref="J1290">IF(D1290="","",(G1290*D1290)*0.00075)</f>
        <v>2.0517750000000001</v>
      </c>
      <c r="K1290" s="24" cm="1">
        <f t="array" ref="K1290">IF(D1290="","",J1290+I1290)</f>
        <v>4.0902750000000001</v>
      </c>
      <c r="L1290" s="24" cm="1">
        <f t="array" ref="L1290">IF(D1290=0,0,(D1290-C1290)*G1290)</f>
        <v>17.700000000000049</v>
      </c>
      <c r="M1290" s="25">
        <v>2698.2482249999998</v>
      </c>
      <c r="N1290" s="26" cm="1">
        <f t="array" ref="N1290">IFERROR((K1290-J1290)/J1290,"–")</f>
        <v>0.99352999232371964</v>
      </c>
      <c r="O1290" s="24" cm="1">
        <f t="array" ref="O1290">IF(D1290=0,0,L1290-K1290)</f>
        <v>13.609725000000049</v>
      </c>
      <c r="P1290" s="23"/>
      <c r="Q1290" s="27"/>
    </row>
    <row r="1291" spans="1:17" ht="22.5" customHeight="1">
      <c r="A1291" s="16" t="s">
        <v>247</v>
      </c>
      <c r="B1291" s="42">
        <v>44525</v>
      </c>
      <c r="C1291" s="36">
        <v>6.2289999999999998E-2</v>
      </c>
      <c r="D1291" s="36">
        <v>6.3460000000000003E-2</v>
      </c>
      <c r="E1291" s="30" cm="1">
        <f t="array" ref="E1291">IF(D1291="","",D1291-C1291)</f>
        <v>1.1700000000000044E-3</v>
      </c>
      <c r="F1291" s="31" cm="1">
        <f t="array" ref="F1291">IF(D1291=0,"",(D1291-C1291)/C1291)</f>
        <v>1.8783111253812882E-2</v>
      </c>
      <c r="G1291" s="32">
        <v>32107</v>
      </c>
      <c r="H1291" s="10">
        <v>1</v>
      </c>
      <c r="I1291" s="11" cm="1">
        <f t="array" ref="I1291">IF(D1291="","",(G1291*C1291)*0.00075)</f>
        <v>1.4999587724999999</v>
      </c>
      <c r="J1291" s="11" cm="1">
        <f t="array" ref="J1291">IF(D1291="","",(G1291*D1291)*0.00075)</f>
        <v>1.5281326650000002</v>
      </c>
      <c r="K1291" s="33" cm="1">
        <f t="array" ref="K1291">IF(D1291="","",J1291+I1291)</f>
        <v>3.0280914375000001</v>
      </c>
      <c r="L1291" s="33" cm="1">
        <f t="array" ref="L1291">IF(D1291=0,0,(D1291-C1291)*G1291)</f>
        <v>37.565190000000143</v>
      </c>
      <c r="M1291" s="12">
        <v>1960.8517073349999</v>
      </c>
      <c r="N1291" s="34" cm="1">
        <f t="array" ref="N1291">IFERROR((K1291-J1291)/J1291,"–")</f>
        <v>0.98156318941065213</v>
      </c>
      <c r="O1291" s="33" cm="1">
        <f t="array" ref="O1291">IF(D1291=0,0,L1291-K1291)</f>
        <v>34.537098562500141</v>
      </c>
      <c r="P1291" s="11"/>
      <c r="Q1291" s="35"/>
    </row>
    <row r="1292" spans="1:17" ht="22.5" customHeight="1">
      <c r="A1292" s="16" t="s">
        <v>247</v>
      </c>
      <c r="B1292" s="43">
        <v>44525</v>
      </c>
      <c r="C1292" s="37">
        <v>6.1769999999999999E-2</v>
      </c>
      <c r="D1292" s="37">
        <v>6.0810000000000003E-2</v>
      </c>
      <c r="E1292" s="19" cm="1">
        <f t="array" ref="E1292">IF(D1292="","",D1292-C1292)</f>
        <v>-9.5999999999999558E-4</v>
      </c>
      <c r="F1292" s="20" cm="1">
        <f t="array" ref="F1292">IF(D1292=0,"",(D1292-C1292)/C1292)</f>
        <v>-1.5541525012141745E-2</v>
      </c>
      <c r="G1292" s="21">
        <v>40472</v>
      </c>
      <c r="H1292" s="22">
        <v>1</v>
      </c>
      <c r="I1292" s="23" cm="1">
        <f t="array" ref="I1292">IF(D1292="","",(G1292*C1292)*0.00075)</f>
        <v>1.8749665799999999</v>
      </c>
      <c r="J1292" s="23" cm="1">
        <f t="array" ref="J1292">IF(D1292="","",(G1292*D1292)*0.00075)</f>
        <v>1.8458267399999999</v>
      </c>
      <c r="K1292" s="24" cm="1">
        <f t="array" ref="K1292">IF(D1292="","",J1292+I1292)</f>
        <v>3.7207933199999998</v>
      </c>
      <c r="L1292" s="24" cm="1">
        <f t="array" ref="L1292">IF(D1292=0,0,(D1292-C1292)*G1292)</f>
        <v>-38.853119999999819</v>
      </c>
      <c r="M1292" s="25">
        <v>2536.9627332599998</v>
      </c>
      <c r="N1292" s="26" cm="1">
        <f t="array" ref="N1292">IFERROR((K1292-J1292)/J1292,"–")</f>
        <v>1.015786877158362</v>
      </c>
      <c r="O1292" s="24" cm="1">
        <f t="array" ref="O1292">IF(D1292=0,0,L1292-K1292)</f>
        <v>-42.573913319999818</v>
      </c>
      <c r="P1292" s="23"/>
      <c r="Q1292" s="27"/>
    </row>
    <row r="1293" spans="1:17" ht="22.5" customHeight="1">
      <c r="A1293" s="16" t="s">
        <v>54</v>
      </c>
      <c r="B1293" s="42">
        <v>44526</v>
      </c>
      <c r="C1293" s="36">
        <v>7.3921999999999999</v>
      </c>
      <c r="D1293" s="36">
        <v>7.4225000000000003</v>
      </c>
      <c r="E1293" s="30" cm="1">
        <f t="array" ref="E1293">IF(D1293="","",D1293-C1293)</f>
        <v>3.0300000000000438E-2</v>
      </c>
      <c r="F1293" s="31" cm="1">
        <f t="array" ref="F1293">IF(D1293=0,"",(D1293-C1293)/C1293)</f>
        <v>4.0989150726441978E-3</v>
      </c>
      <c r="G1293" s="32">
        <v>134</v>
      </c>
      <c r="H1293" s="10">
        <v>1</v>
      </c>
      <c r="I1293" s="11" cm="1">
        <f t="array" ref="I1293">IF(D1293="","",(G1293*C1293)*0.00075)</f>
        <v>0.74291609999999997</v>
      </c>
      <c r="J1293" s="11" cm="1">
        <f t="array" ref="J1293">IF(D1293="","",(G1293*D1293)*0.00075)</f>
        <v>0.74596125000000002</v>
      </c>
      <c r="K1293" s="33" cm="1">
        <f t="array" ref="K1293">IF(D1293="","",J1293+I1293)</f>
        <v>1.4888773500000001</v>
      </c>
      <c r="L1293" s="33" cm="1">
        <f t="array" ref="L1293">IF(D1293=0,0,(D1293-C1293)*G1293)</f>
        <v>4.0602000000000587</v>
      </c>
      <c r="M1293" s="12">
        <v>985.74863875000005</v>
      </c>
      <c r="N1293" s="34" cm="1">
        <f t="array" ref="N1293">IFERROR((K1293-J1293)/J1293,"–")</f>
        <v>0.99591781744695196</v>
      </c>
      <c r="O1293" s="33" cm="1">
        <f t="array" ref="O1293">IF(D1293=0,0,L1293-K1293)</f>
        <v>2.5713226500000586</v>
      </c>
      <c r="P1293" s="11"/>
      <c r="Q1293" s="35"/>
    </row>
    <row r="1294" spans="1:17" ht="22.5" customHeight="1">
      <c r="A1294" s="16" t="s">
        <v>248</v>
      </c>
      <c r="B1294" s="43">
        <v>44528</v>
      </c>
      <c r="C1294" s="37">
        <v>1</v>
      </c>
      <c r="D1294" s="37">
        <v>101</v>
      </c>
      <c r="E1294" s="19" cm="1">
        <f t="array" ref="E1294">IF(D1294="","",D1294-C1294)</f>
        <v>100</v>
      </c>
      <c r="F1294" s="20" cm="1">
        <f t="array" ref="F1294">IF(D1294=0,"",(D1294-C1294)/C1294)</f>
        <v>100</v>
      </c>
      <c r="G1294" s="21">
        <v>1</v>
      </c>
      <c r="H1294" s="22">
        <v>1</v>
      </c>
      <c r="I1294" s="23" cm="1">
        <f t="array" ref="I1294">IF(D1294="","",(G1294*C1294)*0.00075)</f>
        <v>7.5000000000000002E-4</v>
      </c>
      <c r="J1294" s="23" cm="1">
        <f t="array" ref="J1294">IF(D1294="","",(G1294*D1294)*0.00075)</f>
        <v>7.5749999999999998E-2</v>
      </c>
      <c r="K1294" s="24" cm="1">
        <f t="array" ref="K1294">IF(D1294="","",J1294+I1294)</f>
        <v>7.6499999999999999E-2</v>
      </c>
      <c r="L1294" s="24" cm="1">
        <f t="array" ref="L1294">IF(D1294=0,0,(D1294-C1294)*G1294)</f>
        <v>100</v>
      </c>
      <c r="M1294" s="25">
        <v>-99.075749999999999</v>
      </c>
      <c r="N1294" s="26" cm="1">
        <f t="array" ref="N1294">IFERROR((K1294-J1294)/J1294,"–")</f>
        <v>9.9009900990099098E-3</v>
      </c>
      <c r="O1294" s="24" cm="1">
        <f t="array" ref="O1294">IF(D1294=0,0,L1294-K1294)</f>
        <v>99.923500000000004</v>
      </c>
      <c r="P1294" s="23"/>
      <c r="Q1294" s="27"/>
    </row>
    <row r="1295" spans="1:17" ht="22.5" customHeight="1">
      <c r="A1295" s="16" t="s">
        <v>234</v>
      </c>
      <c r="B1295" s="42">
        <v>44528</v>
      </c>
      <c r="C1295" s="36">
        <v>1</v>
      </c>
      <c r="D1295" s="36">
        <v>71</v>
      </c>
      <c r="E1295" s="30" cm="1">
        <f t="array" ref="E1295">IF(D1295="","",D1295-C1295)</f>
        <v>70</v>
      </c>
      <c r="F1295" s="31" cm="1">
        <f t="array" ref="F1295">IF(D1295=0,"",(D1295-C1295)/C1295)</f>
        <v>70</v>
      </c>
      <c r="G1295" s="32">
        <v>1</v>
      </c>
      <c r="H1295" s="10">
        <v>1</v>
      </c>
      <c r="I1295" s="11" cm="1">
        <f t="array" ref="I1295">IF(D1295="","",(G1295*C1295)*0.00075)</f>
        <v>7.5000000000000002E-4</v>
      </c>
      <c r="J1295" s="11" cm="1">
        <f t="array" ref="J1295">IF(D1295="","",(G1295*D1295)*0.00075)</f>
        <v>5.3249999999999999E-2</v>
      </c>
      <c r="K1295" s="33" cm="1">
        <f t="array" ref="K1295">IF(D1295="","",J1295+I1295)</f>
        <v>5.3999999999999999E-2</v>
      </c>
      <c r="L1295" s="33" cm="1">
        <f t="array" ref="L1295">IF(D1295=0,0,(D1295-C1295)*G1295)</f>
        <v>70</v>
      </c>
      <c r="M1295" s="12">
        <v>-69.053250000000006</v>
      </c>
      <c r="N1295" s="34" cm="1">
        <f t="array" ref="N1295">IFERROR((K1295-J1295)/J1295,"–")</f>
        <v>1.4084507042253534E-2</v>
      </c>
      <c r="O1295" s="33" cm="1">
        <f t="array" ref="O1295">IF(D1295=0,0,L1295-K1295)</f>
        <v>69.945999999999998</v>
      </c>
      <c r="P1295" s="11"/>
      <c r="Q1295" s="35"/>
    </row>
    <row r="1296" spans="1:17" ht="22.5" customHeight="1">
      <c r="A1296" s="16" t="s">
        <v>249</v>
      </c>
      <c r="B1296" s="43">
        <v>44530</v>
      </c>
      <c r="C1296" s="37">
        <v>3.17</v>
      </c>
      <c r="D1296" s="37">
        <v>4.4257999999999997</v>
      </c>
      <c r="E1296" s="19" cm="1">
        <f t="array" ref="E1296">IF(D1296="","",D1296-C1296)</f>
        <v>1.2557999999999998</v>
      </c>
      <c r="F1296" s="20" cm="1">
        <f t="array" ref="F1296">IF(D1296=0,"",(D1296-C1296)/C1296)</f>
        <v>0.39615141955835959</v>
      </c>
      <c r="G1296" s="21">
        <v>528.96600000000001</v>
      </c>
      <c r="H1296" s="22">
        <v>1</v>
      </c>
      <c r="I1296" s="23" cm="1">
        <f t="array" ref="I1296">IF(D1296="","",(G1296*C1296)*0.00075)</f>
        <v>1.257616665</v>
      </c>
      <c r="J1296" s="23" cm="1">
        <f t="array" ref="J1296">IF(D1296="","",(G1296*D1296)*0.00075)</f>
        <v>1.7558232920999999</v>
      </c>
      <c r="K1296" s="24" cm="1">
        <f t="array" ref="K1296">IF(D1296="","",J1296+I1296)</f>
        <v>3.0134399571000001</v>
      </c>
      <c r="L1296" s="24" cm="1">
        <f t="array" ref="L1296">IF(D1296=0,0,(D1296-C1296)*G1296)</f>
        <v>664.27550279999991</v>
      </c>
      <c r="M1296" s="25">
        <v>1010.7908939079</v>
      </c>
      <c r="N1296" s="26" cm="1">
        <f t="array" ref="N1296">IFERROR((K1296-J1296)/J1296,"–")</f>
        <v>0.71625468841791329</v>
      </c>
      <c r="O1296" s="24" cm="1">
        <f t="array" ref="O1296">IF(D1296=0,0,L1296-K1296)/2</f>
        <v>330.63103142144996</v>
      </c>
      <c r="P1296" s="23"/>
      <c r="Q1296" s="27"/>
    </row>
    <row r="1297" spans="1:17" ht="22.5" customHeight="1">
      <c r="A1297" s="16" t="s">
        <v>249</v>
      </c>
      <c r="B1297" s="42">
        <v>44530</v>
      </c>
      <c r="C1297" s="36">
        <v>3.17</v>
      </c>
      <c r="D1297" s="36">
        <v>4.97</v>
      </c>
      <c r="E1297" s="30" cm="1">
        <f t="array" ref="E1297">IF(D1297="","",D1297-C1297)</f>
        <v>1.7999999999999998</v>
      </c>
      <c r="F1297" s="31" cm="1">
        <f t="array" ref="F1297">IF(D1297=0,"",(D1297-C1297)/C1297)</f>
        <v>0.56782334384858035</v>
      </c>
      <c r="G1297" s="32">
        <v>186.90700000000001</v>
      </c>
      <c r="H1297" s="10">
        <v>1</v>
      </c>
      <c r="I1297" s="11" cm="1">
        <f t="array" ref="I1297">IF(D1297="","",(G1297*C1297)*0.00075)</f>
        <v>0.44437139250000002</v>
      </c>
      <c r="J1297" s="11" cm="1">
        <f t="array" ref="J1297">IF(D1297="","",(G1297*D1297)*0.00075)</f>
        <v>0.69669584249999994</v>
      </c>
      <c r="K1297" s="33" cm="1">
        <f t="array" ref="K1297">IF(D1297="","",J1297+I1297)</f>
        <v>1.141067235</v>
      </c>
      <c r="L1297" s="33" cm="1">
        <f t="array" ref="L1297">IF(D1297=0,0,(D1297-C1297)*G1297)</f>
        <v>336.43259999999998</v>
      </c>
      <c r="M1297" s="12">
        <v>255.36589415750001</v>
      </c>
      <c r="N1297" s="34" cm="1">
        <f t="array" ref="N1297">IFERROR((K1297-J1297)/J1297,"–")</f>
        <v>0.63782696177062381</v>
      </c>
      <c r="O1297" s="33" cm="1">
        <f t="array" ref="O1297">IF(D1297=0,0,L1297-K1297)/2</f>
        <v>167.6457663825</v>
      </c>
      <c r="P1297" s="11"/>
      <c r="Q1297" s="35"/>
    </row>
    <row r="1298" spans="1:17" ht="22.5" customHeight="1">
      <c r="A1298" s="16" t="s">
        <v>249</v>
      </c>
      <c r="B1298" s="43">
        <v>44530</v>
      </c>
      <c r="C1298" s="37">
        <v>3.17</v>
      </c>
      <c r="D1298" s="37">
        <v>4.3529</v>
      </c>
      <c r="E1298" s="19" cm="1">
        <f t="array" ref="E1298">IF(D1298="","",D1298-C1298)</f>
        <v>1.1829000000000001</v>
      </c>
      <c r="F1298" s="20" cm="1">
        <f t="array" ref="F1298">IF(D1298=0,"",(D1298-C1298)/C1298)</f>
        <v>0.37315457413249215</v>
      </c>
      <c r="G1298" s="21">
        <v>105.749</v>
      </c>
      <c r="H1298" s="22">
        <v>1</v>
      </c>
      <c r="I1298" s="23" cm="1">
        <f t="array" ref="I1298">IF(D1298="","",(G1298*C1298)*0.00075)</f>
        <v>0.25141824749999997</v>
      </c>
      <c r="J1298" s="23" cm="1">
        <f t="array" ref="J1298">IF(D1298="","",(G1298*D1298)*0.00075)</f>
        <v>0.34523611657499997</v>
      </c>
      <c r="K1298" s="24" cm="1">
        <f t="array" ref="K1298">IF(D1298="","",J1298+I1298)</f>
        <v>0.59665436407499994</v>
      </c>
      <c r="L1298" s="24" cm="1">
        <f t="array" ref="L1298">IF(D1298=0,0,(D1298-C1298)*G1298)</f>
        <v>125.09049210000001</v>
      </c>
      <c r="M1298" s="25">
        <v>209.78860178342501</v>
      </c>
      <c r="N1298" s="26" cm="1">
        <f t="array" ref="N1298">IFERROR((K1298-J1298)/J1298,"–")</f>
        <v>0.7282501320958441</v>
      </c>
      <c r="O1298" s="24" cm="1">
        <f t="array" ref="O1298">IF(D1298=0,0,L1298-K1298)/2</f>
        <v>62.246918867962506</v>
      </c>
      <c r="P1298" s="23"/>
      <c r="Q1298" s="27"/>
    </row>
    <row r="1299" spans="1:17" ht="22.5" customHeight="1">
      <c r="A1299" s="16" t="s">
        <v>249</v>
      </c>
      <c r="B1299" s="42">
        <v>44530</v>
      </c>
      <c r="C1299" s="36">
        <v>3.17</v>
      </c>
      <c r="D1299" s="36">
        <v>3.177</v>
      </c>
      <c r="E1299" s="30" cm="1">
        <f t="array" ref="E1299">IF(D1299="","",D1299-C1299)</f>
        <v>7.0000000000001172E-3</v>
      </c>
      <c r="F1299" s="31" cm="1">
        <f t="array" ref="F1299">IF(D1299=0,"",(D1299-C1299)/C1299)</f>
        <v>2.2082018927445167E-3</v>
      </c>
      <c r="G1299" s="32">
        <v>236.31100000000001</v>
      </c>
      <c r="H1299" s="10">
        <v>1</v>
      </c>
      <c r="I1299" s="11" cm="1">
        <f t="array" ref="I1299">IF(D1299="","",(G1299*C1299)*0.00075)</f>
        <v>0.56182940250000002</v>
      </c>
      <c r="J1299" s="11" cm="1">
        <f t="array" ref="J1299">IF(D1299="","",(G1299*D1299)*0.00075)</f>
        <v>0.56307003524999999</v>
      </c>
      <c r="K1299" s="33" cm="1">
        <f t="array" ref="K1299">IF(D1299="","",J1299+I1299)</f>
        <v>1.1248994377499999</v>
      </c>
      <c r="L1299" s="33" cm="1">
        <f t="array" ref="L1299">IF(D1299=0,0,(D1299-C1299)*G1299)</f>
        <v>1.6541770000000278</v>
      </c>
      <c r="M1299" s="12">
        <v>746.88862296474997</v>
      </c>
      <c r="N1299" s="34" cm="1">
        <f t="array" ref="N1299">IFERROR((K1299-J1299)/J1299,"–")</f>
        <v>0.99779666351904295</v>
      </c>
      <c r="O1299" s="33" cm="1">
        <f t="array" ref="O1299">IF(D1299=0,0,L1299-K1299)/2</f>
        <v>0.26463878112501393</v>
      </c>
      <c r="P1299" s="11"/>
      <c r="Q1299" s="35"/>
    </row>
    <row r="1300" spans="1:17" ht="22.5" customHeight="1">
      <c r="A1300" s="16" t="s">
        <v>15</v>
      </c>
      <c r="B1300" s="43">
        <v>44530</v>
      </c>
      <c r="C1300" s="37">
        <v>0.1</v>
      </c>
      <c r="D1300" s="37">
        <v>9.1090000000000004E-2</v>
      </c>
      <c r="E1300" s="19" cm="1">
        <f t="array" ref="E1300">IF(D1300="","",D1300-C1300)</f>
        <v>-8.9100000000000013E-3</v>
      </c>
      <c r="F1300" s="20" cm="1">
        <f t="array" ref="F1300">IF(D1300=0,"",(D1300-C1300)/C1300)</f>
        <v>-8.9100000000000013E-2</v>
      </c>
      <c r="G1300" s="21">
        <v>19918.3</v>
      </c>
      <c r="H1300" s="22">
        <v>1</v>
      </c>
      <c r="I1300" s="23" cm="1">
        <f t="array" ref="I1300">IF(D1300="","",(G1300*C1300)*0.00075)</f>
        <v>1.4938724999999999</v>
      </c>
      <c r="J1300" s="23" cm="1">
        <f t="array" ref="J1300">IF(D1300="","",(G1300*D1300)*0.00075)</f>
        <v>1.3607684602500001</v>
      </c>
      <c r="K1300" s="24" cm="1">
        <f t="array" ref="K1300">IF(D1300="","",J1300+I1300)</f>
        <v>2.8546409602500002</v>
      </c>
      <c r="L1300" s="24" cm="1">
        <f t="array" ref="L1300">IF(D1300=0,0,(D1300-C1300)*G1300)</f>
        <v>-177.47205300000002</v>
      </c>
      <c r="M1300" s="25">
        <v>2167.9412845397501</v>
      </c>
      <c r="N1300" s="26" cm="1">
        <f t="array" ref="N1300">IFERROR((K1300-J1300)/J1300,"–")</f>
        <v>1.0978153474585575</v>
      </c>
      <c r="O1300" s="24" cm="1">
        <f t="array" ref="O1300">IF(D1300=0,0,L1300-K1300)</f>
        <v>-180.32669396025003</v>
      </c>
      <c r="P1300" s="23"/>
      <c r="Q1300" s="27"/>
    </row>
    <row r="1301" spans="1:17" ht="22.5" customHeight="1">
      <c r="A1301" s="16" t="s">
        <v>46</v>
      </c>
      <c r="B1301" s="42">
        <v>44530</v>
      </c>
      <c r="C1301" s="36">
        <v>2.698</v>
      </c>
      <c r="D1301" s="36">
        <v>2.7040000000000002</v>
      </c>
      <c r="E1301" s="30" cm="1">
        <f t="array" ref="E1301">IF(D1301="","",D1301-C1301)</f>
        <v>6.0000000000002274E-3</v>
      </c>
      <c r="F1301" s="31" cm="1">
        <f t="array" ref="F1301">IF(D1301=0,"",(D1301-C1301)/C1301)</f>
        <v>2.2238695329874826E-3</v>
      </c>
      <c r="G1301" s="32">
        <v>709</v>
      </c>
      <c r="H1301" s="10">
        <v>1</v>
      </c>
      <c r="I1301" s="11" cm="1">
        <f t="array" ref="I1301">IF(D1301="","",(G1301*C1301)*0.00075)</f>
        <v>1.4346615</v>
      </c>
      <c r="J1301" s="11" cm="1">
        <f t="array" ref="J1301">IF(D1301="","",(G1301*D1301)*0.00075)</f>
        <v>1.4378520000000001</v>
      </c>
      <c r="K1301" s="33" cm="1">
        <f t="array" ref="K1301">IF(D1301="","",J1301+I1301)</f>
        <v>2.8725135000000002</v>
      </c>
      <c r="L1301" s="33" cm="1">
        <f t="array" ref="L1301">IF(D1301=0,0,(D1301-C1301)*G1301)</f>
        <v>4.2540000000001612</v>
      </c>
      <c r="M1301" s="12">
        <v>1907.1901479999999</v>
      </c>
      <c r="N1301" s="34" cm="1">
        <f t="array" ref="N1301">IFERROR((K1301-J1301)/J1301,"–")</f>
        <v>0.9977810650887573</v>
      </c>
      <c r="O1301" s="33" cm="1">
        <f t="array" ref="O1301">IF(D1301=0,0,L1301-K1301)</f>
        <v>1.381486500000161</v>
      </c>
      <c r="P1301" s="14" t="s">
        <v>432</v>
      </c>
      <c r="Q1301" s="35"/>
    </row>
    <row r="1302" spans="1:17" ht="22.5" customHeight="1">
      <c r="A1302" s="16" t="s">
        <v>58</v>
      </c>
      <c r="B1302" s="43">
        <v>44530</v>
      </c>
      <c r="C1302" s="37">
        <v>1.0032000000000001</v>
      </c>
      <c r="D1302" s="37">
        <v>1.0073000000000001</v>
      </c>
      <c r="E1302" s="19" cm="1">
        <f t="array" ref="E1302">IF(D1302="","",D1302-C1302)</f>
        <v>4.0999999999999925E-3</v>
      </c>
      <c r="F1302" s="20" cm="1">
        <f t="array" ref="F1302">IF(D1302=0,"",(D1302-C1302)/C1302)</f>
        <v>4.0869218500797369E-3</v>
      </c>
      <c r="G1302" s="21">
        <v>2022</v>
      </c>
      <c r="H1302" s="22">
        <v>1</v>
      </c>
      <c r="I1302" s="23" cm="1">
        <f t="array" ref="I1302">IF(D1302="","",(G1302*C1302)*0.00075)</f>
        <v>1.5213528000000001</v>
      </c>
      <c r="J1302" s="23" cm="1">
        <f t="array" ref="J1302">IF(D1302="","",(G1302*D1302)*0.00075)</f>
        <v>1.52757045</v>
      </c>
      <c r="K1302" s="24" cm="1">
        <f t="array" ref="K1302">IF(D1302="","",J1302+I1302)</f>
        <v>3.0489232500000001</v>
      </c>
      <c r="L1302" s="24" cm="1">
        <f t="array" ref="L1302">IF(D1302=0,0,(D1302-C1302)*G1302)</f>
        <v>8.2901999999999845</v>
      </c>
      <c r="M1302" s="25">
        <v>2018.65262955</v>
      </c>
      <c r="N1302" s="26" cm="1">
        <f t="array" ref="N1302">IFERROR((K1302-J1302)/J1302,"–")</f>
        <v>0.99592971309441081</v>
      </c>
      <c r="O1302" s="24" cm="1">
        <f t="array" ref="O1302">IF(D1302=0,0,L1302-K1302)</f>
        <v>5.2412767499999848</v>
      </c>
      <c r="P1302" s="23" cm="1">
        <f t="array" ref="P1302">SUM(O1158:O1302)</f>
        <v>6443.8170553629343</v>
      </c>
      <c r="Q1302" s="27"/>
    </row>
    <row r="1303" spans="1:17" ht="22.5" customHeight="1">
      <c r="A1303" s="7"/>
      <c r="B1303" s="45"/>
      <c r="C1303" s="45"/>
      <c r="D1303" s="45"/>
      <c r="E1303" s="45"/>
      <c r="F1303" s="45"/>
      <c r="G1303" s="45"/>
      <c r="H1303" s="10">
        <v>1</v>
      </c>
      <c r="I1303" s="45"/>
      <c r="J1303" s="45"/>
      <c r="K1303" s="45"/>
      <c r="L1303" s="45"/>
      <c r="M1303" s="56">
        <v>0</v>
      </c>
      <c r="N1303" s="13" t="str" cm="1">
        <f t="array" ref="N1303">IFERROR((K1303-J1303)/J1303,"–")</f>
        <v>–</v>
      </c>
      <c r="O1303" s="45"/>
      <c r="P1303" s="45"/>
      <c r="Q1303" s="35"/>
    </row>
    <row r="1304" spans="1:17" ht="22.5" customHeight="1">
      <c r="A1304" s="16" t="s">
        <v>250</v>
      </c>
      <c r="B1304" s="17">
        <v>44531</v>
      </c>
      <c r="C1304" s="37">
        <v>238.78</v>
      </c>
      <c r="D1304" s="37">
        <v>243.75</v>
      </c>
      <c r="E1304" s="19" cm="1">
        <f t="array" ref="E1304">IF(D1304="","",D1304-C1304)</f>
        <v>4.9699999999999989</v>
      </c>
      <c r="F1304" s="20" cm="1">
        <f t="array" ref="F1304">IF(D1304=0,"",(D1304-C1304)/C1304)</f>
        <v>2.0814138537565956E-2</v>
      </c>
      <c r="G1304" s="21">
        <v>41.878</v>
      </c>
      <c r="H1304" s="22">
        <v>1</v>
      </c>
      <c r="I1304" s="23" cm="1">
        <f t="array" ref="I1304">IF(D1304="","",(G1304*C1304)*0.00075)</f>
        <v>7.4997216299999998</v>
      </c>
      <c r="J1304" s="23" cm="1">
        <f t="array" ref="J1304">IF(D1304="","",(G1304*D1304)*0.00075)</f>
        <v>7.6558218750000009</v>
      </c>
      <c r="K1304" s="24" cm="1">
        <f t="array" ref="K1304">IF(D1304="","",J1304+I1304)</f>
        <v>15.155543505000001</v>
      </c>
      <c r="L1304" s="24" cm="1">
        <f t="array" ref="L1304">IF(D1304=0,0,(D1304-C1304)*G1304)</f>
        <v>208.13365999999996</v>
      </c>
      <c r="M1304" s="25">
        <v>9783.8393581250002</v>
      </c>
      <c r="N1304" s="26" cm="1">
        <f t="array" ref="N1304">IFERROR((K1304-J1304)/J1304,"–")</f>
        <v>0.97961025641025623</v>
      </c>
      <c r="O1304" s="24" cm="1">
        <f t="array" ref="O1304">IF(D1304=0,0,L1304-K1304)</f>
        <v>192.97811649499997</v>
      </c>
      <c r="P1304" s="23"/>
      <c r="Q1304" s="27"/>
    </row>
    <row r="1305" spans="1:17" ht="22.5" customHeight="1">
      <c r="A1305" s="16" t="s">
        <v>251</v>
      </c>
      <c r="B1305" s="28">
        <v>44531</v>
      </c>
      <c r="C1305" s="36">
        <v>2.4958</v>
      </c>
      <c r="D1305" s="36">
        <v>2.5215999999999998</v>
      </c>
      <c r="E1305" s="30" cm="1">
        <f t="array" ref="E1305">IF(D1305="","",D1305-C1305)</f>
        <v>2.5799999999999823E-2</v>
      </c>
      <c r="F1305" s="31" cm="1">
        <f t="array" ref="F1305">IF(D1305=0,"",(D1305-C1305)/C1305)</f>
        <v>1.0337366776183918E-2</v>
      </c>
      <c r="G1305" s="32">
        <v>3606</v>
      </c>
      <c r="H1305" s="10">
        <v>1</v>
      </c>
      <c r="I1305" s="11" cm="1">
        <f t="array" ref="I1305">IF(D1305="","",(G1305*C1305)*0.00075)</f>
        <v>6.7498910999999993</v>
      </c>
      <c r="J1305" s="11" cm="1">
        <f t="array" ref="J1305">IF(D1305="","",(G1305*D1305)*0.00075)</f>
        <v>6.8196671999999987</v>
      </c>
      <c r="K1305" s="33" cm="1">
        <f t="array" ref="K1305">IF(D1305="","",J1305+I1305)</f>
        <v>13.569558299999997</v>
      </c>
      <c r="L1305" s="33" cm="1">
        <f t="array" ref="L1305">IF(D1305=0,0,(D1305-C1305)*G1305)</f>
        <v>93.034799999999365</v>
      </c>
      <c r="M1305" s="12">
        <v>8900.0003328000003</v>
      </c>
      <c r="N1305" s="34" cm="1">
        <f t="array" ref="N1305">IFERROR((K1305-J1305)/J1305,"–")</f>
        <v>0.98976840101522834</v>
      </c>
      <c r="O1305" s="33" cm="1">
        <f t="array" ref="O1305">IF(D1305=0,0,L1305-K1305)</f>
        <v>79.465241699999368</v>
      </c>
      <c r="P1305" s="11"/>
      <c r="Q1305" s="35"/>
    </row>
    <row r="1306" spans="1:17" ht="22.5" customHeight="1">
      <c r="A1306" s="16" t="s">
        <v>251</v>
      </c>
      <c r="B1306" s="17">
        <v>44531</v>
      </c>
      <c r="C1306" s="37">
        <v>2.4958</v>
      </c>
      <c r="D1306" s="37">
        <v>2.5499999999999998</v>
      </c>
      <c r="E1306" s="19" cm="1">
        <f t="array" ref="E1306">IF(D1306="","",D1306-C1306)</f>
        <v>5.4199999999999804E-2</v>
      </c>
      <c r="F1306" s="20" cm="1">
        <f t="array" ref="F1306">IF(D1306=0,"",(D1306-C1306)/C1306)</f>
        <v>2.1716483692603494E-2</v>
      </c>
      <c r="G1306" s="21">
        <v>1201.9000000000001</v>
      </c>
      <c r="H1306" s="22">
        <v>1</v>
      </c>
      <c r="I1306" s="23" cm="1">
        <f t="array" ref="I1306">IF(D1306="","",(G1306*C1306)*0.00075)</f>
        <v>2.2497765150000002</v>
      </c>
      <c r="J1306" s="23" cm="1">
        <f t="array" ref="J1306">IF(D1306="","",(G1306*D1306)*0.00075)</f>
        <v>2.29863375</v>
      </c>
      <c r="K1306" s="24" cm="1">
        <f t="array" ref="K1306">IF(D1306="","",J1306+I1306)</f>
        <v>4.5484102650000002</v>
      </c>
      <c r="L1306" s="24" cm="1">
        <f t="array" ref="L1306">IF(D1306=0,0,(D1306-C1306)*G1306)</f>
        <v>65.142979999999767</v>
      </c>
      <c r="M1306" s="25">
        <v>2932.26040625</v>
      </c>
      <c r="N1306" s="26" cm="1">
        <f t="array" ref="N1306">IFERROR((K1306-J1306)/J1306,"–")</f>
        <v>0.97874509803921572</v>
      </c>
      <c r="O1306" s="24" cm="1">
        <f t="array" ref="O1306">IF(D1306=0,0,L1306-K1306)</f>
        <v>60.594569734999766</v>
      </c>
      <c r="P1306" s="23"/>
      <c r="Q1306" s="27"/>
    </row>
    <row r="1307" spans="1:17" ht="22.5" customHeight="1">
      <c r="A1307" s="16" t="s">
        <v>251</v>
      </c>
      <c r="B1307" s="28">
        <v>44531</v>
      </c>
      <c r="C1307" s="36">
        <v>2.4958</v>
      </c>
      <c r="D1307" s="36">
        <v>2.56</v>
      </c>
      <c r="E1307" s="30" cm="1">
        <f t="array" ref="E1307">IF(D1307="","",D1307-C1307)</f>
        <v>6.4200000000000035E-2</v>
      </c>
      <c r="F1307" s="31" cm="1">
        <f t="array" ref="F1307">IF(D1307=0,"",(D1307-C1307)/C1307)</f>
        <v>2.5723215001202032E-2</v>
      </c>
      <c r="G1307" s="32">
        <v>1602.6</v>
      </c>
      <c r="H1307" s="10">
        <v>1</v>
      </c>
      <c r="I1307" s="11" cm="1">
        <f t="array" ref="I1307">IF(D1307="","",(G1307*C1307)*0.00075)</f>
        <v>2.9998268099999996</v>
      </c>
      <c r="J1307" s="11" cm="1">
        <f t="array" ref="J1307">IF(D1307="","",(G1307*D1307)*0.00075)</f>
        <v>3.0769920000000002</v>
      </c>
      <c r="K1307" s="33" cm="1">
        <f t="array" ref="K1307">IF(D1307="","",J1307+I1307)</f>
        <v>6.0768188099999998</v>
      </c>
      <c r="L1307" s="33" cm="1">
        <f t="array" ref="L1307">IF(D1307=0,0,(D1307-C1307)*G1307)</f>
        <v>102.88692000000005</v>
      </c>
      <c r="M1307" s="12">
        <v>3893.8051679999999</v>
      </c>
      <c r="N1307" s="34" cm="1">
        <f t="array" ref="N1307">IFERROR((K1307-J1307)/J1307,"–")</f>
        <v>0.97492187499999983</v>
      </c>
      <c r="O1307" s="33" cm="1">
        <f t="array" ref="O1307">IF(D1307=0,0,L1307-K1307)</f>
        <v>96.81010119000004</v>
      </c>
      <c r="P1307" s="11"/>
      <c r="Q1307" s="35"/>
    </row>
    <row r="1308" spans="1:17" ht="22.5" customHeight="1">
      <c r="A1308" s="16" t="s">
        <v>54</v>
      </c>
      <c r="B1308" s="17">
        <v>44531</v>
      </c>
      <c r="C1308" s="37">
        <v>6.4950999999999999</v>
      </c>
      <c r="D1308" s="37">
        <v>6.548</v>
      </c>
      <c r="E1308" s="19" cm="1">
        <f t="array" ref="E1308">IF(D1308="","",D1308-C1308)</f>
        <v>5.2900000000000169E-2</v>
      </c>
      <c r="F1308" s="20" cm="1">
        <f t="array" ref="F1308">IF(D1308=0,"",(D1308-C1308)/C1308)</f>
        <v>8.1446013148373658E-3</v>
      </c>
      <c r="G1308" s="21">
        <v>2540</v>
      </c>
      <c r="H1308" s="22">
        <v>1</v>
      </c>
      <c r="I1308" s="23" cm="1">
        <f t="array" ref="I1308">IF(D1308="","",(G1308*C1308)*0.00075)</f>
        <v>12.373165500000001</v>
      </c>
      <c r="J1308" s="23" cm="1">
        <f t="array" ref="J1308">IF(D1308="","",(G1308*D1308)*0.00075)</f>
        <v>12.473940000000002</v>
      </c>
      <c r="K1308" s="24" cm="1">
        <f t="array" ref="K1308">IF(D1308="","",J1308+I1308)</f>
        <v>24.847105500000005</v>
      </c>
      <c r="L1308" s="24" cm="1">
        <f t="array" ref="L1308">IF(D1308=0,0,(D1308-C1308)*G1308)</f>
        <v>134.36600000000044</v>
      </c>
      <c r="M1308" s="25">
        <v>16350.71406</v>
      </c>
      <c r="N1308" s="26" cm="1">
        <f t="array" ref="N1308">IFERROR((K1308-J1308)/J1308,"–")</f>
        <v>0.99192119731215633</v>
      </c>
      <c r="O1308" s="24" cm="1">
        <f t="array" ref="O1308">IF(D1308=0,0,L1308-K1308)</f>
        <v>109.51889450000044</v>
      </c>
      <c r="P1308" s="23"/>
      <c r="Q1308" s="27"/>
    </row>
    <row r="1309" spans="1:17" ht="22.5" customHeight="1">
      <c r="A1309" s="16" t="s">
        <v>76</v>
      </c>
      <c r="B1309" s="28">
        <v>44531</v>
      </c>
      <c r="C1309" s="36">
        <v>4.299E-5</v>
      </c>
      <c r="D1309" s="36">
        <v>4.299E-5</v>
      </c>
      <c r="E1309" s="30" cm="1">
        <f t="array" ref="E1309">IF(D1309="","",D1309-C1309)</f>
        <v>0</v>
      </c>
      <c r="F1309" s="31" cm="1">
        <f t="array" ref="F1309">IF(D1309=0,"",(D1309-C1309)/C1309)</f>
        <v>0</v>
      </c>
      <c r="G1309" s="32">
        <v>395515302</v>
      </c>
      <c r="H1309" s="10">
        <v>1</v>
      </c>
      <c r="I1309" s="11" cm="1">
        <f t="array" ref="I1309">IF(D1309="","",(G1309*C1309)*0.00075)</f>
        <v>12.752402124735001</v>
      </c>
      <c r="J1309" s="11" cm="1">
        <f t="array" ref="J1309">IF(D1309="","",(G1309*D1309)*0.00075)</f>
        <v>12.752402124735001</v>
      </c>
      <c r="K1309" s="33" cm="1">
        <f t="array" ref="K1309">IF(D1309="","",J1309+I1309)</f>
        <v>25.504804249470002</v>
      </c>
      <c r="L1309" s="33" cm="1">
        <f t="array" ref="L1309">IF(D1309=0,0,(D1309-C1309)*G1309)</f>
        <v>0</v>
      </c>
      <c r="M1309" s="12">
        <v>16990.450430855301</v>
      </c>
      <c r="N1309" s="34" cm="1">
        <f t="array" ref="N1309">IFERROR((K1309-J1309)/J1309,"–")</f>
        <v>1</v>
      </c>
      <c r="O1309" s="33" cm="1">
        <f t="array" ref="O1309">IF(D1309=0,0,L1309-K1309)</f>
        <v>-25.504804249470002</v>
      </c>
      <c r="P1309" s="11"/>
      <c r="Q1309" s="35"/>
    </row>
    <row r="1310" spans="1:17" ht="22.5" customHeight="1">
      <c r="A1310" s="16" t="s">
        <v>15</v>
      </c>
      <c r="B1310" s="17">
        <v>44531</v>
      </c>
      <c r="C1310" s="37">
        <v>8.9539999999999995E-2</v>
      </c>
      <c r="D1310" s="37">
        <v>8.5209999999999994E-2</v>
      </c>
      <c r="E1310" s="19" cm="1">
        <f t="array" ref="E1310">IF(D1310="","",D1310-C1310)</f>
        <v>-4.3300000000000005E-3</v>
      </c>
      <c r="F1310" s="20" cm="1">
        <f t="array" ref="F1310">IF(D1310=0,"",(D1310-C1310)/C1310)</f>
        <v>-4.8358275631002916E-2</v>
      </c>
      <c r="G1310" s="21">
        <v>22331.3</v>
      </c>
      <c r="H1310" s="22">
        <v>1</v>
      </c>
      <c r="I1310" s="23" cm="1">
        <f t="array" ref="I1310">IF(D1310="","",(G1310*C1310)*0.00075)</f>
        <v>1.4996584514999998</v>
      </c>
      <c r="J1310" s="23" cm="1">
        <f t="array" ref="J1310">IF(D1310="","",(G1310*D1310)*0.00075)</f>
        <v>1.4271375547499998</v>
      </c>
      <c r="K1310" s="24" cm="1">
        <f t="array" ref="K1310">IF(D1310="","",J1310+I1310)</f>
        <v>2.9267960062499996</v>
      </c>
      <c r="L1310" s="24" cm="1">
        <f t="array" ref="L1310">IF(D1310=0,0,(D1310-C1310)*G1310)</f>
        <v>-96.694529000000003</v>
      </c>
      <c r="M1310" s="25">
        <v>2094.8119934452502</v>
      </c>
      <c r="N1310" s="26" cm="1">
        <f t="array" ref="N1310">IFERROR((K1310-J1310)/J1310,"–")</f>
        <v>1.0508156319680788</v>
      </c>
      <c r="O1310" s="24" cm="1">
        <f t="array" ref="O1310">IF(D1310=0,0,L1310-K1310)</f>
        <v>-99.621325006250004</v>
      </c>
      <c r="P1310" s="23"/>
      <c r="Q1310" s="27"/>
    </row>
    <row r="1311" spans="1:17" ht="22.5" customHeight="1">
      <c r="A1311" s="16" t="s">
        <v>54</v>
      </c>
      <c r="B1311" s="28">
        <v>44532</v>
      </c>
      <c r="C1311" s="36">
        <v>6.3289999999999997</v>
      </c>
      <c r="D1311" s="36">
        <v>6.4690000000000003</v>
      </c>
      <c r="E1311" s="30" cm="1">
        <f t="array" ref="E1311">IF(D1311="","",D1311-C1311)</f>
        <v>0.14000000000000057</v>
      </c>
      <c r="F1311" s="31" cm="1">
        <f t="array" ref="F1311">IF(D1311=0,"",(D1311-C1311)/C1311)</f>
        <v>2.2120398167167099E-2</v>
      </c>
      <c r="G1311" s="32">
        <v>2370</v>
      </c>
      <c r="H1311" s="10">
        <v>1</v>
      </c>
      <c r="I1311" s="11" cm="1">
        <f t="array" ref="I1311">IF(D1311="","",(G1311*C1311)*0.00075)</f>
        <v>11.2497975</v>
      </c>
      <c r="J1311" s="11" cm="1">
        <f t="array" ref="J1311">IF(D1311="","",(G1311*D1311)*0.00075)</f>
        <v>11.498647500000001</v>
      </c>
      <c r="K1311" s="33" cm="1">
        <f t="array" ref="K1311">IF(D1311="","",J1311+I1311)</f>
        <v>22.748445</v>
      </c>
      <c r="L1311" s="33" cm="1">
        <f t="array" ref="L1311">IF(D1311=0,0,(D1311-C1311)*G1311)</f>
        <v>331.80000000000132</v>
      </c>
      <c r="M1311" s="12">
        <v>14656.4313525</v>
      </c>
      <c r="N1311" s="34" cm="1">
        <f t="array" ref="N1311">IFERROR((K1311-J1311)/J1311,"–")</f>
        <v>0.97835832431596836</v>
      </c>
      <c r="O1311" s="33" cm="1">
        <f t="array" ref="O1311">IF(D1311=0,0,L1311-K1311)</f>
        <v>309.05155500000131</v>
      </c>
      <c r="P1311" s="11"/>
      <c r="Q1311" s="35"/>
    </row>
    <row r="1312" spans="1:17" ht="22.5" customHeight="1">
      <c r="A1312" s="16" t="s">
        <v>252</v>
      </c>
      <c r="B1312" s="17">
        <v>44532</v>
      </c>
      <c r="C1312" s="37">
        <v>1</v>
      </c>
      <c r="D1312" s="37">
        <v>59</v>
      </c>
      <c r="E1312" s="19" cm="1">
        <f t="array" ref="E1312">IF(D1312="","",D1312-C1312)</f>
        <v>58</v>
      </c>
      <c r="F1312" s="20" cm="1">
        <f t="array" ref="F1312">IF(D1312=0,"",(D1312-C1312)/C1312)</f>
        <v>58</v>
      </c>
      <c r="G1312" s="21">
        <v>1</v>
      </c>
      <c r="H1312" s="22">
        <v>1</v>
      </c>
      <c r="I1312" s="23" cm="1">
        <f t="array" ref="I1312">IF(D1312="","",(G1312*C1312)*0.00075)</f>
        <v>7.5000000000000002E-4</v>
      </c>
      <c r="J1312" s="23" cm="1">
        <f t="array" ref="J1312">IF(D1312="","",(G1312*D1312)*0.00075)</f>
        <v>4.4249999999999998E-2</v>
      </c>
      <c r="K1312" s="24" cm="1">
        <f t="array" ref="K1312">IF(D1312="","",J1312+I1312)</f>
        <v>4.4999999999999998E-2</v>
      </c>
      <c r="L1312" s="24" cm="1">
        <f t="array" ref="L1312">IF(D1312=0,0,(D1312-C1312)*G1312)</f>
        <v>58</v>
      </c>
      <c r="M1312" s="25">
        <v>-57.044249999999998</v>
      </c>
      <c r="N1312" s="26" cm="1">
        <f t="array" ref="N1312">IFERROR((K1312-J1312)/J1312,"–")</f>
        <v>1.6949152542372899E-2</v>
      </c>
      <c r="O1312" s="24" cm="1">
        <f t="array" ref="O1312">IF(D1312=0,0,L1312-K1312)</f>
        <v>57.954999999999998</v>
      </c>
      <c r="P1312" s="23"/>
      <c r="Q1312" s="27"/>
    </row>
    <row r="1313" spans="1:17" ht="22.5" customHeight="1">
      <c r="A1313" s="16" t="s">
        <v>253</v>
      </c>
      <c r="B1313" s="28">
        <v>44532</v>
      </c>
      <c r="C1313" s="36">
        <v>4.84901E-3</v>
      </c>
      <c r="D1313" s="36">
        <v>5.2396999999999999E-3</v>
      </c>
      <c r="E1313" s="30" cm="1">
        <f t="array" ref="E1313">IF(D1313="","",D1313-C1313)</f>
        <v>3.9068999999999996E-4</v>
      </c>
      <c r="F1313" s="31" cm="1">
        <f t="array" ref="F1313">IF(D1313=0,"",(D1313-C1313)/C1313)</f>
        <v>8.0571085644286153E-2</v>
      </c>
      <c r="G1313" s="32">
        <v>176425.66399999999</v>
      </c>
      <c r="H1313" s="10">
        <v>1</v>
      </c>
      <c r="I1313" s="11" cm="1">
        <f t="array" ref="I1313">IF(D1313="","",(G1313*C1313)*0.002)</f>
        <v>1.7109796179852799</v>
      </c>
      <c r="J1313" s="11" cm="1">
        <f t="array" ref="J1313">IF(D1313="","",(G1313*D1313)*0.002)</f>
        <v>1.8488351033215999</v>
      </c>
      <c r="K1313" s="33" cm="1">
        <f t="array" ref="K1313">IF(D1313="","",J1313+I1313)</f>
        <v>3.5598147213068798</v>
      </c>
      <c r="L1313" s="33" cm="1">
        <f t="array" ref="L1313">IF(D1313=0,0,(D1313-C1313)*G1313)</f>
        <v>68.927742668159993</v>
      </c>
      <c r="M1313" s="12">
        <v>784.71323122115803</v>
      </c>
      <c r="N1313" s="34" cm="1">
        <f t="array" ref="N1313">IFERROR((K1313-J1313)/J1313,"–")</f>
        <v>0.92543657079603792</v>
      </c>
      <c r="O1313" s="33" cm="1">
        <f t="array" ref="O1313">IF(D1313=0,0,L1313-K1313)</f>
        <v>65.367927946853115</v>
      </c>
      <c r="P1313" s="11"/>
      <c r="Q1313" s="35"/>
    </row>
    <row r="1314" spans="1:17" ht="22.5" customHeight="1">
      <c r="A1314" s="16" t="s">
        <v>253</v>
      </c>
      <c r="B1314" s="17">
        <v>44532</v>
      </c>
      <c r="C1314" s="37">
        <v>4.8250000000000003E-3</v>
      </c>
      <c r="D1314" s="37">
        <v>5.2396999999999999E-3</v>
      </c>
      <c r="E1314" s="19" cm="1">
        <f t="array" ref="E1314">IF(D1314="","",D1314-C1314)</f>
        <v>4.1469999999999962E-4</v>
      </c>
      <c r="F1314" s="20" cm="1">
        <f t="array" ref="F1314">IF(D1314=0,"",(D1314-C1314)/C1314)</f>
        <v>8.5948186528497325E-2</v>
      </c>
      <c r="G1314" s="21">
        <v>192811.554</v>
      </c>
      <c r="H1314" s="22">
        <v>1</v>
      </c>
      <c r="I1314" s="23" cm="1">
        <f t="array" ref="I1314">IF(D1314="","",(G1314*C1314)*0.002)</f>
        <v>1.8606314961000001</v>
      </c>
      <c r="J1314" s="23" cm="1">
        <f t="array" ref="J1314">IF(D1314="","",(G1314*D1314)*0.002)</f>
        <v>2.0205493989875998</v>
      </c>
      <c r="K1314" s="24" cm="1">
        <f t="array" ref="K1314">IF(D1314="","",J1314+I1314)</f>
        <v>3.8811808950876001</v>
      </c>
      <c r="L1314" s="24" cm="1">
        <f t="array" ref="L1314">IF(D1314=0,0,(D1314-C1314)*G1314)</f>
        <v>79.958951443799933</v>
      </c>
      <c r="M1314" s="25">
        <v>848.33624720721195</v>
      </c>
      <c r="N1314" s="26" cm="1">
        <f t="array" ref="N1314">IFERROR((K1314-J1314)/J1314,"–")</f>
        <v>0.92085424738057553</v>
      </c>
      <c r="O1314" s="24" cm="1">
        <f t="array" ref="O1314">IF(D1314=0,0,L1314-K1314)</f>
        <v>76.077770548712337</v>
      </c>
      <c r="P1314" s="23"/>
      <c r="Q1314" s="27"/>
    </row>
    <row r="1315" spans="1:17" ht="22.5" customHeight="1">
      <c r="A1315" s="16" t="s">
        <v>253</v>
      </c>
      <c r="B1315" s="28">
        <v>44532</v>
      </c>
      <c r="C1315" s="36">
        <v>4.9144699999999998E-3</v>
      </c>
      <c r="D1315" s="36">
        <v>5.2396999999999999E-3</v>
      </c>
      <c r="E1315" s="30" cm="1">
        <f t="array" ref="E1315">IF(D1315="","",D1315-C1315)</f>
        <v>3.2523000000000014E-4</v>
      </c>
      <c r="F1315" s="31" cm="1">
        <f t="array" ref="F1315">IF(D1315=0,"",(D1315-C1315)/C1315)</f>
        <v>6.6178041579254762E-2</v>
      </c>
      <c r="G1315" s="32">
        <v>148251.35500000001</v>
      </c>
      <c r="H1315" s="10">
        <v>1</v>
      </c>
      <c r="I1315" s="11" cm="1">
        <f t="array" ref="I1315">IF(D1315="","",(G1315*C1315)*0.002)</f>
        <v>1.4571536732137003</v>
      </c>
      <c r="J1315" s="11" cm="1">
        <f t="array" ref="J1315">IF(D1315="","",(G1315*D1315)*0.002)</f>
        <v>1.5535852495870002</v>
      </c>
      <c r="K1315" s="33" cm="1">
        <f t="array" ref="K1315">IF(D1315="","",J1315+I1315)</f>
        <v>3.0107389228007007</v>
      </c>
      <c r="L1315" s="33" cm="1">
        <f t="array" ref="L1315">IF(D1315=0,0,(D1315-C1315)*G1315)</f>
        <v>48.215788186650023</v>
      </c>
      <c r="M1315" s="12">
        <v>678.807463170613</v>
      </c>
      <c r="N1315" s="34" cm="1">
        <f t="array" ref="N1315">IFERROR((K1315-J1315)/J1315,"–")</f>
        <v>0.937929652461019</v>
      </c>
      <c r="O1315" s="33" cm="1">
        <f t="array" ref="O1315">IF(D1315=0,0,L1315-K1315)</f>
        <v>45.205049263849325</v>
      </c>
      <c r="P1315" s="11"/>
      <c r="Q1315" s="35"/>
    </row>
    <row r="1316" spans="1:17" ht="22.5" customHeight="1">
      <c r="A1316" s="16" t="s">
        <v>180</v>
      </c>
      <c r="B1316" s="17">
        <v>44533</v>
      </c>
      <c r="C1316" s="37">
        <v>2.1025999999999998</v>
      </c>
      <c r="D1316" s="37">
        <v>2.1</v>
      </c>
      <c r="E1316" s="19" cm="1">
        <f t="array" ref="E1316">IF(D1316="","",D1316-C1316)</f>
        <v>-2.5999999999997137E-3</v>
      </c>
      <c r="F1316" s="20" cm="1">
        <f t="array" ref="F1316">IF(D1316=0,"",(D1316-C1316)/C1316)</f>
        <v>-1.236564253780897E-3</v>
      </c>
      <c r="G1316" s="21">
        <v>9036</v>
      </c>
      <c r="H1316" s="22">
        <v>1</v>
      </c>
      <c r="I1316" s="23" cm="1">
        <f t="array" ref="I1316">IF(D1316="","",(G1316*C1316)*0.00075)</f>
        <v>14.249320199999998</v>
      </c>
      <c r="J1316" s="23" cm="1">
        <f t="array" ref="J1316">IF(D1316="","",(G1316*D1316)*0.00075)</f>
        <v>14.231700000000002</v>
      </c>
      <c r="K1316" s="24" cm="1">
        <f t="array" ref="K1316">IF(D1316="","",J1316+I1316)</f>
        <v>28.4810202</v>
      </c>
      <c r="L1316" s="24" cm="1">
        <f t="array" ref="L1316">IF(D1316=0,0,(D1316-C1316)*G1316)</f>
        <v>-23.493599999997414</v>
      </c>
      <c r="M1316" s="25">
        <v>19008.355500000001</v>
      </c>
      <c r="N1316" s="26" cm="1">
        <f t="array" ref="N1316">IFERROR((K1316-J1316)/J1316,"–")</f>
        <v>1.001238095238095</v>
      </c>
      <c r="O1316" s="24" cm="1">
        <f t="array" ref="O1316">IF(D1316=0,0,L1316-K1316)</f>
        <v>-51.974620199997418</v>
      </c>
      <c r="P1316" s="23"/>
      <c r="Q1316" s="27"/>
    </row>
    <row r="1317" spans="1:17" ht="22.5" customHeight="1">
      <c r="A1317" s="16" t="s">
        <v>254</v>
      </c>
      <c r="B1317" s="28">
        <v>44533</v>
      </c>
      <c r="C1317" s="36">
        <v>2.74</v>
      </c>
      <c r="D1317" s="36">
        <v>4.4625000000000004</v>
      </c>
      <c r="E1317" s="30" cm="1">
        <f t="array" ref="E1317">IF(D1317="","",D1317-C1317)</f>
        <v>1.7225000000000001</v>
      </c>
      <c r="F1317" s="31" cm="1">
        <f t="array" ref="F1317">IF(D1317=0,"",(D1317-C1317)/C1317)</f>
        <v>0.6286496350364964</v>
      </c>
      <c r="G1317" s="32">
        <v>3580.93</v>
      </c>
      <c r="H1317" s="10">
        <v>1</v>
      </c>
      <c r="I1317" s="11" cm="1">
        <f t="array" ref="I1317">IF(D1317="","",(G1317*C1317)*0.002)</f>
        <v>19.623496400000001</v>
      </c>
      <c r="J1317" s="11" cm="1">
        <f t="array" ref="J1317">IF(D1317="","",(G1317*D1317)*0.002)</f>
        <v>31.959800250000001</v>
      </c>
      <c r="K1317" s="33" cm="1">
        <f t="array" ref="K1317">IF(D1317="","",J1317+I1317)</f>
        <v>51.583296650000001</v>
      </c>
      <c r="L1317" s="33" cm="1">
        <f t="array" ref="L1317">IF(D1317=0,0,(D1317-C1317)*G1317)</f>
        <v>6168.1519250000001</v>
      </c>
      <c r="M1317" s="12">
        <v>3611.6364747500002</v>
      </c>
      <c r="N1317" s="34" cm="1">
        <f t="array" ref="N1317">IFERROR((K1317-J1317)/J1317,"–")</f>
        <v>0.6140056022408964</v>
      </c>
      <c r="O1317" s="33" cm="1">
        <f t="array" ref="O1317">IF(D1317=0,0,L1317-K1317)*0.66</f>
        <v>4036.9352947110001</v>
      </c>
      <c r="P1317" s="11"/>
      <c r="Q1317" s="35"/>
    </row>
    <row r="1318" spans="1:17" ht="22.5" customHeight="1">
      <c r="A1318" s="16" t="s">
        <v>255</v>
      </c>
      <c r="B1318" s="17">
        <v>44533</v>
      </c>
      <c r="C1318" s="37">
        <v>1.8679999999999999E-2</v>
      </c>
      <c r="D1318" s="37">
        <v>2.1839999999999998E-2</v>
      </c>
      <c r="E1318" s="19" cm="1">
        <f t="array" ref="E1318">IF(D1318="","",D1318-C1318)</f>
        <v>3.1599999999999996E-3</v>
      </c>
      <c r="F1318" s="20" cm="1">
        <f t="array" ref="F1318">IF(D1318=0,"",(D1318-C1318)/C1318)</f>
        <v>0.16916488222698073</v>
      </c>
      <c r="G1318" s="21">
        <v>184833</v>
      </c>
      <c r="H1318" s="22">
        <v>1</v>
      </c>
      <c r="I1318" s="23" cm="1">
        <f t="array" ref="I1318">IF(D1318="","",(G1318*C1318)*0.002)</f>
        <v>6.905360879999999</v>
      </c>
      <c r="J1318" s="23" cm="1">
        <f t="array" ref="J1318">IF(D1318="","",(G1318*D1318)*0.002)</f>
        <v>8.0735054399999999</v>
      </c>
      <c r="K1318" s="24" cm="1">
        <f t="array" ref="K1318">IF(D1318="","",J1318+I1318)</f>
        <v>14.978866319999998</v>
      </c>
      <c r="L1318" s="24" cm="1">
        <f t="array" ref="L1318">IF(D1318=0,0,(D1318-C1318)*G1318)</f>
        <v>584.07227999999998</v>
      </c>
      <c r="M1318" s="25">
        <v>2860.53465456</v>
      </c>
      <c r="N1318" s="26" cm="1">
        <f t="array" ref="N1318">IFERROR((K1318-J1318)/J1318,"–")</f>
        <v>0.85531135531135505</v>
      </c>
      <c r="O1318" s="24" cm="1">
        <f t="array" ref="O1318">IF(D1318=0,0,L1318-K1318)/2</f>
        <v>284.54670684000001</v>
      </c>
      <c r="P1318" s="23"/>
      <c r="Q1318" s="27"/>
    </row>
    <row r="1319" spans="1:17" ht="22.5" customHeight="1">
      <c r="A1319" s="16" t="s">
        <v>244</v>
      </c>
      <c r="B1319" s="28">
        <v>44534</v>
      </c>
      <c r="C1319" s="36">
        <v>258</v>
      </c>
      <c r="D1319" s="36">
        <v>1</v>
      </c>
      <c r="E1319" s="30" cm="1">
        <f t="array" ref="E1319">IF(D1319="","",D1319-C1319)</f>
        <v>-257</v>
      </c>
      <c r="F1319" s="31" cm="1">
        <f t="array" ref="F1319">IF(D1319=0,"",(D1319-C1319)/C1319)</f>
        <v>-0.99612403100775193</v>
      </c>
      <c r="G1319" s="32">
        <v>1</v>
      </c>
      <c r="H1319" s="10">
        <v>1</v>
      </c>
      <c r="I1319" s="11" cm="1">
        <f t="array" ref="I1319">IF(D1319="","",(G1319*C1319)*0.00075)</f>
        <v>0.19350000000000001</v>
      </c>
      <c r="J1319" s="11" cm="1">
        <f t="array" ref="J1319">IF(D1319="","",(G1319*D1319)*0.00075)</f>
        <v>7.5000000000000002E-4</v>
      </c>
      <c r="K1319" s="33" cm="1">
        <f t="array" ref="K1319">IF(D1319="","",J1319+I1319)</f>
        <v>0.19425000000000001</v>
      </c>
      <c r="L1319" s="33" cm="1">
        <f t="array" ref="L1319">IF(D1319=0,0,(D1319-C1319)*G1319)</f>
        <v>-257</v>
      </c>
      <c r="M1319" s="12">
        <v>514.99924999999996</v>
      </c>
      <c r="N1319" s="34" cm="1">
        <f t="array" ref="N1319">IFERROR((K1319-J1319)/J1319,"–")</f>
        <v>258</v>
      </c>
      <c r="O1319" s="33" cm="1">
        <f t="array" ref="O1319">IF(D1319=0,0,L1319-K1319)</f>
        <v>-257.19425000000001</v>
      </c>
      <c r="P1319" s="11"/>
      <c r="Q1319" s="35"/>
    </row>
    <row r="1320" spans="1:17" ht="22.5" customHeight="1">
      <c r="A1320" s="16" t="s">
        <v>55</v>
      </c>
      <c r="B1320" s="17">
        <v>44534</v>
      </c>
      <c r="C1320" s="37">
        <v>0.11260000000000001</v>
      </c>
      <c r="D1320" s="37">
        <v>0.11527999999999999</v>
      </c>
      <c r="E1320" s="19" cm="1">
        <f t="array" ref="E1320">IF(D1320="","",D1320-C1320)</f>
        <v>2.6799999999999879E-3</v>
      </c>
      <c r="F1320" s="20" cm="1">
        <f t="array" ref="F1320">IF(D1320=0,"",(D1320-C1320)/C1320)</f>
        <v>2.380106571936046E-2</v>
      </c>
      <c r="G1320" s="21">
        <v>173172.3</v>
      </c>
      <c r="H1320" s="22">
        <v>1</v>
      </c>
      <c r="I1320" s="23" cm="1">
        <f t="array" ref="I1320">IF(D1320="","",(G1320*C1320)*0.00075)</f>
        <v>14.624400735000002</v>
      </c>
      <c r="J1320" s="23" cm="1">
        <f t="array" ref="J1320">IF(D1320="","",(G1320*D1320)*0.00075)</f>
        <v>14.972477057999997</v>
      </c>
      <c r="K1320" s="24" cm="1">
        <f t="array" ref="K1320">IF(D1320="","",J1320+I1320)</f>
        <v>29.596877792999997</v>
      </c>
      <c r="L1320" s="24" cm="1">
        <f t="array" ref="L1320">IF(D1320=0,0,(D1320-C1320)*G1320)</f>
        <v>464.1017639999979</v>
      </c>
      <c r="M1320" s="25">
        <v>19020.126738941999</v>
      </c>
      <c r="N1320" s="26" cm="1">
        <f t="array" ref="N1320">IFERROR((K1320-J1320)/J1320,"–")</f>
        <v>0.97675225537820975</v>
      </c>
      <c r="O1320" s="24" cm="1">
        <f t="array" ref="O1320">IF(D1320=0,0,L1320-K1320)</f>
        <v>434.50488620699792</v>
      </c>
      <c r="P1320" s="23"/>
      <c r="Q1320" s="27"/>
    </row>
    <row r="1321" spans="1:17" ht="22.5" customHeight="1">
      <c r="A1321" s="16" t="s">
        <v>256</v>
      </c>
      <c r="B1321" s="28">
        <v>44535</v>
      </c>
      <c r="C1321" s="36">
        <v>5000</v>
      </c>
      <c r="D1321" s="36">
        <v>5347</v>
      </c>
      <c r="E1321" s="30" cm="1">
        <f t="array" ref="E1321">IF(D1321="","",D1321-C1321)</f>
        <v>347</v>
      </c>
      <c r="F1321" s="31" cm="1">
        <f t="array" ref="F1321">IF(D1321=0,"",(D1321-C1321)/C1321)</f>
        <v>6.9400000000000003E-2</v>
      </c>
      <c r="G1321" s="32">
        <v>1</v>
      </c>
      <c r="H1321" s="10">
        <v>1</v>
      </c>
      <c r="I1321" s="11" cm="1">
        <f t="array" ref="I1321">IF(D1321="","",(G1321*C1321)*0.00075)</f>
        <v>3.75</v>
      </c>
      <c r="J1321" s="11" cm="1">
        <f t="array" ref="J1321">IF(D1321="","",(G1321*D1321)*0.00075)</f>
        <v>4.0102500000000001</v>
      </c>
      <c r="K1321" s="33" cm="1">
        <f t="array" ref="K1321">IF(D1321="","",J1321+I1321)</f>
        <v>7.7602500000000001</v>
      </c>
      <c r="L1321" s="33" cm="1">
        <f t="array" ref="L1321">IF(D1321=0,0,(D1321-C1321)*G1321)</f>
        <v>347</v>
      </c>
      <c r="M1321" s="12">
        <v>4648.9897499999997</v>
      </c>
      <c r="N1321" s="34" cm="1">
        <f t="array" ref="N1321">IFERROR((K1321-J1321)/J1321,"–")</f>
        <v>0.93510379652141384</v>
      </c>
      <c r="O1321" s="33" cm="1">
        <f t="array" ref="O1321">IF(D1321=0,0,L1321-K1321)</f>
        <v>339.23975000000002</v>
      </c>
      <c r="P1321" s="11"/>
      <c r="Q1321" s="35"/>
    </row>
    <row r="1322" spans="1:17" ht="22.5" customHeight="1">
      <c r="A1322" s="16" t="s">
        <v>257</v>
      </c>
      <c r="B1322" s="17">
        <v>44535</v>
      </c>
      <c r="C1322" s="37">
        <v>0.84899999999999998</v>
      </c>
      <c r="D1322" s="37">
        <v>0.91117000000000004</v>
      </c>
      <c r="E1322" s="19" cm="1">
        <f t="array" ref="E1322">IF(D1322="","",D1322-C1322)</f>
        <v>6.2170000000000059E-2</v>
      </c>
      <c r="F1322" s="20" cm="1">
        <f t="array" ref="F1322">IF(D1322=0,"",(D1322-C1322)/C1322)</f>
        <v>7.3227326266195589E-2</v>
      </c>
      <c r="G1322" s="21">
        <v>71790.5</v>
      </c>
      <c r="H1322" s="22">
        <v>1</v>
      </c>
      <c r="I1322" s="23" cm="1">
        <f t="array" ref="I1322">IF(D1322="","",(G1322*C1322)*0.00075)</f>
        <v>45.712600875</v>
      </c>
      <c r="J1322" s="23" cm="1">
        <f t="array" ref="J1322">IF(D1322="","",(G1322*D1322)*0.00075)</f>
        <v>49.060012413750002</v>
      </c>
      <c r="K1322" s="24" cm="1">
        <f t="array" ref="K1322">IF(D1322="","",J1322+I1322)</f>
        <v>94.772613288749994</v>
      </c>
      <c r="L1322" s="24" cm="1">
        <f t="array" ref="L1322">IF(D1322=0,0,(D1322-C1322)*G1322)</f>
        <v>4463.2153850000041</v>
      </c>
      <c r="M1322" s="25">
        <v>56437.859102586299</v>
      </c>
      <c r="N1322" s="26" cm="1">
        <f t="array" ref="N1322">IFERROR((K1322-J1322)/J1322,"–")</f>
        <v>0.93176904419592377</v>
      </c>
      <c r="O1322" s="24" cm="1">
        <f t="array" ref="O1322">IF(D1322=0,0,L1322-K1322)*(0.81967)</f>
        <v>3580.6814866885634</v>
      </c>
      <c r="P1322" s="23"/>
      <c r="Q1322" s="27"/>
    </row>
    <row r="1323" spans="1:17" ht="22.5" customHeight="1">
      <c r="A1323" s="16" t="s">
        <v>46</v>
      </c>
      <c r="B1323" s="28">
        <v>44535</v>
      </c>
      <c r="C1323" s="36">
        <v>2.2549999999999999</v>
      </c>
      <c r="D1323" s="36">
        <v>2.2450000000000001</v>
      </c>
      <c r="E1323" s="30" cm="1">
        <f t="array" ref="E1323">IF(D1323="","",D1323-C1323)</f>
        <v>-9.9999999999997868E-3</v>
      </c>
      <c r="F1323" s="31" cm="1">
        <f t="array" ref="F1323">IF(D1323=0,"",(D1323-C1323)/C1323)</f>
        <v>-4.4345898004433644E-3</v>
      </c>
      <c r="G1323" s="32">
        <v>2210.4</v>
      </c>
      <c r="H1323" s="10">
        <v>1</v>
      </c>
      <c r="I1323" s="11" cm="1">
        <f t="array" ref="I1323">IF(D1323="","",(G1323*C1323)*0.00075)</f>
        <v>3.7383390000000003</v>
      </c>
      <c r="J1323" s="11" cm="1">
        <f t="array" ref="J1323">IF(D1323="","",(G1323*D1323)*0.00075)</f>
        <v>3.7217610000000008</v>
      </c>
      <c r="K1323" s="33" cm="1">
        <f t="array" ref="K1323">IF(D1323="","",J1323+I1323)</f>
        <v>7.4601000000000006</v>
      </c>
      <c r="L1323" s="33" cm="1">
        <f t="array" ref="L1323">IF(D1323=0,0,(D1323-C1323)*G1323)</f>
        <v>-22.10399999999953</v>
      </c>
      <c r="M1323" s="12">
        <v>5002.8342389999998</v>
      </c>
      <c r="N1323" s="34" cm="1">
        <f t="array" ref="N1323">IFERROR((K1323-J1323)/J1323,"–")</f>
        <v>1.0044543429844095</v>
      </c>
      <c r="O1323" s="33" cm="1">
        <f t="array" ref="O1323">IF(D1323=0,0,L1323-K1323)</f>
        <v>-29.564099999999531</v>
      </c>
      <c r="P1323" s="11"/>
      <c r="Q1323" s="57"/>
    </row>
    <row r="1324" spans="1:17" ht="22.5" customHeight="1">
      <c r="A1324" s="16" t="s">
        <v>58</v>
      </c>
      <c r="B1324" s="17">
        <v>44535</v>
      </c>
      <c r="C1324" s="37">
        <v>0.7994</v>
      </c>
      <c r="D1324" s="37">
        <v>0.79210000000000003</v>
      </c>
      <c r="E1324" s="19" cm="1">
        <f t="array" ref="E1324">IF(D1324="","",D1324-C1324)</f>
        <v>-7.2999999999999732E-3</v>
      </c>
      <c r="F1324" s="20" cm="1">
        <f t="array" ref="F1324">IF(D1324=0,"",(D1324-C1324)/C1324)</f>
        <v>-9.1318488866649651E-3</v>
      </c>
      <c r="G1324" s="21">
        <v>2022</v>
      </c>
      <c r="H1324" s="22">
        <v>1</v>
      </c>
      <c r="I1324" s="23" cm="1">
        <f t="array" ref="I1324">IF(D1324="","",(G1324*C1324)*0.00075)</f>
        <v>1.2122900999999999</v>
      </c>
      <c r="J1324" s="23" cm="1">
        <f t="array" ref="J1324">IF(D1324="","",(G1324*D1324)*0.00075)</f>
        <v>1.2012196500000001</v>
      </c>
      <c r="K1324" s="24" cm="1">
        <f t="array" ref="K1324">IF(D1324="","",J1324+I1324)</f>
        <v>2.4135097500000002</v>
      </c>
      <c r="L1324" s="24" cm="1">
        <f t="array" ref="L1324">IF(D1324=0,0,(D1324-C1324)*G1324)</f>
        <v>-14.760599999999945</v>
      </c>
      <c r="M1324" s="25">
        <v>1629.9461803500001</v>
      </c>
      <c r="N1324" s="26" cm="1">
        <f t="array" ref="N1324">IFERROR((K1324-J1324)/J1324,"–")</f>
        <v>1.0092160080797881</v>
      </c>
      <c r="O1324" s="24" cm="1">
        <f t="array" ref="O1324">IF(D1324=0,0,L1324-K1324)</f>
        <v>-17.174109749999946</v>
      </c>
      <c r="P1324" s="23"/>
      <c r="Q1324" s="27"/>
    </row>
    <row r="1325" spans="1:17" ht="22.5" customHeight="1">
      <c r="A1325" s="16" t="s">
        <v>34</v>
      </c>
      <c r="B1325" s="28">
        <v>44535</v>
      </c>
      <c r="C1325" s="36">
        <v>0.31719999999999998</v>
      </c>
      <c r="D1325" s="36">
        <v>0.31940000000000002</v>
      </c>
      <c r="E1325" s="30" cm="1">
        <f t="array" ref="E1325">IF(D1325="","",D1325-C1325)</f>
        <v>2.2000000000000353E-3</v>
      </c>
      <c r="F1325" s="31" cm="1">
        <f t="array" ref="F1325">IF(D1325=0,"",(D1325-C1325)/C1325)</f>
        <v>6.9356872635562275E-3</v>
      </c>
      <c r="G1325" s="32">
        <v>2023</v>
      </c>
      <c r="H1325" s="10">
        <v>1</v>
      </c>
      <c r="I1325" s="11" cm="1">
        <f t="array" ref="I1325">IF(D1325="","",(G1325*C1325)*0.00075)</f>
        <v>0.48127170000000002</v>
      </c>
      <c r="J1325" s="11" cm="1">
        <f t="array" ref="J1325">IF(D1325="","",(G1325*D1325)*0.00075)</f>
        <v>0.48460965</v>
      </c>
      <c r="K1325" s="33" cm="1">
        <f t="array" ref="K1325">IF(D1325="","",J1325+I1325)</f>
        <v>0.96588135000000008</v>
      </c>
      <c r="L1325" s="33" cm="1">
        <f t="array" ref="L1325">IF(D1325=0,0,(D1325-C1325)*G1325)</f>
        <v>4.4506000000000716</v>
      </c>
      <c r="M1325" s="12">
        <v>636.76039034999997</v>
      </c>
      <c r="N1325" s="34" cm="1">
        <f t="array" ref="N1325">IFERROR((K1325-J1325)/J1325,"–")</f>
        <v>0.99311208515967453</v>
      </c>
      <c r="O1325" s="33" cm="1">
        <f t="array" ref="O1325">IF(D1325=0,0,L1325-K1325)</f>
        <v>3.4847186500000715</v>
      </c>
      <c r="P1325" s="11"/>
      <c r="Q1325" s="35"/>
    </row>
    <row r="1326" spans="1:17" ht="22.5" customHeight="1">
      <c r="A1326" s="16" t="s">
        <v>49</v>
      </c>
      <c r="B1326" s="17">
        <v>44535</v>
      </c>
      <c r="C1326" s="37">
        <v>16.748000000000001</v>
      </c>
      <c r="D1326" s="37">
        <v>17.149999999999999</v>
      </c>
      <c r="E1326" s="19" cm="1">
        <f t="array" ref="E1326">IF(D1326="","",D1326-C1326)</f>
        <v>0.40199999999999747</v>
      </c>
      <c r="F1326" s="20" cm="1">
        <f t="array" ref="F1326">IF(D1326=0,"",(D1326-C1326)/C1326)</f>
        <v>2.4002866013852247E-2</v>
      </c>
      <c r="G1326" s="21">
        <v>600</v>
      </c>
      <c r="H1326" s="22">
        <v>1</v>
      </c>
      <c r="I1326" s="23" cm="1">
        <f t="array" ref="I1326">IF(D1326="","",(G1326*C1326)*0.00075)</f>
        <v>7.5366000000000009</v>
      </c>
      <c r="J1326" s="23" cm="1">
        <f t="array" ref="J1326">IF(D1326="","",(G1326*D1326)*0.00075)</f>
        <v>7.7175000000000002</v>
      </c>
      <c r="K1326" s="24" cm="1">
        <f t="array" ref="K1326">IF(D1326="","",J1326+I1326)</f>
        <v>15.254100000000001</v>
      </c>
      <c r="L1326" s="24" cm="1">
        <f t="array" ref="L1326">IF(D1326=0,0,(D1326-C1326)*G1326)</f>
        <v>241.19999999999848</v>
      </c>
      <c r="M1326" s="25">
        <v>9799.8824999999997</v>
      </c>
      <c r="N1326" s="26" cm="1">
        <f t="array" ref="N1326">IFERROR((K1326-J1326)/J1326,"–")</f>
        <v>0.97655976676384848</v>
      </c>
      <c r="O1326" s="24" cm="1">
        <f t="array" ref="O1326">IF(D1326=0,0,L1326-K1326)</f>
        <v>225.94589999999849</v>
      </c>
      <c r="P1326" s="23"/>
      <c r="Q1326" s="27"/>
    </row>
    <row r="1327" spans="1:17" ht="22.5" customHeight="1">
      <c r="A1327" s="16" t="s">
        <v>173</v>
      </c>
      <c r="B1327" s="28">
        <v>44535</v>
      </c>
      <c r="C1327" s="36">
        <v>6.258</v>
      </c>
      <c r="D1327" s="36">
        <v>6.44</v>
      </c>
      <c r="E1327" s="30" cm="1">
        <f t="array" ref="E1327">IF(D1327="","",D1327-C1327)</f>
        <v>0.18200000000000038</v>
      </c>
      <c r="F1327" s="31" cm="1">
        <f t="array" ref="F1327">IF(D1327=0,"",(D1327-C1327)/C1327)</f>
        <v>2.9082774049217063E-2</v>
      </c>
      <c r="G1327" s="32">
        <v>875</v>
      </c>
      <c r="H1327" s="10">
        <v>1</v>
      </c>
      <c r="I1327" s="11" cm="1">
        <f t="array" ref="I1327">IF(D1327="","",(G1327*C1327)*0.00075)</f>
        <v>4.1068125000000002</v>
      </c>
      <c r="J1327" s="11" cm="1">
        <f t="array" ref="J1327">IF(D1327="","",(G1327*D1327)*0.00075)</f>
        <v>4.2262500000000003</v>
      </c>
      <c r="K1327" s="33" cm="1">
        <f t="array" ref="K1327">IF(D1327="","",J1327+I1327)</f>
        <v>8.3330625000000005</v>
      </c>
      <c r="L1327" s="33" cm="1">
        <f t="array" ref="L1327">IF(D1327=0,0,(D1327-C1327)*G1327)</f>
        <v>159.25000000000034</v>
      </c>
      <c r="M1327" s="12">
        <v>5312.2737500000003</v>
      </c>
      <c r="N1327" s="34" cm="1">
        <f t="array" ref="N1327">IFERROR((K1327-J1327)/J1327,"–")</f>
        <v>0.97173913043478255</v>
      </c>
      <c r="O1327" s="33" cm="1">
        <f t="array" ref="O1327">IF(D1327=0,0,L1327-K1327)</f>
        <v>150.91693750000033</v>
      </c>
      <c r="P1327" s="11"/>
      <c r="Q1327" s="35"/>
    </row>
    <row r="1328" spans="1:17" ht="22.5" customHeight="1">
      <c r="A1328" s="16" t="s">
        <v>234</v>
      </c>
      <c r="B1328" s="17">
        <v>44535</v>
      </c>
      <c r="C1328" s="37">
        <v>11.57</v>
      </c>
      <c r="D1328" s="37">
        <v>13.25</v>
      </c>
      <c r="E1328" s="19" cm="1">
        <f t="array" ref="E1328">IF(D1328="","",D1328-C1328)</f>
        <v>1.6799999999999997</v>
      </c>
      <c r="F1328" s="20" cm="1">
        <f t="array" ref="F1328">IF(D1328=0,"",(D1328-C1328)/C1328)</f>
        <v>0.14520311149524631</v>
      </c>
      <c r="G1328" s="21">
        <v>121.801</v>
      </c>
      <c r="H1328" s="22">
        <v>1</v>
      </c>
      <c r="I1328" s="23" cm="1">
        <f t="array" ref="I1328">IF(D1328="","",(G1328*C1328)*0.00075)</f>
        <v>1.0569281775000001</v>
      </c>
      <c r="J1328" s="23" cm="1">
        <f t="array" ref="J1328">IF(D1328="","",(G1328*D1328)*0.00075)</f>
        <v>1.2103974375000002</v>
      </c>
      <c r="K1328" s="24" cm="1">
        <f t="array" ref="K1328">IF(D1328="","",J1328+I1328)</f>
        <v>2.2673256150000003</v>
      </c>
      <c r="L1328" s="24" cm="1">
        <f t="array" ref="L1328">IF(D1328=0,0,(D1328-C1328)*G1328)</f>
        <v>204.62567999999996</v>
      </c>
      <c r="M1328" s="25">
        <v>1203.4014925624999</v>
      </c>
      <c r="N1328" s="26" cm="1">
        <f t="array" ref="N1328">IFERROR((K1328-J1328)/J1328,"–")</f>
        <v>0.8732075471698113</v>
      </c>
      <c r="O1328" s="24" cm="1">
        <f t="array" ref="O1328">IF(D1328=0,0,L1328-K1328)/2</f>
        <v>101.17917719249998</v>
      </c>
      <c r="P1328" s="23"/>
      <c r="Q1328" s="27"/>
    </row>
    <row r="1329" spans="1:17" ht="22.5" customHeight="1">
      <c r="A1329" s="16" t="s">
        <v>258</v>
      </c>
      <c r="B1329" s="28">
        <v>44536</v>
      </c>
      <c r="C1329" s="36">
        <v>1</v>
      </c>
      <c r="D1329" s="36">
        <v>201</v>
      </c>
      <c r="E1329" s="30" cm="1">
        <f t="array" ref="E1329">IF(D1329="","",D1329-C1329)</f>
        <v>200</v>
      </c>
      <c r="F1329" s="31" cm="1">
        <f t="array" ref="F1329">IF(D1329=0,"",(D1329-C1329)/C1329)</f>
        <v>200</v>
      </c>
      <c r="G1329" s="32">
        <v>1</v>
      </c>
      <c r="H1329" s="10">
        <v>1</v>
      </c>
      <c r="I1329" s="11" cm="1">
        <f t="array" ref="I1329">IF(D1329="","",(G1329*C1329)*0.00075)</f>
        <v>7.5000000000000002E-4</v>
      </c>
      <c r="J1329" s="11" cm="1">
        <f t="array" ref="J1329">IF(D1329="","",(G1329*D1329)*0.00075)</f>
        <v>0.15075</v>
      </c>
      <c r="K1329" s="33" cm="1">
        <f t="array" ref="K1329">IF(D1329="","",J1329+I1329)</f>
        <v>0.1515</v>
      </c>
      <c r="L1329" s="33" cm="1">
        <f t="array" ref="L1329">IF(D1329=0,0,(D1329-C1329)*G1329)</f>
        <v>200</v>
      </c>
      <c r="M1329" s="12">
        <v>-199.15074999999999</v>
      </c>
      <c r="N1329" s="34" cm="1">
        <f t="array" ref="N1329">IFERROR((K1329-J1329)/J1329,"–")</f>
        <v>4.975124378109457E-3</v>
      </c>
      <c r="O1329" s="33" cm="1">
        <f t="array" ref="O1329">IF(D1329=0,0,L1329-K1329)</f>
        <v>199.8485</v>
      </c>
      <c r="P1329" s="11"/>
      <c r="Q1329" s="35"/>
    </row>
    <row r="1330" spans="1:17" ht="22.5" customHeight="1">
      <c r="A1330" s="16" t="s">
        <v>106</v>
      </c>
      <c r="B1330" s="17">
        <v>44537</v>
      </c>
      <c r="C1330" s="37">
        <v>0.76459999999999995</v>
      </c>
      <c r="D1330" s="37">
        <v>0.79745999999999995</v>
      </c>
      <c r="E1330" s="19" cm="1">
        <f t="array" ref="E1330">IF(D1330="","",D1330-C1330)</f>
        <v>3.286E-2</v>
      </c>
      <c r="F1330" s="20" cm="1">
        <f t="array" ref="F1330">IF(D1330=0,"",(D1330-C1330)/C1330)</f>
        <v>4.2976719853518183E-2</v>
      </c>
      <c r="G1330" s="21">
        <v>19618</v>
      </c>
      <c r="H1330" s="22">
        <v>1</v>
      </c>
      <c r="I1330" s="23" cm="1">
        <f t="array" ref="I1330">IF(D1330="","",(G1330*C1330)*0.00075)</f>
        <v>11.249942099999998</v>
      </c>
      <c r="J1330" s="23" cm="1">
        <f t="array" ref="J1330">IF(D1330="","",(G1330*D1330)*0.00075)</f>
        <v>11.733427709999999</v>
      </c>
      <c r="K1330" s="24" cm="1">
        <f t="array" ref="K1330">IF(D1330="","",J1330+I1330)</f>
        <v>22.983369809999999</v>
      </c>
      <c r="L1330" s="24" cm="1">
        <f t="array" ref="L1330">IF(D1330=0,0,(D1330-C1330)*G1330)</f>
        <v>644.64747999999997</v>
      </c>
      <c r="M1330" s="25">
        <v>14343.541892290001</v>
      </c>
      <c r="N1330" s="26" cm="1">
        <f t="array" ref="N1330">IFERROR((K1330-J1330)/J1330,"–")</f>
        <v>0.95879417149449508</v>
      </c>
      <c r="O1330" s="24" cm="1">
        <f t="array" ref="O1330">IF(D1330=0,0,L1330-K1330)</f>
        <v>621.66411018999997</v>
      </c>
      <c r="P1330" s="23"/>
      <c r="Q1330" s="27"/>
    </row>
    <row r="1331" spans="1:17" ht="22.5" customHeight="1">
      <c r="A1331" s="16" t="s">
        <v>113</v>
      </c>
      <c r="B1331" s="28">
        <v>44537</v>
      </c>
      <c r="C1331" s="36">
        <v>8.269E-2</v>
      </c>
      <c r="D1331" s="36">
        <v>8.2000000000000003E-2</v>
      </c>
      <c r="E1331" s="30" cm="1">
        <f t="array" ref="E1331">IF(D1331="","",D1331-C1331)</f>
        <v>-6.8999999999999617E-4</v>
      </c>
      <c r="F1331" s="31" cm="1">
        <f t="array" ref="F1331">IF(D1331=0,"",(D1331-C1331)/C1331)</f>
        <v>-8.3444189140161589E-3</v>
      </c>
      <c r="G1331" s="32">
        <v>278146</v>
      </c>
      <c r="H1331" s="10">
        <v>1</v>
      </c>
      <c r="I1331" s="11" cm="1">
        <f t="array" ref="I1331">IF(D1331="","",(G1331*C1331)*0.00075)</f>
        <v>17.249919554999998</v>
      </c>
      <c r="J1331" s="11" cm="1">
        <f t="array" ref="J1331">IF(D1331="","",(G1331*D1331)*0.00075)</f>
        <v>17.105979000000001</v>
      </c>
      <c r="K1331" s="33" cm="1">
        <f t="array" ref="K1331">IF(D1331="","",J1331+I1331)</f>
        <v>34.355898554999996</v>
      </c>
      <c r="L1331" s="33" cm="1">
        <f t="array" ref="L1331">IF(D1331=0,0,(D1331-C1331)*G1331)</f>
        <v>-191.92073999999894</v>
      </c>
      <c r="M1331" s="12">
        <v>23174.707501000001</v>
      </c>
      <c r="N1331" s="34" cm="1">
        <f t="array" ref="N1331">IFERROR((K1331-J1331)/J1331,"–")</f>
        <v>1.0084146341463411</v>
      </c>
      <c r="O1331" s="33" cm="1">
        <f t="array" ref="O1331">IF(D1331=0,0,L1331-K1331)</f>
        <v>-226.27663855499895</v>
      </c>
      <c r="P1331" s="11"/>
      <c r="Q1331" s="35"/>
    </row>
    <row r="1332" spans="1:17" ht="22.5" customHeight="1">
      <c r="A1332" s="16" t="s">
        <v>194</v>
      </c>
      <c r="B1332" s="17">
        <v>44537</v>
      </c>
      <c r="C1332" s="37">
        <v>7.17E-2</v>
      </c>
      <c r="D1332" s="37">
        <v>7.1400000000000005E-2</v>
      </c>
      <c r="E1332" s="19" cm="1">
        <f t="array" ref="E1332">IF(D1332="","",D1332-C1332)</f>
        <v>-2.9999999999999472E-4</v>
      </c>
      <c r="F1332" s="20" cm="1">
        <f t="array" ref="F1332">IF(D1332=0,"",(D1332-C1332)/C1332)</f>
        <v>-4.1841004184099678E-3</v>
      </c>
      <c r="G1332" s="21">
        <v>209199</v>
      </c>
      <c r="H1332" s="22">
        <v>1</v>
      </c>
      <c r="I1332" s="23" cm="1">
        <f t="array" ref="I1332">IF(D1332="","",(G1332*C1332)*0.00075)</f>
        <v>11.249676225</v>
      </c>
      <c r="J1332" s="23" cm="1">
        <f t="array" ref="J1332">IF(D1332="","",(G1332*D1332)*0.00075)</f>
        <v>11.202606450000001</v>
      </c>
      <c r="K1332" s="24" cm="1">
        <f t="array" ref="K1332">IF(D1332="","",J1332+I1332)</f>
        <v>22.452282674999999</v>
      </c>
      <c r="L1332" s="24" cm="1">
        <f t="array" ref="L1332">IF(D1332=0,0,(D1332-C1332)*G1332)</f>
        <v>-62.759699999998894</v>
      </c>
      <c r="M1332" s="25">
        <v>15051.125393550001</v>
      </c>
      <c r="N1332" s="26" cm="1">
        <f t="array" ref="N1332">IFERROR((K1332-J1332)/J1332,"–")</f>
        <v>1.0042016806722687</v>
      </c>
      <c r="O1332" s="24" cm="1">
        <f t="array" ref="O1332">IF(D1332=0,0,L1332-K1332)</f>
        <v>-85.211982674998893</v>
      </c>
      <c r="P1332" s="23"/>
      <c r="Q1332" s="27"/>
    </row>
    <row r="1333" spans="1:17" ht="22.5" customHeight="1">
      <c r="A1333" s="16" t="s">
        <v>49</v>
      </c>
      <c r="B1333" s="28">
        <v>44537</v>
      </c>
      <c r="C1333" s="36">
        <v>16.646999999999998</v>
      </c>
      <c r="D1333" s="36">
        <v>16.97</v>
      </c>
      <c r="E1333" s="30" cm="1">
        <f t="array" ref="E1333">IF(D1333="","",D1333-C1333)</f>
        <v>0.3230000000000004</v>
      </c>
      <c r="F1333" s="31" cm="1">
        <f t="array" ref="F1333">IF(D1333=0,"",(D1333-C1333)/C1333)</f>
        <v>1.9402895416591605E-2</v>
      </c>
      <c r="G1333" s="32">
        <v>100</v>
      </c>
      <c r="H1333" s="10">
        <v>1</v>
      </c>
      <c r="I1333" s="11" cm="1">
        <f t="array" ref="I1333">IF(D1333="","",(G1333*C1333)*0.00075)</f>
        <v>1.2485249999999999</v>
      </c>
      <c r="J1333" s="11" cm="1">
        <f t="array" ref="J1333">IF(D1333="","",(G1333*D1333)*0.00075)</f>
        <v>1.27275</v>
      </c>
      <c r="K1333" s="33" cm="1">
        <f t="array" ref="K1333">IF(D1333="","",J1333+I1333)</f>
        <v>2.5212750000000002</v>
      </c>
      <c r="L1333" s="33" cm="1">
        <f t="array" ref="L1333">IF(D1333=0,0,(D1333-C1333)*G1333)</f>
        <v>32.30000000000004</v>
      </c>
      <c r="M1333" s="12">
        <v>1631.12725</v>
      </c>
      <c r="N1333" s="34" cm="1">
        <f t="array" ref="N1333">IFERROR((K1333-J1333)/J1333,"–")</f>
        <v>0.98096641131408369</v>
      </c>
      <c r="O1333" s="33" cm="1">
        <f t="array" ref="O1333">IF(D1333=0,0,L1333-K1333)</f>
        <v>29.778725000000041</v>
      </c>
      <c r="P1333" s="11"/>
      <c r="Q1333" s="35"/>
    </row>
    <row r="1334" spans="1:17" ht="22.5" customHeight="1">
      <c r="A1334" s="16" t="s">
        <v>83</v>
      </c>
      <c r="B1334" s="17">
        <v>44538</v>
      </c>
      <c r="C1334" s="37">
        <v>2.5679469999999999E-2</v>
      </c>
      <c r="D1334" s="37">
        <v>2.708E-2</v>
      </c>
      <c r="E1334" s="19" cm="1">
        <f t="array" ref="E1334">IF(D1334="","",D1334-C1334)</f>
        <v>1.4005300000000005E-3</v>
      </c>
      <c r="F1334" s="20" cm="1">
        <f t="array" ref="F1334">IF(D1334=0,"",(D1334-C1334)/C1334)</f>
        <v>5.4538898193771154E-2</v>
      </c>
      <c r="G1334" s="21">
        <v>1012482</v>
      </c>
      <c r="H1334" s="22">
        <v>1</v>
      </c>
      <c r="I1334" s="23" cm="1">
        <f t="array" ref="I1334">IF(D1334="","",(G1334*C1334)*0.00075)</f>
        <v>19.500000858404999</v>
      </c>
      <c r="J1334" s="23" cm="1">
        <f t="array" ref="J1334">IF(D1334="","",(G1334*D1334)*0.00075)</f>
        <v>20.563509419999999</v>
      </c>
      <c r="K1334" s="24" cm="1">
        <f t="array" ref="K1334">IF(D1334="","",J1334+I1334)</f>
        <v>40.063510278404998</v>
      </c>
      <c r="L1334" s="24" cm="1">
        <f t="array" ref="L1334">IF(D1334=0,0,(D1334-C1334)*G1334)</f>
        <v>1418.0114154600005</v>
      </c>
      <c r="M1334" s="25">
        <v>24561.426219659999</v>
      </c>
      <c r="N1334" s="26" cm="1">
        <f t="array" ref="N1334">IFERROR((K1334-J1334)/J1334,"–")</f>
        <v>0.94828175775480061</v>
      </c>
      <c r="O1334" s="24" cm="1">
        <f t="array" ref="O1334">IF(D1334=0,0,L1334-K1334)</f>
        <v>1377.9479051815956</v>
      </c>
      <c r="P1334" s="23"/>
      <c r="Q1334" s="27"/>
    </row>
    <row r="1335" spans="1:17" ht="22.5" customHeight="1">
      <c r="A1335" s="16" t="s">
        <v>182</v>
      </c>
      <c r="B1335" s="28">
        <v>44538</v>
      </c>
      <c r="C1335" s="36">
        <v>0.59970000000000001</v>
      </c>
      <c r="D1335" s="36">
        <v>0.59630000000000005</v>
      </c>
      <c r="E1335" s="30" cm="1">
        <f t="array" ref="E1335">IF(D1335="","",D1335-C1335)</f>
        <v>-3.3999999999999586E-3</v>
      </c>
      <c r="F1335" s="31" cm="1">
        <f t="array" ref="F1335">IF(D1335=0,"",(D1335-C1335)/C1335)</f>
        <v>-5.6695014173752849E-3</v>
      </c>
      <c r="G1335" s="32">
        <v>25009</v>
      </c>
      <c r="H1335" s="10">
        <v>1</v>
      </c>
      <c r="I1335" s="11" cm="1">
        <f t="array" ref="I1335">IF(D1335="","",(G1335*C1335)*0.00075)</f>
        <v>11.248422975</v>
      </c>
      <c r="J1335" s="11" cm="1">
        <f t="array" ref="J1335">IF(D1335="","",(G1335*D1335)*0.00075)</f>
        <v>11.184650025</v>
      </c>
      <c r="K1335" s="33" cm="1">
        <f t="array" ref="K1335">IF(D1335="","",J1335+I1335)</f>
        <v>22.433073</v>
      </c>
      <c r="L1335" s="33" cm="1">
        <f t="array" ref="L1335">IF(D1335=0,0,(D1335-C1335)*G1335)</f>
        <v>-85.030599999998969</v>
      </c>
      <c r="M1335" s="12">
        <v>15071.743249974999</v>
      </c>
      <c r="N1335" s="34" cm="1">
        <f t="array" ref="N1335">IFERROR((K1335-J1335)/J1335,"–")</f>
        <v>1.0057018279389569</v>
      </c>
      <c r="O1335" s="33" cm="1">
        <f t="array" ref="O1335">IF(D1335=0,0,L1335-K1335)</f>
        <v>-107.46367299999898</v>
      </c>
      <c r="P1335" s="11"/>
      <c r="Q1335" s="35"/>
    </row>
    <row r="1336" spans="1:17" ht="22.5" customHeight="1">
      <c r="A1336" s="16" t="s">
        <v>248</v>
      </c>
      <c r="B1336" s="17">
        <v>44538</v>
      </c>
      <c r="C1336" s="37">
        <v>0.63519999999999999</v>
      </c>
      <c r="D1336" s="37">
        <v>0.62560000000000004</v>
      </c>
      <c r="E1336" s="19" cm="1">
        <f t="array" ref="E1336">IF(D1336="","",D1336-C1336)</f>
        <v>-9.5999999999999419E-3</v>
      </c>
      <c r="F1336" s="20" cm="1">
        <f t="array" ref="F1336">IF(D1336=0,"",(D1336-C1336)/C1336)</f>
        <v>-1.5113350125944494E-2</v>
      </c>
      <c r="G1336" s="21">
        <v>23613.599999999999</v>
      </c>
      <c r="H1336" s="22">
        <v>1</v>
      </c>
      <c r="I1336" s="23" cm="1">
        <f t="array" ref="I1336">IF(D1336="","",(G1336*C1336)*0.00075)</f>
        <v>11.249519039999999</v>
      </c>
      <c r="J1336" s="23" cm="1">
        <f t="array" ref="J1336">IF(D1336="","",(G1336*D1336)*0.00075)</f>
        <v>11.07950112</v>
      </c>
      <c r="K1336" s="24" cm="1">
        <f t="array" ref="K1336">IF(D1336="","",J1336+I1336)</f>
        <v>22.329020159999999</v>
      </c>
      <c r="L1336" s="24" cm="1">
        <f t="array" ref="L1336">IF(D1336=0,0,(D1336-C1336)*G1336)</f>
        <v>-226.69055999999861</v>
      </c>
      <c r="M1336" s="25">
        <v>15214.96977888</v>
      </c>
      <c r="N1336" s="26" cm="1">
        <f t="array" ref="N1336">IFERROR((K1336-J1336)/J1336,"–")</f>
        <v>1.0153452685421995</v>
      </c>
      <c r="O1336" s="24" cm="1">
        <f t="array" ref="O1336">IF(D1336=0,0,L1336-K1336)</f>
        <v>-249.01958015999861</v>
      </c>
      <c r="P1336" s="23"/>
      <c r="Q1336" s="27"/>
    </row>
    <row r="1337" spans="1:17" ht="22.5" customHeight="1">
      <c r="A1337" s="16" t="s">
        <v>96</v>
      </c>
      <c r="B1337" s="28">
        <v>44538</v>
      </c>
      <c r="C1337" s="36">
        <v>0.11938</v>
      </c>
      <c r="D1337" s="36">
        <v>0.121299</v>
      </c>
      <c r="E1337" s="30" cm="1">
        <f t="array" ref="E1337">IF(D1337="","",D1337-C1337)</f>
        <v>1.919000000000004E-3</v>
      </c>
      <c r="F1337" s="31" cm="1">
        <f t="array" ref="F1337">IF(D1337=0,"",(D1337-C1337)/C1337)</f>
        <v>1.6074719383481356E-2</v>
      </c>
      <c r="G1337" s="32">
        <v>125643.4</v>
      </c>
      <c r="H1337" s="10">
        <v>1</v>
      </c>
      <c r="I1337" s="11" cm="1">
        <f t="array" ref="I1337">IF(D1337="","",(G1337*C1337)*0.00075)</f>
        <v>11.249481819</v>
      </c>
      <c r="J1337" s="11" cm="1">
        <f t="array" ref="J1337">IF(D1337="","",(G1337*D1337)*0.00075)</f>
        <v>11.43031408245</v>
      </c>
      <c r="K1337" s="33" cm="1">
        <f t="array" ref="K1337">IF(D1337="","",J1337+I1337)</f>
        <v>22.679795901449999</v>
      </c>
      <c r="L1337" s="33" cm="1">
        <f t="array" ref="L1337">IF(D1337=0,0,(D1337-C1337)*G1337)</f>
        <v>241.10968460000049</v>
      </c>
      <c r="M1337" s="12">
        <v>14746.7690933176</v>
      </c>
      <c r="N1337" s="34" cm="1">
        <f t="array" ref="N1337">IFERROR((K1337-J1337)/J1337,"–")</f>
        <v>0.98417958927938398</v>
      </c>
      <c r="O1337" s="33" cm="1">
        <f t="array" ref="O1337">IF(D1337=0,0,L1337-K1337)</f>
        <v>218.42988869855049</v>
      </c>
      <c r="P1337" s="11"/>
      <c r="Q1337" s="35"/>
    </row>
    <row r="1338" spans="1:17" ht="22.5" customHeight="1">
      <c r="A1338" s="16" t="s">
        <v>163</v>
      </c>
      <c r="B1338" s="17">
        <v>44538</v>
      </c>
      <c r="C1338" s="37">
        <v>0.59940000000000004</v>
      </c>
      <c r="D1338" s="37">
        <v>0.64</v>
      </c>
      <c r="E1338" s="19" cm="1">
        <f t="array" ref="E1338">IF(D1338="","",D1338-C1338)</f>
        <v>4.0599999999999969E-2</v>
      </c>
      <c r="F1338" s="20" cm="1">
        <f t="array" ref="F1338">IF(D1338=0,"",(D1338-C1338)/C1338)</f>
        <v>6.7734401067734346E-2</v>
      </c>
      <c r="G1338" s="21">
        <v>25022</v>
      </c>
      <c r="H1338" s="22">
        <v>1</v>
      </c>
      <c r="I1338" s="23" cm="1">
        <f t="array" ref="I1338">IF(D1338="","",(G1338*C1338)*0.00075)</f>
        <v>11.248640100000001</v>
      </c>
      <c r="J1338" s="23" cm="1">
        <f t="array" ref="J1338">IF(D1338="","",(G1338*D1338)*0.00075)</f>
        <v>12.01056</v>
      </c>
      <c r="K1338" s="24" cm="1">
        <f t="array" ref="K1338">IF(D1338="","",J1338+I1338)</f>
        <v>23.259200100000001</v>
      </c>
      <c r="L1338" s="24" cm="1">
        <f t="array" ref="L1338">IF(D1338=0,0,(D1338-C1338)*G1338)</f>
        <v>1015.8931999999992</v>
      </c>
      <c r="M1338" s="25">
        <v>13970.28304</v>
      </c>
      <c r="N1338" s="26" cm="1">
        <f t="array" ref="N1338">IFERROR((K1338-J1338)/J1338,"–")</f>
        <v>0.93656250000000008</v>
      </c>
      <c r="O1338" s="24" cm="1">
        <f t="array" ref="O1338">IF(D1338=0,0,L1338-K1338)</f>
        <v>992.63399989999914</v>
      </c>
      <c r="P1338" s="23"/>
      <c r="Q1338" s="27"/>
    </row>
    <row r="1339" spans="1:17" ht="22.5" customHeight="1">
      <c r="A1339" s="16" t="s">
        <v>67</v>
      </c>
      <c r="B1339" s="28">
        <v>44538</v>
      </c>
      <c r="C1339" s="36">
        <v>0.76639000000000002</v>
      </c>
      <c r="D1339" s="36">
        <v>0.77144000000000001</v>
      </c>
      <c r="E1339" s="30" cm="1">
        <f t="array" ref="E1339">IF(D1339="","",D1339-C1339)</f>
        <v>5.0499999999999989E-3</v>
      </c>
      <c r="F1339" s="31" cm="1">
        <f t="array" ref="F1339">IF(D1339=0,"",(D1339-C1339)/C1339)</f>
        <v>6.5893344119834531E-3</v>
      </c>
      <c r="G1339" s="32">
        <v>49582</v>
      </c>
      <c r="H1339" s="10">
        <v>1</v>
      </c>
      <c r="I1339" s="11" cm="1">
        <f t="array" ref="I1339">IF(D1339="","",(G1339*C1339)*0.00075)</f>
        <v>28.499361735000001</v>
      </c>
      <c r="J1339" s="11" cm="1">
        <f t="array" ref="J1339">IF(D1339="","",(G1339*D1339)*0.00075)</f>
        <v>28.687153559999999</v>
      </c>
      <c r="K1339" s="33" cm="1">
        <f t="array" ref="K1339">IF(D1339="","",J1339+I1339)</f>
        <v>57.186515295</v>
      </c>
      <c r="L1339" s="33" cm="1">
        <f t="array" ref="L1339">IF(D1339=0,0,(D1339-C1339)*G1339)</f>
        <v>250.38909999999996</v>
      </c>
      <c r="M1339" s="12">
        <v>37720.072726439997</v>
      </c>
      <c r="N1339" s="34" cm="1">
        <f t="array" ref="N1339">IFERROR((K1339-J1339)/J1339,"–")</f>
        <v>0.99345380068443434</v>
      </c>
      <c r="O1339" s="33" cm="1">
        <f t="array" ref="O1339">IF(D1339=0,0,L1339-K1339)</f>
        <v>193.20258470499996</v>
      </c>
      <c r="P1339" s="11"/>
      <c r="Q1339" s="35"/>
    </row>
    <row r="1340" spans="1:17" ht="22.5" customHeight="1">
      <c r="A1340" s="16" t="s">
        <v>170</v>
      </c>
      <c r="B1340" s="17">
        <v>44538</v>
      </c>
      <c r="C1340" s="37">
        <v>0.80900000000000005</v>
      </c>
      <c r="D1340" s="37">
        <v>0.82399999999999995</v>
      </c>
      <c r="E1340" s="19" cm="1">
        <f t="array" ref="E1340">IF(D1340="","",D1340-C1340)</f>
        <v>1.4999999999999902E-2</v>
      </c>
      <c r="F1340" s="20" cm="1">
        <f t="array" ref="F1340">IF(D1340=0,"",(D1340-C1340)/C1340)</f>
        <v>1.8541409147095057E-2</v>
      </c>
      <c r="G1340" s="21">
        <v>46971</v>
      </c>
      <c r="H1340" s="22">
        <v>1</v>
      </c>
      <c r="I1340" s="23" cm="1">
        <f t="array" ref="I1340">IF(D1340="","",(G1340*C1340)*0.00075)</f>
        <v>28.499654250000003</v>
      </c>
      <c r="J1340" s="23" cm="1">
        <f t="array" ref="J1340">IF(D1340="","",(G1340*D1340)*0.00075)</f>
        <v>29.028078000000001</v>
      </c>
      <c r="K1340" s="24" cm="1">
        <f t="array" ref="K1340">IF(D1340="","",J1340+I1340)</f>
        <v>57.52773225</v>
      </c>
      <c r="L1340" s="24" cm="1">
        <f t="array" ref="L1340">IF(D1340=0,0,(D1340-C1340)*G1340)</f>
        <v>704.56499999999539</v>
      </c>
      <c r="M1340" s="25">
        <v>37265.945921999999</v>
      </c>
      <c r="N1340" s="26" cm="1">
        <f t="array" ref="N1340">IFERROR((K1340-J1340)/J1340,"–")</f>
        <v>0.98179611650485432</v>
      </c>
      <c r="O1340" s="24" cm="1">
        <f t="array" ref="O1340">IF(D1340=0,0,L1340-K1340)*0.63157</f>
        <v>408.64932719286458</v>
      </c>
      <c r="P1340" s="23"/>
      <c r="Q1340" s="38"/>
    </row>
    <row r="1341" spans="1:17" ht="22.5" customHeight="1">
      <c r="A1341" s="16" t="s">
        <v>83</v>
      </c>
      <c r="B1341" s="28">
        <v>44538</v>
      </c>
      <c r="C1341" s="36">
        <v>2.598E-2</v>
      </c>
      <c r="D1341" s="36">
        <v>2.6127999999999998E-2</v>
      </c>
      <c r="E1341" s="30" cm="1">
        <f t="array" ref="E1341">IF(D1341="","",D1341-C1341)</f>
        <v>1.4799999999999883E-4</v>
      </c>
      <c r="F1341" s="31" cm="1">
        <f t="array" ref="F1341">IF(D1341=0,"",(D1341-C1341)/C1341)</f>
        <v>5.6966897613548433E-3</v>
      </c>
      <c r="G1341" s="32">
        <v>1154691</v>
      </c>
      <c r="H1341" s="10">
        <v>1</v>
      </c>
      <c r="I1341" s="11" cm="1">
        <f t="array" ref="I1341">IF(D1341="","",(G1341*C1341)*0.00075)</f>
        <v>22.499154134999998</v>
      </c>
      <c r="J1341" s="11" cm="1">
        <f t="array" ref="J1341">IF(D1341="","",(G1341*D1341)*0.00075)</f>
        <v>22.627324836</v>
      </c>
      <c r="K1341" s="33" cm="1">
        <f t="array" ref="K1341">IF(D1341="","",J1341+I1341)</f>
        <v>45.126478970999997</v>
      </c>
      <c r="L1341" s="33" cm="1">
        <f t="array" ref="L1341">IF(D1341=0,0,(D1341-C1341)*G1341)</f>
        <v>170.89426799999865</v>
      </c>
      <c r="M1341" s="12">
        <v>29805.350587164001</v>
      </c>
      <c r="N1341" s="34" cm="1">
        <f t="array" ref="N1341">IFERROR((K1341-J1341)/J1341,"–")</f>
        <v>0.99433557868952838</v>
      </c>
      <c r="O1341" s="33" cm="1">
        <f t="array" ref="O1341">IF(D1341=0,0,L1341-K1341)*0.66</f>
        <v>83.006740759139106</v>
      </c>
      <c r="P1341" s="11"/>
      <c r="Q1341" s="35"/>
    </row>
    <row r="1342" spans="1:17" ht="22.5" customHeight="1">
      <c r="A1342" s="16" t="s">
        <v>49</v>
      </c>
      <c r="B1342" s="17">
        <v>44538</v>
      </c>
      <c r="C1342" s="37">
        <v>16.087700000000002</v>
      </c>
      <c r="D1342" s="37">
        <v>15.96</v>
      </c>
      <c r="E1342" s="19" cm="1">
        <f t="array" ref="E1342">IF(D1342="","",D1342-C1342)</f>
        <v>-0.12770000000000081</v>
      </c>
      <c r="F1342" s="20" cm="1">
        <f t="array" ref="F1342">IF(D1342=0,"",(D1342-C1342)/C1342)</f>
        <v>-7.9377412557420143E-3</v>
      </c>
      <c r="G1342" s="21">
        <v>200</v>
      </c>
      <c r="H1342" s="22">
        <v>1</v>
      </c>
      <c r="I1342" s="23" cm="1">
        <f t="array" ref="I1342">IF(D1342="","",(G1342*C1342)*0.00075)</f>
        <v>2.4131550000000002</v>
      </c>
      <c r="J1342" s="23" cm="1">
        <f t="array" ref="J1342">IF(D1342="","",(G1342*D1342)*0.00075)</f>
        <v>2.3940000000000001</v>
      </c>
      <c r="K1342" s="24" cm="1">
        <f t="array" ref="K1342">IF(D1342="","",J1342+I1342)</f>
        <v>4.8071549999999998</v>
      </c>
      <c r="L1342" s="24" cm="1">
        <f t="array" ref="L1342">IF(D1342=0,0,(D1342-C1342)*G1342)</f>
        <v>-25.540000000000163</v>
      </c>
      <c r="M1342" s="25">
        <v>3240.6860000000001</v>
      </c>
      <c r="N1342" s="26" cm="1">
        <f t="array" ref="N1342">IFERROR((K1342-J1342)/J1342,"–")</f>
        <v>1.008001253132832</v>
      </c>
      <c r="O1342" s="24" cm="1">
        <f t="array" ref="O1342">IF(D1342=0,0,L1342-K1342)</f>
        <v>-30.347155000000164</v>
      </c>
      <c r="P1342" s="23"/>
      <c r="Q1342" s="27"/>
    </row>
    <row r="1343" spans="1:17" ht="22.5" customHeight="1">
      <c r="A1343" s="16" t="s">
        <v>46</v>
      </c>
      <c r="B1343" s="28">
        <v>44538</v>
      </c>
      <c r="C1343" s="36">
        <v>2.1880000000000002</v>
      </c>
      <c r="D1343" s="36">
        <v>2.1958000000000002</v>
      </c>
      <c r="E1343" s="30" cm="1">
        <f t="array" ref="E1343">IF(D1343="","",D1343-C1343)</f>
        <v>7.8000000000000291E-3</v>
      </c>
      <c r="F1343" s="31" cm="1">
        <f t="array" ref="F1343">IF(D1343=0,"",(D1343-C1343)/C1343)</f>
        <v>3.5648994515539434E-3</v>
      </c>
      <c r="G1343" s="32">
        <v>3000</v>
      </c>
      <c r="H1343" s="10">
        <v>1</v>
      </c>
      <c r="I1343" s="11" cm="1">
        <f t="array" ref="I1343">IF(D1343="","",(G1343*C1343)*0.00075)</f>
        <v>4.9230000000000009</v>
      </c>
      <c r="J1343" s="11" cm="1">
        <f t="array" ref="J1343">IF(D1343="","",(G1343*D1343)*0.00075)</f>
        <v>4.9405500000000009</v>
      </c>
      <c r="K1343" s="33" cm="1">
        <f t="array" ref="K1343">IF(D1343="","",J1343+I1343)</f>
        <v>9.8635500000000018</v>
      </c>
      <c r="L1343" s="33" cm="1">
        <f t="array" ref="L1343">IF(D1343=0,0,(D1343-C1343)*G1343)</f>
        <v>23.400000000000087</v>
      </c>
      <c r="M1343" s="12">
        <v>6535.6594500000001</v>
      </c>
      <c r="N1343" s="34" cm="1">
        <f t="array" ref="N1343">IFERROR((K1343-J1343)/J1343,"–")</f>
        <v>0.99644776391292467</v>
      </c>
      <c r="O1343" s="33" cm="1">
        <f t="array" ref="O1343">IF(D1343=0,0,L1343-K1343)</f>
        <v>13.536450000000086</v>
      </c>
      <c r="P1343" s="11"/>
      <c r="Q1343" s="35"/>
    </row>
    <row r="1344" spans="1:17" ht="22.5" customHeight="1">
      <c r="A1344" s="16" t="s">
        <v>72</v>
      </c>
      <c r="B1344" s="17">
        <v>44538</v>
      </c>
      <c r="C1344" s="37">
        <v>7.3499999999999996E-2</v>
      </c>
      <c r="D1344" s="37">
        <v>7.2419999999999998E-2</v>
      </c>
      <c r="E1344" s="19" cm="1">
        <f t="array" ref="E1344">IF(D1344="","",D1344-C1344)</f>
        <v>-1.0799999999999976E-3</v>
      </c>
      <c r="F1344" s="20" cm="1">
        <f t="array" ref="F1344">IF(D1344=0,"",(D1344-C1344)/C1344)</f>
        <v>-1.4693877551020376E-2</v>
      </c>
      <c r="G1344" s="21">
        <v>340103.9</v>
      </c>
      <c r="H1344" s="22">
        <v>1</v>
      </c>
      <c r="I1344" s="23" cm="1">
        <f t="array" ref="I1344">IF(D1344="","",(G1344*C1344)*0.00075)</f>
        <v>18.748227487499999</v>
      </c>
      <c r="J1344" s="23" cm="1">
        <f t="array" ref="J1344">IF(D1344="","",(G1344*D1344)*0.00075)</f>
        <v>18.472743328500002</v>
      </c>
      <c r="K1344" s="24" cm="1">
        <f t="array" ref="K1344">IF(D1344="","",J1344+I1344)</f>
        <v>37.220970816000005</v>
      </c>
      <c r="L1344" s="24" cm="1">
        <f t="array" ref="L1344">IF(D1344=0,0,(D1344-C1344)*G1344)</f>
        <v>-367.31221199999919</v>
      </c>
      <c r="M1344" s="25">
        <v>25346.4761186715</v>
      </c>
      <c r="N1344" s="26" cm="1">
        <f t="array" ref="N1344">IFERROR((K1344-J1344)/J1344,"–")</f>
        <v>1.0149130074565038</v>
      </c>
      <c r="O1344" s="24" cm="1">
        <f t="array" ref="O1344">IF(D1344=0,0,L1344-K1344)</f>
        <v>-404.53318281599923</v>
      </c>
      <c r="P1344" s="23"/>
      <c r="Q1344" s="27"/>
    </row>
    <row r="1345" spans="1:17" ht="22.5" customHeight="1">
      <c r="A1345" s="16" t="s">
        <v>259</v>
      </c>
      <c r="B1345" s="28">
        <v>44538</v>
      </c>
      <c r="C1345" s="36">
        <v>237</v>
      </c>
      <c r="D1345" s="36">
        <v>1</v>
      </c>
      <c r="E1345" s="30" cm="1">
        <f t="array" ref="E1345">IF(D1345="","",D1345-C1345)</f>
        <v>-236</v>
      </c>
      <c r="F1345" s="31" cm="1">
        <f t="array" ref="F1345">IF(D1345=0,"",(D1345-C1345)/C1345)</f>
        <v>-0.99578059071729963</v>
      </c>
      <c r="G1345" s="32">
        <v>1</v>
      </c>
      <c r="H1345" s="10">
        <v>1</v>
      </c>
      <c r="I1345" s="11" cm="1">
        <f t="array" ref="I1345">IF(D1345="","",(G1345*C1345)*0.00075)</f>
        <v>0.17774999999999999</v>
      </c>
      <c r="J1345" s="11" cm="1">
        <f t="array" ref="J1345">IF(D1345="","",(G1345*D1345)*0.00075)</f>
        <v>7.5000000000000002E-4</v>
      </c>
      <c r="K1345" s="33" cm="1">
        <f t="array" ref="K1345">IF(D1345="","",J1345+I1345)</f>
        <v>0.17849999999999999</v>
      </c>
      <c r="L1345" s="33" cm="1">
        <f t="array" ref="L1345">IF(D1345=0,0,(D1345-C1345)*G1345)</f>
        <v>-236</v>
      </c>
      <c r="M1345" s="12">
        <v>472.99925000000002</v>
      </c>
      <c r="N1345" s="34" cm="1">
        <f t="array" ref="N1345">IFERROR((K1345-J1345)/J1345,"–")</f>
        <v>236.99999999999997</v>
      </c>
      <c r="O1345" s="33" cm="1">
        <f t="array" ref="O1345">IF(D1345=0,0,L1345-K1345)</f>
        <v>-236.17850000000001</v>
      </c>
      <c r="P1345" s="11"/>
      <c r="Q1345" s="35"/>
    </row>
    <row r="1346" spans="1:17" ht="22.5" customHeight="1">
      <c r="A1346" s="16" t="s">
        <v>222</v>
      </c>
      <c r="B1346" s="17">
        <v>44538</v>
      </c>
      <c r="C1346" s="37">
        <v>0.49575000000000002</v>
      </c>
      <c r="D1346" s="37">
        <v>0.49680000000000002</v>
      </c>
      <c r="E1346" s="19" cm="1">
        <f t="array" ref="E1346">IF(D1346="","",D1346-C1346)</f>
        <v>1.0499999999999954E-3</v>
      </c>
      <c r="F1346" s="20" cm="1">
        <f t="array" ref="F1346">IF(D1346=0,"",(D1346-C1346)/C1346)</f>
        <v>2.1180030257185989E-3</v>
      </c>
      <c r="G1346" s="21">
        <v>56474</v>
      </c>
      <c r="H1346" s="22">
        <v>1</v>
      </c>
      <c r="I1346" s="23" cm="1">
        <f t="array" ref="I1346">IF(D1346="","",(G1346*C1346)*0.00075)</f>
        <v>20.997739125000003</v>
      </c>
      <c r="J1346" s="23" cm="1">
        <f t="array" ref="J1346">IF(D1346="","",(G1346*D1346)*0.00075)</f>
        <v>21.0422124</v>
      </c>
      <c r="K1346" s="24" cm="1">
        <f t="array" ref="K1346">IF(D1346="","",J1346+I1346)</f>
        <v>42.039951525000006</v>
      </c>
      <c r="L1346" s="24" cm="1">
        <f t="array" ref="L1346">IF(D1346=0,0,(D1346-C1346)*G1346)</f>
        <v>59.297699999999736</v>
      </c>
      <c r="M1346" s="25">
        <v>27916.6455876</v>
      </c>
      <c r="N1346" s="26" cm="1">
        <f t="array" ref="N1346">IFERROR((K1346-J1346)/J1346,"–")</f>
        <v>0.99788647342995196</v>
      </c>
      <c r="O1346" s="24" cm="1">
        <f t="array" ref="O1346">IF(D1346=0,0,L1346-K1346)</f>
        <v>17.25774847499973</v>
      </c>
      <c r="P1346" s="23"/>
      <c r="Q1346" s="27"/>
    </row>
    <row r="1347" spans="1:17" ht="22.5" customHeight="1">
      <c r="A1347" s="16" t="s">
        <v>43</v>
      </c>
      <c r="B1347" s="28">
        <v>44539</v>
      </c>
      <c r="C1347" s="36">
        <v>0.71296000000000004</v>
      </c>
      <c r="D1347" s="36">
        <v>0.70484999999999998</v>
      </c>
      <c r="E1347" s="30" cm="1">
        <f t="array" ref="E1347">IF(D1347="","",D1347-C1347)</f>
        <v>-8.1100000000000616E-3</v>
      </c>
      <c r="F1347" s="31" cm="1">
        <f t="array" ref="F1347">IF(D1347=0,"",(D1347-C1347)/C1347)</f>
        <v>-1.1375112208258613E-2</v>
      </c>
      <c r="G1347" s="32">
        <v>39272</v>
      </c>
      <c r="H1347" s="10">
        <v>1</v>
      </c>
      <c r="I1347" s="11" cm="1">
        <f t="array" ref="I1347">IF(D1347="","",(G1347*C1347)*0.00075)</f>
        <v>20.999523840000002</v>
      </c>
      <c r="J1347" s="11" cm="1">
        <f t="array" ref="J1347">IF(D1347="","",(G1347*D1347)*0.00075)</f>
        <v>20.760651899999999</v>
      </c>
      <c r="K1347" s="33" cm="1">
        <f t="array" ref="K1347">IF(D1347="","",J1347+I1347)</f>
        <v>41.760175740000001</v>
      </c>
      <c r="L1347" s="33" cm="1">
        <f t="array" ref="L1347">IF(D1347=0,0,(D1347-C1347)*G1347)</f>
        <v>-318.4959200000024</v>
      </c>
      <c r="M1347" s="12">
        <v>28297.1003881</v>
      </c>
      <c r="N1347" s="34" cm="1">
        <f t="array" ref="N1347">IFERROR((K1347-J1347)/J1347,"–")</f>
        <v>1.0115059941831597</v>
      </c>
      <c r="O1347" s="33" cm="1">
        <f t="array" ref="O1347">IF(D1347=0,0,L1347-K1347)</f>
        <v>-360.25609574000242</v>
      </c>
      <c r="P1347" s="11"/>
      <c r="Q1347" s="35"/>
    </row>
    <row r="1348" spans="1:17" ht="22.5" customHeight="1">
      <c r="A1348" s="16" t="s">
        <v>163</v>
      </c>
      <c r="B1348" s="17">
        <v>44539</v>
      </c>
      <c r="C1348" s="37">
        <v>0.60640000000000005</v>
      </c>
      <c r="D1348" s="37">
        <v>0.60840000000000005</v>
      </c>
      <c r="E1348" s="19" cm="1">
        <f t="array" ref="E1348">IF(D1348="","",D1348-C1348)</f>
        <v>2.0000000000000018E-3</v>
      </c>
      <c r="F1348" s="20" cm="1">
        <f t="array" ref="F1348">IF(D1348=0,"",(D1348-C1348)/C1348)</f>
        <v>3.2981530343007943E-3</v>
      </c>
      <c r="G1348" s="21">
        <v>42876</v>
      </c>
      <c r="H1348" s="22">
        <v>1</v>
      </c>
      <c r="I1348" s="23" cm="1">
        <f t="array" ref="I1348">IF(D1348="","",(G1348*C1348)*0.00075)</f>
        <v>19.500004800000003</v>
      </c>
      <c r="J1348" s="23" cm="1">
        <f t="array" ref="J1348">IF(D1348="","",(G1348*D1348)*0.00075)</f>
        <v>19.564318800000002</v>
      </c>
      <c r="K1348" s="24" cm="1">
        <f t="array" ref="K1348">IF(D1348="","",J1348+I1348)</f>
        <v>39.064323600000009</v>
      </c>
      <c r="L1348" s="24" cm="1">
        <f t="array" ref="L1348">IF(D1348=0,0,(D1348-C1348)*G1348)</f>
        <v>85.752000000000081</v>
      </c>
      <c r="M1348" s="25">
        <v>25894.690081199999</v>
      </c>
      <c r="N1348" s="26" cm="1">
        <f t="array" ref="N1348">IFERROR((K1348-J1348)/J1348,"–")</f>
        <v>0.99671268902038157</v>
      </c>
      <c r="O1348" s="24" cm="1">
        <f t="array" ref="O1348">IF(D1348=0,0,L1348-K1348)</f>
        <v>46.687676400000072</v>
      </c>
      <c r="P1348" s="23"/>
      <c r="Q1348" s="27"/>
    </row>
    <row r="1349" spans="1:17" ht="22.5" customHeight="1">
      <c r="A1349" s="16" t="s">
        <v>49</v>
      </c>
      <c r="B1349" s="28">
        <v>44539</v>
      </c>
      <c r="C1349" s="36">
        <v>15.65</v>
      </c>
      <c r="D1349" s="36">
        <v>16.399999999999999</v>
      </c>
      <c r="E1349" s="30" cm="1">
        <f t="array" ref="E1349">IF(D1349="","",D1349-C1349)</f>
        <v>0.74999999999999822</v>
      </c>
      <c r="F1349" s="31" cm="1">
        <f t="array" ref="F1349">IF(D1349=0,"",(D1349-C1349)/C1349)</f>
        <v>4.7923322683705957E-2</v>
      </c>
      <c r="G1349" s="32">
        <v>200</v>
      </c>
      <c r="H1349" s="10">
        <v>1</v>
      </c>
      <c r="I1349" s="11" cm="1">
        <f t="array" ref="I1349">IF(D1349="","",(G1349*C1349)*0.00075)</f>
        <v>2.3475000000000001</v>
      </c>
      <c r="J1349" s="11" cm="1">
        <f t="array" ref="J1349">IF(D1349="","",(G1349*D1349)*0.00075)</f>
        <v>2.4599999999999995</v>
      </c>
      <c r="K1349" s="33" cm="1">
        <f t="array" ref="K1349">IF(D1349="","",J1349+I1349)</f>
        <v>4.8074999999999992</v>
      </c>
      <c r="L1349" s="33" cm="1">
        <f t="array" ref="L1349">IF(D1349=0,0,(D1349-C1349)*G1349)</f>
        <v>149.99999999999966</v>
      </c>
      <c r="M1349" s="12">
        <v>2977.54</v>
      </c>
      <c r="N1349" s="34" cm="1">
        <f t="array" ref="N1349">IFERROR((K1349-J1349)/J1349,"–")</f>
        <v>0.9542682926829269</v>
      </c>
      <c r="O1349" s="33" cm="1">
        <f t="array" ref="O1349">IF(D1349=0,0,L1349-K1349)</f>
        <v>145.19249999999965</v>
      </c>
      <c r="P1349" s="11"/>
      <c r="Q1349" s="35"/>
    </row>
    <row r="1350" spans="1:17" ht="22.5" customHeight="1">
      <c r="A1350" s="16" t="s">
        <v>172</v>
      </c>
      <c r="B1350" s="17">
        <v>44539</v>
      </c>
      <c r="C1350" s="37">
        <v>155.4</v>
      </c>
      <c r="D1350" s="37">
        <v>155.69999999999999</v>
      </c>
      <c r="E1350" s="19" cm="1">
        <f t="array" ref="E1350">IF(D1350="","",D1350-C1350)</f>
        <v>0.29999999999998295</v>
      </c>
      <c r="F1350" s="20" cm="1">
        <f t="array" ref="F1350">IF(D1350=0,"",(D1350-C1350)/C1350)</f>
        <v>1.9305019305018206E-3</v>
      </c>
      <c r="G1350" s="21">
        <v>160.875</v>
      </c>
      <c r="H1350" s="22">
        <v>1</v>
      </c>
      <c r="I1350" s="23" cm="1">
        <f t="array" ref="I1350">IF(D1350="","",(G1350*C1350)*0.00075)</f>
        <v>18.749981250000001</v>
      </c>
      <c r="J1350" s="23" cm="1">
        <f t="array" ref="J1350">IF(D1350="","",(G1350*D1350)*0.00075)</f>
        <v>18.786178124999999</v>
      </c>
      <c r="K1350" s="24" cm="1">
        <f t="array" ref="K1350">IF(D1350="","",J1350+I1350)</f>
        <v>37.536159374999997</v>
      </c>
      <c r="L1350" s="24" cm="1">
        <f t="array" ref="L1350">IF(D1350=0,0,(D1350-C1350)*G1350)</f>
        <v>48.26249999999726</v>
      </c>
      <c r="M1350" s="25">
        <v>24932.926321874998</v>
      </c>
      <c r="N1350" s="26" cm="1">
        <f t="array" ref="N1350">IFERROR((K1350-J1350)/J1350,"–")</f>
        <v>0.99807321772639679</v>
      </c>
      <c r="O1350" s="24" cm="1">
        <f t="array" ref="O1350">IF(D1350=0,0,L1350-K1350)</f>
        <v>10.726340624997263</v>
      </c>
      <c r="P1350" s="23"/>
      <c r="Q1350" s="27"/>
    </row>
    <row r="1351" spans="1:17" ht="22.5" customHeight="1">
      <c r="A1351" s="16" t="s">
        <v>108</v>
      </c>
      <c r="B1351" s="28">
        <v>44539</v>
      </c>
      <c r="C1351" s="36">
        <v>9.7184000000000008</v>
      </c>
      <c r="D1351" s="36">
        <v>9.7716999999999992</v>
      </c>
      <c r="E1351" s="30" cm="1">
        <f t="array" ref="E1351">IF(D1351="","",D1351-C1351)</f>
        <v>5.3299999999998349E-2</v>
      </c>
      <c r="F1351" s="31" cm="1">
        <f t="array" ref="F1351">IF(D1351=0,"",(D1351-C1351)/C1351)</f>
        <v>5.4844418834374322E-3</v>
      </c>
      <c r="G1351" s="32">
        <v>2572.4</v>
      </c>
      <c r="H1351" s="10">
        <v>1</v>
      </c>
      <c r="I1351" s="11" cm="1">
        <f t="array" ref="I1351">IF(D1351="","",(G1351*C1351)*0.00075)</f>
        <v>18.749709120000002</v>
      </c>
      <c r="J1351" s="11" cm="1">
        <f t="array" ref="J1351">IF(D1351="","",(G1351*D1351)*0.00075)</f>
        <v>18.852540810000001</v>
      </c>
      <c r="K1351" s="33" cm="1">
        <f t="array" ref="K1351">IF(D1351="","",J1351+I1351)</f>
        <v>37.602249929999999</v>
      </c>
      <c r="L1351" s="33" cm="1">
        <f t="array" ref="L1351">IF(D1351=0,0,(D1351-C1351)*G1351)</f>
        <v>137.10891999999575</v>
      </c>
      <c r="M1351" s="12">
        <v>24843.650699189999</v>
      </c>
      <c r="N1351" s="34" cm="1">
        <f t="array" ref="N1351">IFERROR((K1351-J1351)/J1351,"–")</f>
        <v>0.99454547315206143</v>
      </c>
      <c r="O1351" s="33" cm="1">
        <f t="array" ref="O1351">IF(D1351=0,0,L1351-K1351)</f>
        <v>99.506670069995749</v>
      </c>
      <c r="P1351" s="11"/>
      <c r="Q1351" s="35"/>
    </row>
    <row r="1352" spans="1:17" ht="22.5" customHeight="1">
      <c r="A1352" s="16" t="s">
        <v>83</v>
      </c>
      <c r="B1352" s="17">
        <v>44539</v>
      </c>
      <c r="C1352" s="37">
        <v>2.648E-2</v>
      </c>
      <c r="D1352" s="37">
        <v>2.6547000000000001E-2</v>
      </c>
      <c r="E1352" s="19" cm="1">
        <f t="array" ref="E1352">IF(D1352="","",D1352-C1352)</f>
        <v>6.7000000000001086E-5</v>
      </c>
      <c r="F1352" s="20" cm="1">
        <f t="array" ref="F1352">IF(D1352=0,"",(D1352-C1352)/C1352)</f>
        <v>2.5302114803625788E-3</v>
      </c>
      <c r="G1352" s="21">
        <v>943867</v>
      </c>
      <c r="H1352" s="22">
        <v>1</v>
      </c>
      <c r="I1352" s="23" cm="1">
        <f t="array" ref="I1352">IF(D1352="","",(G1352*C1352)*0.00075)</f>
        <v>18.74519862</v>
      </c>
      <c r="J1352" s="23" cm="1">
        <f t="array" ref="J1352">IF(D1352="","",(G1352*D1352)*0.00075)</f>
        <v>18.792627936750002</v>
      </c>
      <c r="K1352" s="24" cm="1">
        <f t="array" ref="K1352">IF(D1352="","",J1352+I1352)</f>
        <v>37.537826556750005</v>
      </c>
      <c r="L1352" s="24" cm="1">
        <f t="array" ref="L1352">IF(D1352=0,0,(D1352-C1352)*G1352)</f>
        <v>63.239089000001023</v>
      </c>
      <c r="M1352" s="25">
        <v>24911.566443063301</v>
      </c>
      <c r="N1352" s="26" cm="1">
        <f t="array" ref="N1352">IFERROR((K1352-J1352)/J1352,"–")</f>
        <v>0.99747617433231639</v>
      </c>
      <c r="O1352" s="24" cm="1">
        <f t="array" ref="O1352">IF(D1352=0,0,L1352-K1352)</f>
        <v>25.701262443251018</v>
      </c>
      <c r="P1352" s="23"/>
      <c r="Q1352" s="27"/>
    </row>
    <row r="1353" spans="1:17" ht="22.5" customHeight="1">
      <c r="A1353" s="16" t="s">
        <v>181</v>
      </c>
      <c r="B1353" s="28">
        <v>44539</v>
      </c>
      <c r="C1353" s="36">
        <v>6.8640000000000007E-2</v>
      </c>
      <c r="D1353" s="36">
        <v>6.8765000000000007E-2</v>
      </c>
      <c r="E1353" s="30" cm="1">
        <f t="array" ref="E1353">IF(D1353="","",D1353-C1353)</f>
        <v>1.2500000000000011E-4</v>
      </c>
      <c r="F1353" s="31" cm="1">
        <f t="array" ref="F1353">IF(D1353=0,"",(D1353-C1353)/C1353)</f>
        <v>1.8210955710955725E-3</v>
      </c>
      <c r="G1353" s="32">
        <v>364216.5</v>
      </c>
      <c r="H1353" s="10">
        <v>1</v>
      </c>
      <c r="I1353" s="11" cm="1">
        <f t="array" ref="I1353">IF(D1353="","",(G1353*C1353)*0.00075)</f>
        <v>18.749865420000003</v>
      </c>
      <c r="J1353" s="11" cm="1">
        <f t="array" ref="J1353">IF(D1353="","",(G1353*D1353)*0.00075)</f>
        <v>18.784010716875002</v>
      </c>
      <c r="K1353" s="33" cm="1">
        <f t="array" ref="K1353">IF(D1353="","",J1353+I1353)</f>
        <v>37.533876136875008</v>
      </c>
      <c r="L1353" s="33" cm="1">
        <f t="array" ref="L1353">IF(D1353=0,0,(D1353-C1353)*G1353)</f>
        <v>45.527062500000042</v>
      </c>
      <c r="M1353" s="12">
        <v>24935.509486783099</v>
      </c>
      <c r="N1353" s="34" cm="1">
        <f t="array" ref="N1353">IFERROR((K1353-J1353)/J1353,"–")</f>
        <v>0.99818221478950064</v>
      </c>
      <c r="O1353" s="33" cm="1">
        <f t="array" ref="O1353">IF(D1353=0,0,L1353-K1353)</f>
        <v>7.9931863631250337</v>
      </c>
      <c r="P1353" s="11"/>
      <c r="Q1353" s="35"/>
    </row>
    <row r="1354" spans="1:17" ht="22.5" customHeight="1">
      <c r="A1354" s="16" t="s">
        <v>260</v>
      </c>
      <c r="B1354" s="17">
        <v>44539</v>
      </c>
      <c r="C1354" s="37">
        <v>0.4672</v>
      </c>
      <c r="D1354" s="37">
        <v>0.48</v>
      </c>
      <c r="E1354" s="19" cm="1">
        <f t="array" ref="E1354">IF(D1354="","",D1354-C1354)</f>
        <v>1.2799999999999978E-2</v>
      </c>
      <c r="F1354" s="20" cm="1">
        <f t="array" ref="F1354">IF(D1354=0,"",(D1354-C1354)/C1354)</f>
        <v>2.7397260273972556E-2</v>
      </c>
      <c r="G1354" s="21">
        <v>42807</v>
      </c>
      <c r="H1354" s="22">
        <v>1</v>
      </c>
      <c r="I1354" s="23" cm="1">
        <f t="array" ref="I1354">IF(D1354="","",(G1354*C1354)*0.00075)</f>
        <v>14.999572800000001</v>
      </c>
      <c r="J1354" s="23" cm="1">
        <f t="array" ref="J1354">IF(D1354="","",(G1354*D1354)*0.00075)</f>
        <v>15.41052</v>
      </c>
      <c r="K1354" s="24" cm="1">
        <f t="array" ref="K1354">IF(D1354="","",J1354+I1354)</f>
        <v>30.410092800000001</v>
      </c>
      <c r="L1354" s="24" cm="1">
        <f t="array" ref="L1354">IF(D1354=0,0,(D1354-C1354)*G1354)</f>
        <v>547.92959999999903</v>
      </c>
      <c r="M1354" s="25">
        <v>19436.09028</v>
      </c>
      <c r="N1354" s="26" cm="1">
        <f t="array" ref="N1354">IFERROR((K1354-J1354)/J1354,"–")</f>
        <v>0.97333333333333338</v>
      </c>
      <c r="O1354" s="24" cm="1">
        <f t="array" ref="O1354">IF(D1354=0,0,L1354-K1354)</f>
        <v>517.519507199999</v>
      </c>
      <c r="P1354" s="23"/>
      <c r="Q1354" s="27"/>
    </row>
    <row r="1355" spans="1:17" ht="22.5" customHeight="1">
      <c r="A1355" s="16" t="s">
        <v>76</v>
      </c>
      <c r="B1355" s="28">
        <v>44539</v>
      </c>
      <c r="C1355" s="36">
        <v>3.5110000000000001E-5</v>
      </c>
      <c r="D1355" s="36">
        <v>3.502E-5</v>
      </c>
      <c r="E1355" s="30" cm="1">
        <f t="array" ref="E1355">IF(D1355="","",D1355-C1355)</f>
        <v>-9.0000000000000832E-8</v>
      </c>
      <c r="F1355" s="31" cm="1">
        <f t="array" ref="F1355">IF(D1355=0,"",(D1355-C1355)/C1355)</f>
        <v>-2.5633722586158028E-3</v>
      </c>
      <c r="G1355" s="32">
        <v>569638278</v>
      </c>
      <c r="H1355" s="10">
        <v>1</v>
      </c>
      <c r="I1355" s="11" cm="1">
        <f t="array" ref="I1355">IF(D1355="","",(G1355*C1355)*0.00075)</f>
        <v>14.999999955435001</v>
      </c>
      <c r="J1355" s="11" cm="1">
        <f t="array" ref="J1355">IF(D1355="","",(G1355*D1355)*0.00075)</f>
        <v>14.961549371670001</v>
      </c>
      <c r="K1355" s="33" cm="1">
        <f t="array" ref="K1355">IF(D1355="","",J1355+I1355)</f>
        <v>29.961549327105004</v>
      </c>
      <c r="L1355" s="33" cm="1">
        <f t="array" ref="L1355">IF(D1355=0,0,(D1355-C1355)*G1355)</f>
        <v>-51.267445020000473</v>
      </c>
      <c r="M1355" s="12">
        <v>20036.305836228301</v>
      </c>
      <c r="N1355" s="34" cm="1">
        <f t="array" ref="N1355">IFERROR((K1355-J1355)/J1355,"–")</f>
        <v>1.0025699600228442</v>
      </c>
      <c r="O1355" s="33" cm="1">
        <f t="array" ref="O1355">IF(D1355=0,0,L1355-K1355)</f>
        <v>-81.22899434710547</v>
      </c>
      <c r="P1355" s="11"/>
      <c r="Q1355" s="35"/>
    </row>
    <row r="1356" spans="1:17" ht="22.5" customHeight="1">
      <c r="A1356" s="16" t="s">
        <v>46</v>
      </c>
      <c r="B1356" s="43">
        <v>44540</v>
      </c>
      <c r="C1356" s="37">
        <v>2.5209999999999999</v>
      </c>
      <c r="D1356" s="37">
        <v>2.7</v>
      </c>
      <c r="E1356" s="19" cm="1">
        <f t="array" ref="E1356">IF(D1356="","",D1356-C1356)</f>
        <v>0.17900000000000027</v>
      </c>
      <c r="F1356" s="20" cm="1">
        <f t="array" ref="F1356">IF(D1356=0,"",(D1356-C1356)/C1356)</f>
        <v>7.1003570011900149E-2</v>
      </c>
      <c r="G1356" s="21">
        <v>1500</v>
      </c>
      <c r="H1356" s="22">
        <v>1</v>
      </c>
      <c r="I1356" s="23" cm="1">
        <f t="array" ref="I1356">IF(D1356="","",(G1356*C1356)*0.00075)</f>
        <v>2.836125</v>
      </c>
      <c r="J1356" s="23" cm="1">
        <f t="array" ref="J1356">IF(D1356="","",(G1356*D1356)*0.00075)</f>
        <v>3.0375000000000005</v>
      </c>
      <c r="K1356" s="24" cm="1">
        <f t="array" ref="K1356">IF(D1356="","",J1356+I1356)</f>
        <v>5.8736250000000005</v>
      </c>
      <c r="L1356" s="24" cm="1">
        <f t="array" ref="L1356">IF(D1356=0,0,(D1356-C1356)*G1356)</f>
        <v>268.5000000000004</v>
      </c>
      <c r="M1356" s="25">
        <v>3509.9625000000001</v>
      </c>
      <c r="N1356" s="26" cm="1">
        <f t="array" ref="N1356">IFERROR((K1356-J1356)/J1356,"–")</f>
        <v>0.93370370370370359</v>
      </c>
      <c r="O1356" s="24" cm="1">
        <f t="array" ref="O1356">IF(D1356=0,0,L1356-K1356)</f>
        <v>262.62637500000039</v>
      </c>
      <c r="P1356" s="23"/>
      <c r="Q1356" s="27"/>
    </row>
    <row r="1357" spans="1:17" ht="22.5" customHeight="1">
      <c r="A1357" s="16" t="s">
        <v>96</v>
      </c>
      <c r="B1357" s="42">
        <v>44540</v>
      </c>
      <c r="C1357" s="36">
        <v>0.10553999999999999</v>
      </c>
      <c r="D1357" s="36">
        <v>0.10545</v>
      </c>
      <c r="E1357" s="30" cm="1">
        <f t="array" ref="E1357">IF(D1357="","",D1357-C1357)</f>
        <v>-8.9999999999992863E-5</v>
      </c>
      <c r="F1357" s="31" cm="1">
        <f t="array" ref="F1357">IF(D1357=0,"",(D1357-C1357)/C1357)</f>
        <v>-8.5275724843654412E-4</v>
      </c>
      <c r="G1357" s="32">
        <v>189508.1</v>
      </c>
      <c r="H1357" s="10">
        <v>1</v>
      </c>
      <c r="I1357" s="11" cm="1">
        <f t="array" ref="I1357">IF(D1357="","",(G1357*C1357)*0.00075)</f>
        <v>15.000513655499999</v>
      </c>
      <c r="J1357" s="11" cm="1">
        <f t="array" ref="J1357">IF(D1357="","",(G1357*D1357)*0.00075)</f>
        <v>14.987721858750001</v>
      </c>
      <c r="K1357" s="33" cm="1">
        <f t="array" ref="K1357">IF(D1357="","",J1357+I1357)</f>
        <v>29.98823551425</v>
      </c>
      <c r="L1357" s="33" cm="1">
        <f t="array" ref="L1357">IF(D1357=0,0,(D1357-C1357)*G1357)</f>
        <v>-17.055728999998649</v>
      </c>
      <c r="M1357" s="12">
        <v>20002.752881141299</v>
      </c>
      <c r="N1357" s="34" cm="1">
        <f t="array" ref="N1357">IFERROR((K1357-J1357)/J1357,"–")</f>
        <v>1.0008534850640112</v>
      </c>
      <c r="O1357" s="33" cm="1">
        <f t="array" ref="O1357">IF(D1357=0,0,L1357-K1357)</f>
        <v>-47.04396451424865</v>
      </c>
      <c r="P1357" s="11"/>
      <c r="Q1357" s="35"/>
    </row>
    <row r="1358" spans="1:17" ht="22.5" customHeight="1">
      <c r="A1358" s="16" t="s">
        <v>251</v>
      </c>
      <c r="B1358" s="43">
        <v>44541</v>
      </c>
      <c r="C1358" s="37">
        <v>1.7050000000000001</v>
      </c>
      <c r="D1358" s="37">
        <v>1.6712</v>
      </c>
      <c r="E1358" s="19" cm="1">
        <f t="array" ref="E1358">IF(D1358="","",D1358-C1358)</f>
        <v>-3.3800000000000052E-2</v>
      </c>
      <c r="F1358" s="20" cm="1">
        <f t="array" ref="F1358">IF(D1358=0,"",(D1358-C1358)/C1358)</f>
        <v>-1.9824046920821143E-2</v>
      </c>
      <c r="G1358" s="21">
        <v>2000</v>
      </c>
      <c r="H1358" s="22">
        <v>1</v>
      </c>
      <c r="I1358" s="23" cm="1">
        <f t="array" ref="I1358">IF(D1358="","",(G1358*C1358)*0.00075)</f>
        <v>2.5575000000000001</v>
      </c>
      <c r="J1358" s="23" cm="1">
        <f t="array" ref="J1358">IF(D1358="","",(G1358*D1358)*0.00075)</f>
        <v>2.5068000000000001</v>
      </c>
      <c r="K1358" s="24" cm="1">
        <f t="array" ref="K1358">IF(D1358="","",J1358+I1358)</f>
        <v>5.0643000000000002</v>
      </c>
      <c r="L1358" s="24" cm="1">
        <f t="array" ref="L1358">IF(D1358=0,0,(D1358-C1358)*G1358)</f>
        <v>-67.600000000000108</v>
      </c>
      <c r="M1358" s="25">
        <v>3475.0931999999998</v>
      </c>
      <c r="N1358" s="26" cm="1">
        <f t="array" ref="N1358">IFERROR((K1358-J1358)/J1358,"–")</f>
        <v>1.0202249880325513</v>
      </c>
      <c r="O1358" s="24" cm="1">
        <f t="array" ref="O1358">IF(D1358=0,0,L1358-K1358)</f>
        <v>-72.664300000000111</v>
      </c>
      <c r="P1358" s="23"/>
      <c r="Q1358" s="27"/>
    </row>
    <row r="1359" spans="1:17" ht="22.5" customHeight="1">
      <c r="A1359" s="16" t="s">
        <v>86</v>
      </c>
      <c r="B1359" s="42">
        <v>44541</v>
      </c>
      <c r="C1359" s="36">
        <v>0.38106000000000001</v>
      </c>
      <c r="D1359" s="36">
        <v>0.38900000000000001</v>
      </c>
      <c r="E1359" s="30" cm="1">
        <f t="array" ref="E1359">IF(D1359="","",D1359-C1359)</f>
        <v>7.9400000000000026E-3</v>
      </c>
      <c r="F1359" s="31" cm="1">
        <f t="array" ref="F1359">IF(D1359=0,"",(D1359-C1359)/C1359)</f>
        <v>2.0836613656642005E-2</v>
      </c>
      <c r="G1359" s="32">
        <v>68230</v>
      </c>
      <c r="H1359" s="10">
        <v>1</v>
      </c>
      <c r="I1359" s="11" cm="1">
        <f t="array" ref="I1359">IF(D1359="","",(G1359*C1359)*0.00075)</f>
        <v>19.499792849999999</v>
      </c>
      <c r="J1359" s="11" cm="1">
        <f t="array" ref="J1359">IF(D1359="","",(G1359*D1359)*0.00075)</f>
        <v>19.906102500000003</v>
      </c>
      <c r="K1359" s="33" cm="1">
        <f t="array" ref="K1359">IF(D1359="","",J1359+I1359)</f>
        <v>39.405895350000002</v>
      </c>
      <c r="L1359" s="33" cm="1">
        <f t="array" ref="L1359">IF(D1359=0,0,(D1359-C1359)*G1359)</f>
        <v>541.74620000000016</v>
      </c>
      <c r="M1359" s="12">
        <v>25438.071497500001</v>
      </c>
      <c r="N1359" s="34" cm="1">
        <f t="array" ref="N1359">IFERROR((K1359-J1359)/J1359,"–")</f>
        <v>0.97958868894601525</v>
      </c>
      <c r="O1359" s="33" cm="1">
        <f t="array" ref="O1359">IF(D1359=0,0,L1359-K1359)*0.6154</f>
        <v>309.14022348161006</v>
      </c>
      <c r="P1359" s="11"/>
      <c r="Q1359" s="35"/>
    </row>
    <row r="1360" spans="1:17" ht="22.5" customHeight="1">
      <c r="A1360" s="16" t="s">
        <v>108</v>
      </c>
      <c r="B1360" s="43">
        <v>44542</v>
      </c>
      <c r="C1360" s="37">
        <v>10.602499999999999</v>
      </c>
      <c r="D1360" s="37">
        <v>10.62</v>
      </c>
      <c r="E1360" s="19" cm="1">
        <f t="array" ref="E1360">IF(D1360="","",D1360-C1360)</f>
        <v>1.7500000000000071E-2</v>
      </c>
      <c r="F1360" s="20" cm="1">
        <f t="array" ref="F1360">IF(D1360=0,"",(D1360-C1360)/C1360)</f>
        <v>1.650554114595621E-3</v>
      </c>
      <c r="G1360" s="21">
        <v>490.4</v>
      </c>
      <c r="H1360" s="22">
        <v>1</v>
      </c>
      <c r="I1360" s="23" cm="1">
        <f t="array" ref="I1360">IF(D1360="","",(G1360*C1360)*0.00075)</f>
        <v>3.8995994999999994</v>
      </c>
      <c r="J1360" s="23" cm="1">
        <f t="array" ref="J1360">IF(D1360="","",(G1360*D1360)*0.00075)</f>
        <v>3.9060359999999998</v>
      </c>
      <c r="K1360" s="24" cm="1">
        <f t="array" ref="K1360">IF(D1360="","",J1360+I1360)</f>
        <v>7.8056354999999993</v>
      </c>
      <c r="L1360" s="24" cm="1">
        <f t="array" ref="L1360">IF(D1360=0,0,(D1360-C1360)*G1360)</f>
        <v>8.5820000000000345</v>
      </c>
      <c r="M1360" s="25">
        <v>5186.9779639999997</v>
      </c>
      <c r="N1360" s="26" cm="1">
        <f t="array" ref="N1360">IFERROR((K1360-J1360)/J1360,"–")</f>
        <v>0.99835216572504693</v>
      </c>
      <c r="O1360" s="24" cm="1">
        <f t="array" ref="O1360">IF(D1360=0,0,L1360-K1360)</f>
        <v>0.77636450000003521</v>
      </c>
      <c r="P1360" s="23"/>
      <c r="Q1360" s="27"/>
    </row>
    <row r="1361" spans="1:17" ht="22.5" customHeight="1">
      <c r="A1361" s="16" t="s">
        <v>244</v>
      </c>
      <c r="B1361" s="42">
        <v>44543</v>
      </c>
      <c r="C1361" s="36">
        <v>1</v>
      </c>
      <c r="D1361" s="36">
        <v>201</v>
      </c>
      <c r="E1361" s="30" cm="1">
        <f t="array" ref="E1361">IF(D1361="","",D1361-C1361)</f>
        <v>200</v>
      </c>
      <c r="F1361" s="31" cm="1">
        <f t="array" ref="F1361">IF(D1361=0,"",(D1361-C1361)/C1361)</f>
        <v>200</v>
      </c>
      <c r="G1361" s="32">
        <v>1</v>
      </c>
      <c r="H1361" s="10">
        <v>1</v>
      </c>
      <c r="I1361" s="11" cm="1">
        <f t="array" ref="I1361">IF(D1361="","",(G1361*C1361)*0.00075)</f>
        <v>7.5000000000000002E-4</v>
      </c>
      <c r="J1361" s="11" cm="1">
        <f t="array" ref="J1361">IF(D1361="","",(G1361*D1361)*0.00075)</f>
        <v>0.15075</v>
      </c>
      <c r="K1361" s="33" cm="1">
        <f t="array" ref="K1361">IF(D1361="","",J1361+I1361)</f>
        <v>0.1515</v>
      </c>
      <c r="L1361" s="33" cm="1">
        <f t="array" ref="L1361">IF(D1361=0,0,(D1361-C1361)*G1361)</f>
        <v>200</v>
      </c>
      <c r="M1361" s="12">
        <v>-199.15074999999999</v>
      </c>
      <c r="N1361" s="34" cm="1">
        <f t="array" ref="N1361">IFERROR((K1361-J1361)/J1361,"–")</f>
        <v>4.975124378109457E-3</v>
      </c>
      <c r="O1361" s="33" cm="1">
        <f t="array" ref="O1361">IF(D1361=0,0,L1361-K1361)</f>
        <v>199.8485</v>
      </c>
      <c r="P1361" s="11"/>
      <c r="Q1361" s="35"/>
    </row>
    <row r="1362" spans="1:17" ht="22.5" customHeight="1">
      <c r="A1362" s="16" t="s">
        <v>64</v>
      </c>
      <c r="B1362" s="43">
        <v>44544</v>
      </c>
      <c r="C1362" s="37">
        <v>0.17499999999999999</v>
      </c>
      <c r="D1362" s="37">
        <v>0.1925</v>
      </c>
      <c r="E1362" s="19" cm="1">
        <f t="array" ref="E1362">IF(D1362="","",D1362-C1362)</f>
        <v>1.7500000000000016E-2</v>
      </c>
      <c r="F1362" s="20" cm="1">
        <f t="array" ref="F1362">IF(D1362=0,"",(D1362-C1362)/C1362)</f>
        <v>0.10000000000000009</v>
      </c>
      <c r="G1362" s="21">
        <v>142840</v>
      </c>
      <c r="H1362" s="22">
        <v>1</v>
      </c>
      <c r="I1362" s="23" cm="1">
        <f t="array" ref="I1362">IF(D1362="","",(G1362*C1362)*0.00075)</f>
        <v>18.74775</v>
      </c>
      <c r="J1362" s="23" cm="1">
        <f t="array" ref="J1362">IF(D1362="","",(G1362*D1362)*0.00075)</f>
        <v>20.622525</v>
      </c>
      <c r="K1362" s="24" cm="1">
        <f t="array" ref="K1362">IF(D1362="","",J1362+I1362)</f>
        <v>39.370274999999999</v>
      </c>
      <c r="L1362" s="24" cm="1">
        <f t="array" ref="L1362">IF(D1362=0,0,(D1362-C1362)*G1362)</f>
        <v>2499.7000000000021</v>
      </c>
      <c r="M1362" s="25">
        <v>22476.677475</v>
      </c>
      <c r="N1362" s="26" cm="1">
        <f t="array" ref="N1362">IFERROR((K1362-J1362)/J1362,"–")</f>
        <v>0.90909090909090906</v>
      </c>
      <c r="O1362" s="24" cm="1">
        <f t="array" ref="O1362">IF(D1362=0,0,L1362-K1362)</f>
        <v>2460.3297250000019</v>
      </c>
      <c r="P1362" s="23"/>
      <c r="Q1362" s="27"/>
    </row>
    <row r="1363" spans="1:17" ht="22.5" customHeight="1">
      <c r="A1363" s="16" t="s">
        <v>81</v>
      </c>
      <c r="B1363" s="42">
        <v>44544</v>
      </c>
      <c r="C1363" s="36">
        <v>7.1499999999999994E-2</v>
      </c>
      <c r="D1363" s="36">
        <v>6.8769999999999998E-2</v>
      </c>
      <c r="E1363" s="30" cm="1">
        <f t="array" ref="E1363">IF(D1363="","",D1363-C1363)</f>
        <v>-2.7299999999999963E-3</v>
      </c>
      <c r="F1363" s="31" cm="1">
        <f t="array" ref="F1363">IF(D1363=0,"",(D1363-C1363)/C1363)</f>
        <v>-3.8181818181818136E-2</v>
      </c>
      <c r="G1363" s="32">
        <v>139837.9</v>
      </c>
      <c r="H1363" s="10">
        <v>1</v>
      </c>
      <c r="I1363" s="11" cm="1">
        <f t="array" ref="I1363">IF(D1363="","",(G1363*C1363)*0.00075)</f>
        <v>7.4988073874999985</v>
      </c>
      <c r="J1363" s="11" cm="1">
        <f t="array" ref="J1363">IF(D1363="","",(G1363*D1363)*0.00075)</f>
        <v>7.2124892872499995</v>
      </c>
      <c r="K1363" s="33" cm="1">
        <f t="array" ref="K1363">IF(D1363="","",J1363+I1363)</f>
        <v>14.711296674749999</v>
      </c>
      <c r="L1363" s="33" cm="1">
        <f t="array" ref="L1363">IF(D1363=0,0,(D1363-C1363)*G1363)</f>
        <v>-381.75746699999945</v>
      </c>
      <c r="M1363" s="12">
        <v>10372.9548277128</v>
      </c>
      <c r="N1363" s="34" cm="1">
        <f t="array" ref="N1363">IFERROR((K1363-J1363)/J1363,"–")</f>
        <v>1.0396975425330812</v>
      </c>
      <c r="O1363" s="33" cm="1">
        <f t="array" ref="O1363">IF(D1363=0,0,L1363-K1363)</f>
        <v>-396.46876367474943</v>
      </c>
      <c r="P1363" s="11"/>
      <c r="Q1363" s="35"/>
    </row>
    <row r="1364" spans="1:17" ht="22.5" customHeight="1">
      <c r="A1364" s="16" t="s">
        <v>117</v>
      </c>
      <c r="B1364" s="43">
        <v>44545</v>
      </c>
      <c r="C1364" s="37">
        <v>1.657</v>
      </c>
      <c r="D1364" s="37">
        <v>1.5860000000000001</v>
      </c>
      <c r="E1364" s="19" cm="1">
        <f t="array" ref="E1364">IF(D1364="","",D1364-C1364)</f>
        <v>-7.0999999999999952E-2</v>
      </c>
      <c r="F1364" s="20" cm="1">
        <f t="array" ref="F1364">IF(D1364=0,"",(D1364-C1364)/C1364)</f>
        <v>-4.2848521424260683E-2</v>
      </c>
      <c r="G1364" s="21">
        <v>6296.5</v>
      </c>
      <c r="H1364" s="22">
        <v>1</v>
      </c>
      <c r="I1364" s="23" cm="1">
        <f t="array" ref="I1364">IF(D1364="","",(G1364*C1364)*0.00075)</f>
        <v>7.8249753749999993</v>
      </c>
      <c r="J1364" s="23" cm="1">
        <f t="array" ref="J1364">IF(D1364="","",(G1364*D1364)*0.00075)</f>
        <v>7.4896867499999997</v>
      </c>
      <c r="K1364" s="24" cm="1">
        <f t="array" ref="K1364">IF(D1364="","",J1364+I1364)</f>
        <v>15.314662124999998</v>
      </c>
      <c r="L1364" s="24" cm="1">
        <f t="array" ref="L1364">IF(D1364=0,0,(D1364-C1364)*G1364)</f>
        <v>-447.05149999999969</v>
      </c>
      <c r="M1364" s="25">
        <v>10872.86231325</v>
      </c>
      <c r="N1364" s="26" cm="1">
        <f t="array" ref="N1364">IFERROR((K1364-J1364)/J1364,"–")</f>
        <v>1.0447667087011347</v>
      </c>
      <c r="O1364" s="24" cm="1">
        <f t="array" ref="O1364">IF(D1364=0,0,L1364-K1364)</f>
        <v>-462.36616212499968</v>
      </c>
      <c r="P1364" s="23"/>
      <c r="Q1364" s="27"/>
    </row>
    <row r="1365" spans="1:17" ht="22.5" customHeight="1">
      <c r="A1365" s="16" t="s">
        <v>168</v>
      </c>
      <c r="B1365" s="42">
        <v>44545</v>
      </c>
      <c r="C1365" s="36">
        <v>2.343</v>
      </c>
      <c r="D1365" s="36">
        <v>2.3479000000000001</v>
      </c>
      <c r="E1365" s="30" cm="1">
        <f t="array" ref="E1365">IF(D1365="","",D1365-C1365)</f>
        <v>4.9000000000001265E-3</v>
      </c>
      <c r="F1365" s="31" cm="1">
        <f t="array" ref="F1365">IF(D1365=0,"",(D1365-C1365)/C1365)</f>
        <v>2.0913358941528496E-3</v>
      </c>
      <c r="G1365" s="32">
        <v>10668.2</v>
      </c>
      <c r="H1365" s="10">
        <v>1</v>
      </c>
      <c r="I1365" s="11" cm="1">
        <f t="array" ref="I1365">IF(D1365="","",(G1365*C1365)*0.00075)</f>
        <v>18.74669445</v>
      </c>
      <c r="J1365" s="11" cm="1">
        <f t="array" ref="J1365">IF(D1365="","",(G1365*D1365)*0.00075)</f>
        <v>18.785900085000005</v>
      </c>
      <c r="K1365" s="33" cm="1">
        <f t="array" ref="K1365">IF(D1365="","",J1365+I1365)</f>
        <v>37.532594535000001</v>
      </c>
      <c r="L1365" s="33" cm="1">
        <f t="array" ref="L1365">IF(D1365=0,0,(D1365-C1365)*G1365)</f>
        <v>52.274180000001351</v>
      </c>
      <c r="M1365" s="12">
        <v>24924.532519914999</v>
      </c>
      <c r="N1365" s="34" cm="1">
        <f t="array" ref="N1365">IFERROR((K1365-J1365)/J1365,"–")</f>
        <v>0.99791302866391196</v>
      </c>
      <c r="O1365" s="33" cm="1">
        <f t="array" ref="O1365">IF(D1365=0,0,L1365-K1365)</f>
        <v>14.74158546500135</v>
      </c>
      <c r="P1365" s="11"/>
      <c r="Q1365" s="35"/>
    </row>
    <row r="1366" spans="1:17" ht="22.5" customHeight="1">
      <c r="A1366" s="16" t="s">
        <v>15</v>
      </c>
      <c r="B1366" s="43">
        <v>44545</v>
      </c>
      <c r="C1366" s="37">
        <v>5.9549999999999999E-2</v>
      </c>
      <c r="D1366" s="37">
        <v>6.0290000000000003E-2</v>
      </c>
      <c r="E1366" s="19" cm="1">
        <f t="array" ref="E1366">IF(D1366="","",D1366-C1366)</f>
        <v>7.4000000000000454E-4</v>
      </c>
      <c r="F1366" s="20" cm="1">
        <f t="array" ref="F1366">IF(D1366=0,"",(D1366-C1366)/C1366)</f>
        <v>1.2426532325776734E-2</v>
      </c>
      <c r="G1366" s="21">
        <v>470121.6</v>
      </c>
      <c r="H1366" s="22">
        <v>1</v>
      </c>
      <c r="I1366" s="23" cm="1">
        <f t="array" ref="I1366">IF(D1366="","",(G1366*C1366)*0.00075)</f>
        <v>20.99680596</v>
      </c>
      <c r="J1366" s="23" cm="1">
        <f t="array" ref="J1366">IF(D1366="","",(G1366*D1366)*0.00075)</f>
        <v>21.257723448</v>
      </c>
      <c r="K1366" s="24" cm="1">
        <f t="array" ref="K1366">IF(D1366="","",J1366+I1366)</f>
        <v>42.254529407999996</v>
      </c>
      <c r="L1366" s="24" cm="1">
        <f t="array" ref="L1366">IF(D1366=0,0,(D1366-C1366)*G1366)</f>
        <v>347.88998400000213</v>
      </c>
      <c r="M1366" s="25">
        <v>27626.593572551999</v>
      </c>
      <c r="N1366" s="26" cm="1">
        <f t="array" ref="N1366">IFERROR((K1366-J1366)/J1366,"–")</f>
        <v>0.98772599104329062</v>
      </c>
      <c r="O1366" s="24" cm="1">
        <f t="array" ref="O1366">IF(D1366=0,0,L1366-K1366)</f>
        <v>305.63545459200213</v>
      </c>
      <c r="P1366" s="23"/>
      <c r="Q1366" s="27"/>
    </row>
    <row r="1367" spans="1:17" ht="22.5" customHeight="1">
      <c r="A1367" s="16" t="s">
        <v>108</v>
      </c>
      <c r="B1367" s="42">
        <v>44545</v>
      </c>
      <c r="C1367" s="36">
        <v>10.055</v>
      </c>
      <c r="D1367" s="36">
        <v>10</v>
      </c>
      <c r="E1367" s="30" cm="1">
        <f t="array" ref="E1367">IF(D1367="","",D1367-C1367)</f>
        <v>-5.4999999999999716E-2</v>
      </c>
      <c r="F1367" s="31" cm="1">
        <f t="array" ref="F1367">IF(D1367=0,"",(D1367-C1367)/C1367)</f>
        <v>-5.4699154649427862E-3</v>
      </c>
      <c r="G1367" s="32">
        <v>3430.8</v>
      </c>
      <c r="H1367" s="10">
        <v>1</v>
      </c>
      <c r="I1367" s="11" cm="1">
        <f t="array" ref="I1367">IF(D1367="","",(G1367*C1367)*0.00075)</f>
        <v>25.872520500000004</v>
      </c>
      <c r="J1367" s="11" cm="1">
        <f t="array" ref="J1367">IF(D1367="","",(G1367*D1367)*0.00075)</f>
        <v>25.731000000000002</v>
      </c>
      <c r="K1367" s="33" cm="1">
        <f t="array" ref="K1367">IF(D1367="","",J1367+I1367)</f>
        <v>51.603520500000002</v>
      </c>
      <c r="L1367" s="33" cm="1">
        <f t="array" ref="L1367">IF(D1367=0,0,(D1367-C1367)*G1367)</f>
        <v>-188.69399999999902</v>
      </c>
      <c r="M1367" s="12">
        <v>34659.656999999999</v>
      </c>
      <c r="N1367" s="34" cm="1">
        <f t="array" ref="N1367">IFERROR((K1367-J1367)/J1367,"–")</f>
        <v>1.0054999999999998</v>
      </c>
      <c r="O1367" s="33" cm="1">
        <f t="array" ref="O1367">IF(D1367=0,0,L1367-K1367)</f>
        <v>-240.29752049999902</v>
      </c>
      <c r="P1367" s="11"/>
      <c r="Q1367" s="35"/>
    </row>
    <row r="1368" spans="1:17" ht="22.5" customHeight="1">
      <c r="A1368" s="16" t="s">
        <v>248</v>
      </c>
      <c r="B1368" s="43">
        <v>44546</v>
      </c>
      <c r="C1368" s="37">
        <v>0.53380000000000005</v>
      </c>
      <c r="D1368" s="37">
        <v>0.53139999999999998</v>
      </c>
      <c r="E1368" s="19" cm="1">
        <f t="array" ref="E1368">IF(D1368="","",D1368-C1368)</f>
        <v>-2.4000000000000687E-3</v>
      </c>
      <c r="F1368" s="20" cm="1">
        <f t="array" ref="F1368">IF(D1368=0,"",(D1368-C1368)/C1368)</f>
        <v>-4.4960659423006156E-3</v>
      </c>
      <c r="G1368" s="21">
        <v>28098.9</v>
      </c>
      <c r="H1368" s="22">
        <v>1</v>
      </c>
      <c r="I1368" s="23" cm="1">
        <f t="array" ref="I1368">IF(D1368="","",(G1368*C1368)*0.00075)</f>
        <v>11.249394615000002</v>
      </c>
      <c r="J1368" s="23" cm="1">
        <f t="array" ref="J1368">IF(D1368="","",(G1368*D1368)*0.00075)</f>
        <v>11.198816595</v>
      </c>
      <c r="K1368" s="24" cm="1">
        <f t="array" ref="K1368">IF(D1368="","",J1368+I1368)</f>
        <v>22.448211210000004</v>
      </c>
      <c r="L1368" s="24" cm="1">
        <f t="array" ref="L1368">IF(D1368=0,0,(D1368-C1368)*G1368)</f>
        <v>-67.437360000001931</v>
      </c>
      <c r="M1368" s="25">
        <v>15055.431363405</v>
      </c>
      <c r="N1368" s="26" cm="1">
        <f t="array" ref="N1368">IFERROR((K1368-J1368)/J1368,"–")</f>
        <v>1.0045163718479491</v>
      </c>
      <c r="O1368" s="24" cm="1">
        <f t="array" ref="O1368">IF(D1368=0,0,L1368-K1368)</f>
        <v>-89.885571210001928</v>
      </c>
      <c r="P1368" s="23"/>
      <c r="Q1368" s="27"/>
    </row>
    <row r="1369" spans="1:17" ht="22.5" customHeight="1">
      <c r="A1369" s="16" t="s">
        <v>251</v>
      </c>
      <c r="B1369" s="53">
        <v>44546</v>
      </c>
      <c r="C1369" s="36">
        <v>1.6419999999999999</v>
      </c>
      <c r="D1369" s="36">
        <v>1.6473</v>
      </c>
      <c r="E1369" s="30" cm="1">
        <f t="array" ref="E1369">IF(D1369="","",D1369-C1369)</f>
        <v>5.3000000000000824E-3</v>
      </c>
      <c r="F1369" s="31" cm="1">
        <f t="array" ref="F1369">IF(D1369=0,"",(D1369-C1369)/C1369)</f>
        <v>3.2277710109622913E-3</v>
      </c>
      <c r="G1369" s="32">
        <v>15834</v>
      </c>
      <c r="H1369" s="10">
        <v>1</v>
      </c>
      <c r="I1369" s="11" cm="1">
        <f t="array" ref="I1369">IF(D1369="","",(G1369*C1369)*0.00075)</f>
        <v>19.499571</v>
      </c>
      <c r="J1369" s="11" cm="1">
        <f t="array" ref="J1369">IF(D1369="","",(G1369*D1369)*0.00075)</f>
        <v>19.562511150000002</v>
      </c>
      <c r="K1369" s="33" cm="1">
        <f t="array" ref="K1369">IF(D1369="","",J1369+I1369)</f>
        <v>39.062082150000002</v>
      </c>
      <c r="L1369" s="33" cm="1">
        <f t="array" ref="L1369">IF(D1369=0,0,(D1369-C1369)*G1369)</f>
        <v>83.920200000001302</v>
      </c>
      <c r="M1369" s="12">
        <v>25895.945288850002</v>
      </c>
      <c r="N1369" s="34" cm="1">
        <f t="array" ref="N1369">IFERROR((K1369-J1369)/J1369,"–")</f>
        <v>0.99678261397438217</v>
      </c>
      <c r="O1369" s="33" cm="1">
        <f t="array" ref="O1369">IF(D1369=0,0,L1369-K1369)</f>
        <v>44.8581178500013</v>
      </c>
      <c r="P1369" s="11"/>
      <c r="Q1369" s="35"/>
    </row>
    <row r="1370" spans="1:17" ht="22.5" customHeight="1">
      <c r="A1370" s="16" t="s">
        <v>171</v>
      </c>
      <c r="B1370" s="52">
        <v>44547</v>
      </c>
      <c r="C1370" s="37">
        <v>5</v>
      </c>
      <c r="D1370" s="37">
        <v>5.1631</v>
      </c>
      <c r="E1370" s="19" cm="1">
        <f t="array" ref="E1370">IF(D1370="","",D1370-C1370)</f>
        <v>0.16310000000000002</v>
      </c>
      <c r="F1370" s="20" cm="1">
        <f t="array" ref="F1370">IF(D1370=0,"",(D1370-C1370)/C1370)</f>
        <v>3.2620000000000003E-2</v>
      </c>
      <c r="G1370" s="21">
        <v>5198.3999999999996</v>
      </c>
      <c r="H1370" s="22">
        <v>1</v>
      </c>
      <c r="I1370" s="23" cm="1">
        <f t="array" ref="I1370">IF(D1370="","",(G1370*C1370)*0.00075)</f>
        <v>19.494</v>
      </c>
      <c r="J1370" s="23" cm="1">
        <f t="array" ref="J1370">IF(D1370="","",(G1370*D1370)*0.00075)</f>
        <v>20.129894279999998</v>
      </c>
      <c r="K1370" s="24" cm="1">
        <f t="array" ref="K1370">IF(D1370="","",J1370+I1370)</f>
        <v>39.623894280000002</v>
      </c>
      <c r="L1370" s="24" cm="1">
        <f t="array" ref="L1370">IF(D1370=0,0,(D1370-C1370)*G1370)</f>
        <v>847.85904000000005</v>
      </c>
      <c r="M1370" s="25">
        <v>25124.011065719998</v>
      </c>
      <c r="N1370" s="26" cm="1">
        <f t="array" ref="N1370">IFERROR((K1370-J1370)/J1370,"–")</f>
        <v>0.96841045108558832</v>
      </c>
      <c r="O1370" s="24" cm="1">
        <f t="array" ref="O1370">IF(D1370=0,0,L1370-K1370)</f>
        <v>808.23514571999999</v>
      </c>
      <c r="P1370" s="23"/>
      <c r="Q1370" s="27"/>
    </row>
    <row r="1371" spans="1:17" ht="22.5" customHeight="1">
      <c r="A1371" s="16" t="s">
        <v>130</v>
      </c>
      <c r="B1371" s="53">
        <v>44547</v>
      </c>
      <c r="C1371" s="36">
        <v>0.69720000000000004</v>
      </c>
      <c r="D1371" s="36">
        <v>0.71150000000000002</v>
      </c>
      <c r="E1371" s="30" cm="1">
        <f t="array" ref="E1371">IF(D1371="","",D1371-C1371)</f>
        <v>1.4299999999999979E-2</v>
      </c>
      <c r="F1371" s="31" cm="1">
        <f t="array" ref="F1371">IF(D1371=0,"",(D1371-C1371)/C1371)</f>
        <v>2.0510613884107829E-2</v>
      </c>
      <c r="G1371" s="32">
        <v>21298</v>
      </c>
      <c r="H1371" s="10">
        <v>1</v>
      </c>
      <c r="I1371" s="11" cm="1">
        <f t="array" ref="I1371">IF(D1371="","",(G1371*C1371)*0.00075)</f>
        <v>11.136724200000002</v>
      </c>
      <c r="J1371" s="11" cm="1">
        <f t="array" ref="J1371">IF(D1371="","",(G1371*D1371)*0.00075)</f>
        <v>11.365145249999999</v>
      </c>
      <c r="K1371" s="33" cm="1">
        <f t="array" ref="K1371">IF(D1371="","",J1371+I1371)</f>
        <v>22.501869450000001</v>
      </c>
      <c r="L1371" s="33" cm="1">
        <f t="array" ref="L1371">IF(D1371=0,0,(D1371-C1371)*G1371)</f>
        <v>304.56139999999954</v>
      </c>
      <c r="M1371" s="12">
        <v>14533.039054749999</v>
      </c>
      <c r="N1371" s="34" cm="1">
        <f t="array" ref="N1371">IFERROR((K1371-J1371)/J1371,"–")</f>
        <v>0.97990161630358419</v>
      </c>
      <c r="O1371" s="33" cm="1">
        <f t="array" ref="O1371">IF(D1371=0,0,L1371-K1371)</f>
        <v>282.05953054999952</v>
      </c>
      <c r="P1371" s="11"/>
      <c r="Q1371" s="35"/>
    </row>
    <row r="1372" spans="1:17" ht="22.5" customHeight="1">
      <c r="A1372" s="16" t="s">
        <v>146</v>
      </c>
      <c r="B1372" s="52">
        <v>44547</v>
      </c>
      <c r="C1372" s="37">
        <v>3.4759999999999999E-2</v>
      </c>
      <c r="D1372" s="37">
        <v>3.4360000000000002E-2</v>
      </c>
      <c r="E1372" s="19" cm="1">
        <f t="array" ref="E1372">IF(D1372="","",D1372-C1372)</f>
        <v>-3.9999999999999758E-4</v>
      </c>
      <c r="F1372" s="20" cm="1">
        <f t="array" ref="F1372">IF(D1372=0,"",(D1372-C1372)/C1372)</f>
        <v>-1.1507479861910173E-2</v>
      </c>
      <c r="G1372" s="21">
        <v>149593</v>
      </c>
      <c r="H1372" s="22">
        <v>1</v>
      </c>
      <c r="I1372" s="23" cm="1">
        <f t="array" ref="I1372">IF(D1372="","",(G1372*C1372)*0.00075)</f>
        <v>3.8998895099999999</v>
      </c>
      <c r="J1372" s="23" cm="1">
        <f t="array" ref="J1372">IF(D1372="","",(G1372*D1372)*0.00075)</f>
        <v>3.85501161</v>
      </c>
      <c r="K1372" s="24" cm="1">
        <f t="array" ref="K1372">IF(D1372="","",J1372+I1372)</f>
        <v>7.7549011199999995</v>
      </c>
      <c r="L1372" s="24" cm="1">
        <f t="array" ref="L1372">IF(D1372=0,0,(D1372-C1372)*G1372)</f>
        <v>-59.83719999999964</v>
      </c>
      <c r="M1372" s="25">
        <v>5255.8348683900003</v>
      </c>
      <c r="N1372" s="26" cm="1">
        <f t="array" ref="N1372">IFERROR((K1372-J1372)/J1372,"–")</f>
        <v>1.0116414435389987</v>
      </c>
      <c r="O1372" s="24" cm="1">
        <f t="array" ref="O1372">IF(D1372=0,0,L1372-K1372)</f>
        <v>-67.59210111999964</v>
      </c>
      <c r="P1372" s="23"/>
      <c r="Q1372" s="27"/>
    </row>
    <row r="1373" spans="1:17" ht="22.5" customHeight="1">
      <c r="A1373" s="16" t="s">
        <v>438</v>
      </c>
      <c r="B1373" s="53">
        <v>44547</v>
      </c>
      <c r="C1373" s="36">
        <v>1</v>
      </c>
      <c r="D1373" s="36">
        <v>250.9</v>
      </c>
      <c r="E1373" s="30" cm="1">
        <f t="array" ref="E1373">IF(D1373="","",D1373-C1373)</f>
        <v>249.9</v>
      </c>
      <c r="F1373" s="31" cm="1">
        <f t="array" ref="F1373">IF(D1373=0,"",(D1373-C1373)/C1373)</f>
        <v>249.9</v>
      </c>
      <c r="G1373" s="32">
        <v>1</v>
      </c>
      <c r="H1373" s="10">
        <v>1</v>
      </c>
      <c r="I1373" s="11" cm="1">
        <f t="array" ref="I1373">IF(D1373="","",(G1373*C1373)*0.00075)</f>
        <v>7.5000000000000002E-4</v>
      </c>
      <c r="J1373" s="11" cm="1">
        <f t="array" ref="J1373">IF(D1373="","",(G1373*D1373)*0.00075)</f>
        <v>0.18817500000000001</v>
      </c>
      <c r="K1373" s="33" cm="1">
        <f t="array" ref="K1373">IF(D1373="","",J1373+I1373)</f>
        <v>0.18892500000000001</v>
      </c>
      <c r="L1373" s="33" cm="1">
        <f t="array" ref="L1373">IF(D1373=0,0,(D1373-C1373)*G1373)</f>
        <v>249.9</v>
      </c>
      <c r="M1373" s="12">
        <v>-249.08817500000001</v>
      </c>
      <c r="N1373" s="34" cm="1">
        <f t="array" ref="N1373">IFERROR((K1373-J1373)/J1373,"–")</f>
        <v>3.98565165404544E-3</v>
      </c>
      <c r="O1373" s="33" cm="1">
        <f t="array" ref="O1373">IF(D1373=0,0,L1373-K1373)</f>
        <v>249.71107499999999</v>
      </c>
      <c r="P1373" s="11"/>
      <c r="Q1373" s="35"/>
    </row>
    <row r="1374" spans="1:17" ht="22.5" customHeight="1">
      <c r="A1374" s="16" t="s">
        <v>134</v>
      </c>
      <c r="B1374" s="43">
        <v>44548</v>
      </c>
      <c r="C1374" s="37">
        <v>7.3647999999999998</v>
      </c>
      <c r="D1374" s="37">
        <v>7.4443000000000001</v>
      </c>
      <c r="E1374" s="19" cm="1">
        <f t="array" ref="E1374">IF(D1374="","",D1374-C1374)</f>
        <v>7.9500000000000348E-2</v>
      </c>
      <c r="F1374" s="20" cm="1">
        <f t="array" ref="F1374">IF(D1374=0,"",(D1374-C1374)/C1374)</f>
        <v>1.0794590484466699E-2</v>
      </c>
      <c r="G1374" s="21">
        <v>4344.8999999999996</v>
      </c>
      <c r="H1374" s="22">
        <v>1</v>
      </c>
      <c r="I1374" s="23" cm="1">
        <f t="array" ref="I1374">IF(D1374="","",(G1374*C1374)*0.00075)</f>
        <v>23.99948964</v>
      </c>
      <c r="J1374" s="23" cm="1">
        <f t="array" ref="J1374">IF(D1374="","",(G1374*D1374)*0.00075)</f>
        <v>24.258554302499999</v>
      </c>
      <c r="K1374" s="24" cm="1">
        <f t="array" ref="K1374">IF(D1374="","",J1374+I1374)</f>
        <v>48.258043942499995</v>
      </c>
      <c r="L1374" s="24" cm="1">
        <f t="array" ref="L1374">IF(D1374=0,0,(D1374-C1374)*G1374)</f>
        <v>345.41955000000149</v>
      </c>
      <c r="M1374" s="25">
        <v>31629.641415697501</v>
      </c>
      <c r="N1374" s="26" cm="1">
        <f t="array" ref="N1374">IFERROR((K1374-J1374)/J1374,"–")</f>
        <v>0.98932068831186271</v>
      </c>
      <c r="O1374" s="24" cm="1">
        <f t="array" ref="O1374">IF(D1374=0,0,L1374-K1374)</f>
        <v>297.16150605750147</v>
      </c>
      <c r="P1374" s="23"/>
      <c r="Q1374" s="27"/>
    </row>
    <row r="1375" spans="1:17" ht="22.5" customHeight="1">
      <c r="A1375" s="16" t="s">
        <v>173</v>
      </c>
      <c r="B1375" s="42">
        <v>44548</v>
      </c>
      <c r="C1375" s="36">
        <v>4.8049999999999997</v>
      </c>
      <c r="D1375" s="36">
        <v>4.91</v>
      </c>
      <c r="E1375" s="30" cm="1">
        <f t="array" ref="E1375">IF(D1375="","",D1375-C1375)</f>
        <v>0.10500000000000043</v>
      </c>
      <c r="F1375" s="31" cm="1">
        <f t="array" ref="F1375">IF(D1375=0,"",(D1375-C1375)/C1375)</f>
        <v>2.1852237252861693E-2</v>
      </c>
      <c r="G1375" s="32">
        <v>232.8</v>
      </c>
      <c r="H1375" s="10">
        <v>1</v>
      </c>
      <c r="I1375" s="11" cm="1">
        <f t="array" ref="I1375">IF(D1375="","",(G1375*C1375)*0.00075)</f>
        <v>0.83895300000000006</v>
      </c>
      <c r="J1375" s="11" cm="1">
        <f t="array" ref="J1375">IF(D1375="","",(G1375*D1375)*0.00075)</f>
        <v>0.85728599999999999</v>
      </c>
      <c r="K1375" s="33" cm="1">
        <f t="array" ref="K1375">IF(D1375="","",J1375+I1375)</f>
        <v>1.6962390000000001</v>
      </c>
      <c r="L1375" s="33" cm="1">
        <f t="array" ref="L1375">IF(D1375=0,0,(D1375-C1375)*G1375)</f>
        <v>24.444000000000102</v>
      </c>
      <c r="M1375" s="12">
        <v>1093.3027139999999</v>
      </c>
      <c r="N1375" s="34" cm="1">
        <f t="array" ref="N1375">IFERROR((K1375-J1375)/J1375,"–")</f>
        <v>0.97861507128309577</v>
      </c>
      <c r="O1375" s="33" cm="1">
        <f t="array" ref="O1375">IF(D1375=0,0,L1375-K1375)</f>
        <v>22.747761000000104</v>
      </c>
      <c r="P1375" s="11"/>
      <c r="Q1375" s="35"/>
    </row>
    <row r="1376" spans="1:17" ht="22.5" customHeight="1">
      <c r="A1376" s="16" t="s">
        <v>261</v>
      </c>
      <c r="B1376" s="43">
        <v>44548</v>
      </c>
      <c r="C1376" s="37">
        <v>8.75</v>
      </c>
      <c r="D1376" s="37">
        <v>8.7759999999999998</v>
      </c>
      <c r="E1376" s="19" cm="1">
        <f t="array" ref="E1376">IF(D1376="","",D1376-C1376)</f>
        <v>2.5999999999999801E-2</v>
      </c>
      <c r="F1376" s="20" cm="1">
        <f t="array" ref="F1376">IF(D1376=0,"",(D1376-C1376)/C1376)</f>
        <v>2.9714285714285485E-3</v>
      </c>
      <c r="G1376" s="21">
        <v>270.35000000000002</v>
      </c>
      <c r="H1376" s="22">
        <v>1</v>
      </c>
      <c r="I1376" s="23" cm="1">
        <f t="array" ref="I1376">IF(D1376="","",(G1376*C1376)*0.00075)</f>
        <v>1.774171875</v>
      </c>
      <c r="J1376" s="23" cm="1">
        <f t="array" ref="J1376">IF(D1376="","",(G1376*D1376)*0.00075)</f>
        <v>1.7794437000000003</v>
      </c>
      <c r="K1376" s="24" cm="1">
        <f t="array" ref="K1376">IF(D1376="","",J1376+I1376)</f>
        <v>3.5536155750000002</v>
      </c>
      <c r="L1376" s="24" cm="1">
        <f t="array" ref="L1376">IF(D1376=0,0,(D1376-C1376)*G1376)</f>
        <v>7.0290999999999464</v>
      </c>
      <c r="M1376" s="25">
        <v>2356.7539563</v>
      </c>
      <c r="N1376" s="26" cm="1">
        <f t="array" ref="N1376">IFERROR((K1376-J1376)/J1376,"–")</f>
        <v>0.99703737465815845</v>
      </c>
      <c r="O1376" s="24" cm="1">
        <f t="array" ref="O1376">IF(D1376=0,0,L1376-K1376)</f>
        <v>3.4754844249999461</v>
      </c>
      <c r="P1376" s="23"/>
      <c r="Q1376" s="27"/>
    </row>
    <row r="1377" spans="1:17" ht="22.5" customHeight="1">
      <c r="A1377" s="16" t="s">
        <v>155</v>
      </c>
      <c r="B1377" s="42">
        <v>44548</v>
      </c>
      <c r="C1377" s="36">
        <v>0.30254999999999999</v>
      </c>
      <c r="D1377" s="36">
        <v>0.3</v>
      </c>
      <c r="E1377" s="30" cm="1">
        <f t="array" ref="E1377">IF(D1377="","",D1377-C1377)</f>
        <v>-2.5499999999999967E-3</v>
      </c>
      <c r="F1377" s="31" cm="1">
        <f t="array" ref="F1377">IF(D1377=0,"",(D1377-C1377)/C1377)</f>
        <v>-8.4283589489340498E-3</v>
      </c>
      <c r="G1377" s="32">
        <v>19830</v>
      </c>
      <c r="H1377" s="10">
        <v>1</v>
      </c>
      <c r="I1377" s="11" cm="1">
        <f t="array" ref="I1377">IF(D1377="","",(G1377*C1377)*0.00075)</f>
        <v>4.4996748750000002</v>
      </c>
      <c r="J1377" s="11" cm="1">
        <f t="array" ref="J1377">IF(D1377="","",(G1377*D1377)*0.00075)</f>
        <v>4.4617500000000003</v>
      </c>
      <c r="K1377" s="33" cm="1">
        <f t="array" ref="K1377">IF(D1377="","",J1377+I1377)</f>
        <v>8.9614248750000005</v>
      </c>
      <c r="L1377" s="33" cm="1">
        <f t="array" ref="L1377">IF(D1377=0,0,(D1377-C1377)*G1377)</f>
        <v>-50.566499999999934</v>
      </c>
      <c r="M1377" s="12">
        <v>6045.6712500000003</v>
      </c>
      <c r="N1377" s="34" cm="1">
        <f t="array" ref="N1377">IFERROR((K1377-J1377)/J1377,"–")</f>
        <v>1.0085</v>
      </c>
      <c r="O1377" s="33" cm="1">
        <f t="array" ref="O1377">IF(D1377=0,0,L1377-K1377)</f>
        <v>-59.527924874999933</v>
      </c>
      <c r="P1377" s="11"/>
      <c r="Q1377" s="35"/>
    </row>
    <row r="1378" spans="1:17" ht="22.5" customHeight="1">
      <c r="A1378" s="16" t="s">
        <v>194</v>
      </c>
      <c r="B1378" s="43">
        <v>44548</v>
      </c>
      <c r="C1378" s="37">
        <v>6.2549999999999994E-2</v>
      </c>
      <c r="D1378" s="37">
        <v>6.2560000000000004E-2</v>
      </c>
      <c r="E1378" s="19" cm="1">
        <f t="array" ref="E1378">IF(D1378="","",D1378-C1378)</f>
        <v>1.0000000000010001E-5</v>
      </c>
      <c r="F1378" s="20" cm="1">
        <f t="array" ref="F1378">IF(D1378=0,"",(D1378-C1378)/C1378)</f>
        <v>1.5987210231830539E-4</v>
      </c>
      <c r="G1378" s="21">
        <v>191825.2</v>
      </c>
      <c r="H1378" s="22">
        <v>1</v>
      </c>
      <c r="I1378" s="23" cm="1">
        <f t="array" ref="I1378">IF(D1378="","",(G1378*C1378)*0.00075)</f>
        <v>8.9989996950000002</v>
      </c>
      <c r="J1378" s="23" cm="1">
        <f t="array" ref="J1378">IF(D1378="","",(G1378*D1378)*0.00075)</f>
        <v>9.0004383840000006</v>
      </c>
      <c r="K1378" s="24" cm="1">
        <f t="array" ref="K1378">IF(D1378="","",J1378+I1378)</f>
        <v>17.999438079000001</v>
      </c>
      <c r="L1378" s="24" cm="1">
        <f t="array" ref="L1378">IF(D1378=0,0,(D1378-C1378)*G1378)</f>
        <v>1.9182520000019185</v>
      </c>
      <c r="M1378" s="25">
        <v>11987.747569616</v>
      </c>
      <c r="N1378" s="26" cm="1">
        <f t="array" ref="N1378">IFERROR((K1378-J1378)/J1378,"–")</f>
        <v>0.9998401534526854</v>
      </c>
      <c r="O1378" s="24" cm="1">
        <f t="array" ref="O1378">IF(D1378=0,0,L1378-K1378)</f>
        <v>-16.081186078998083</v>
      </c>
      <c r="P1378" s="23"/>
      <c r="Q1378" s="27"/>
    </row>
    <row r="1379" spans="1:17" ht="22.5" customHeight="1">
      <c r="A1379" s="16" t="s">
        <v>55</v>
      </c>
      <c r="B1379" s="42">
        <v>44548</v>
      </c>
      <c r="C1379" s="36">
        <v>8.8959999999999997E-2</v>
      </c>
      <c r="D1379" s="36">
        <v>8.7569999999999995E-2</v>
      </c>
      <c r="E1379" s="30" cm="1">
        <f t="array" ref="E1379">IF(D1379="","",D1379-C1379)</f>
        <v>-1.3900000000000023E-3</v>
      </c>
      <c r="F1379" s="31" cm="1">
        <f t="array" ref="F1379">IF(D1379=0,"",(D1379-C1379)/C1379)</f>
        <v>-1.5625000000000028E-2</v>
      </c>
      <c r="G1379" s="32">
        <v>86836</v>
      </c>
      <c r="H1379" s="10">
        <v>1</v>
      </c>
      <c r="I1379" s="11" cm="1">
        <f t="array" ref="I1379">IF(D1379="","",(G1379*C1379)*0.00075)</f>
        <v>5.7936979199999996</v>
      </c>
      <c r="J1379" s="11" cm="1">
        <f t="array" ref="J1379">IF(D1379="","",(G1379*D1379)*0.00075)</f>
        <v>5.7031713899999996</v>
      </c>
      <c r="K1379" s="33" cm="1">
        <f t="array" ref="K1379">IF(D1379="","",J1379+I1379)</f>
        <v>11.496869309999999</v>
      </c>
      <c r="L1379" s="33" cm="1">
        <f t="array" ref="L1379">IF(D1379=0,0,(D1379-C1379)*G1379)</f>
        <v>-120.70204000000021</v>
      </c>
      <c r="M1379" s="12">
        <v>7839.9294286100003</v>
      </c>
      <c r="N1379" s="34" cm="1">
        <f t="array" ref="N1379">IFERROR((K1379-J1379)/J1379,"–")</f>
        <v>1.0158730158730158</v>
      </c>
      <c r="O1379" s="33" cm="1">
        <f t="array" ref="O1379">IF(D1379=0,0,L1379-K1379)</f>
        <v>-132.1989093100002</v>
      </c>
      <c r="P1379" s="11"/>
      <c r="Q1379" s="35"/>
    </row>
    <row r="1380" spans="1:17" ht="22.5" customHeight="1">
      <c r="A1380" s="16" t="s">
        <v>46</v>
      </c>
      <c r="B1380" s="43">
        <v>44548</v>
      </c>
      <c r="C1380" s="37">
        <v>2.577</v>
      </c>
      <c r="D1380" s="37">
        <v>2.5739999999999998</v>
      </c>
      <c r="E1380" s="19" cm="1">
        <f t="array" ref="E1380">IF(D1380="","",D1380-C1380)</f>
        <v>-3.0000000000001137E-3</v>
      </c>
      <c r="F1380" s="20" cm="1">
        <f t="array" ref="F1380">IF(D1380=0,"",(D1380-C1380)/C1380)</f>
        <v>-1.1641443538999278E-3</v>
      </c>
      <c r="G1380" s="21">
        <v>1500</v>
      </c>
      <c r="H1380" s="22">
        <v>1</v>
      </c>
      <c r="I1380" s="23" cm="1">
        <f t="array" ref="I1380">IF(D1380="","",(G1380*C1380)*0.00075)</f>
        <v>2.8991250000000002</v>
      </c>
      <c r="J1380" s="23" cm="1">
        <f t="array" ref="J1380">IF(D1380="","",(G1380*D1380)*0.00075)</f>
        <v>2.8957499999999996</v>
      </c>
      <c r="K1380" s="24" cm="1">
        <f t="array" ref="K1380">IF(D1380="","",J1380+I1380)</f>
        <v>5.7948749999999993</v>
      </c>
      <c r="L1380" s="24" cm="1">
        <f t="array" ref="L1380">IF(D1380=0,0,(D1380-C1380)*G1380)</f>
        <v>-4.5000000000001705</v>
      </c>
      <c r="M1380" s="25">
        <v>3867.1042499999999</v>
      </c>
      <c r="N1380" s="26" cm="1">
        <f t="array" ref="N1380">IFERROR((K1380-J1380)/J1380,"–")</f>
        <v>1.0011655011655012</v>
      </c>
      <c r="O1380" s="24" cm="1">
        <f t="array" ref="O1380">IF(D1380=0,0,L1380-K1380)</f>
        <v>-10.29487500000017</v>
      </c>
      <c r="P1380" s="23"/>
      <c r="Q1380" s="27"/>
    </row>
    <row r="1381" spans="1:17" ht="22.5" customHeight="1">
      <c r="A1381" s="16" t="s">
        <v>74</v>
      </c>
      <c r="B1381" s="42">
        <v>44548</v>
      </c>
      <c r="C1381" s="36">
        <v>0.89800000000000002</v>
      </c>
      <c r="D1381" s="36">
        <v>0.91690000000000005</v>
      </c>
      <c r="E1381" s="30" cm="1">
        <f t="array" ref="E1381">IF(D1381="","",D1381-C1381)</f>
        <v>1.8900000000000028E-2</v>
      </c>
      <c r="F1381" s="31" cm="1">
        <f t="array" ref="F1381">IF(D1381=0,"",(D1381-C1381)/C1381)</f>
        <v>2.1046770601336334E-2</v>
      </c>
      <c r="G1381" s="32">
        <v>16703</v>
      </c>
      <c r="H1381" s="10">
        <v>1</v>
      </c>
      <c r="I1381" s="11" cm="1">
        <f t="array" ref="I1381">IF(D1381="","",(G1381*C1381)*0.00075)</f>
        <v>11.249470499999999</v>
      </c>
      <c r="J1381" s="11" cm="1">
        <f t="array" ref="J1381">IF(D1381="","",(G1381*D1381)*0.00075)</f>
        <v>11.486235525</v>
      </c>
      <c r="K1381" s="33" cm="1">
        <f t="array" ref="K1381">IF(D1381="","",J1381+I1381)</f>
        <v>22.735706024999999</v>
      </c>
      <c r="L1381" s="33" cm="1">
        <f t="array" ref="L1381">IF(D1381=0,0,(D1381-C1381)*G1381)</f>
        <v>315.68670000000049</v>
      </c>
      <c r="M1381" s="12">
        <v>14672.121064475001</v>
      </c>
      <c r="N1381" s="34" cm="1">
        <f t="array" ref="N1381">IFERROR((K1381-J1381)/J1381,"–")</f>
        <v>0.97938706511069906</v>
      </c>
      <c r="O1381" s="33" cm="1">
        <f t="array" ref="O1381">IF(D1381=0,0,L1381-K1381)</f>
        <v>292.95099397500047</v>
      </c>
      <c r="P1381" s="11"/>
      <c r="Q1381" s="35"/>
    </row>
    <row r="1382" spans="1:17" ht="22.5" customHeight="1">
      <c r="A1382" s="16" t="s">
        <v>242</v>
      </c>
      <c r="B1382" s="43">
        <v>44549</v>
      </c>
      <c r="C1382" s="37">
        <v>15.26</v>
      </c>
      <c r="D1382" s="37">
        <v>17.135000000000002</v>
      </c>
      <c r="E1382" s="19" cm="1">
        <f t="array" ref="E1382">IF(D1382="","",D1382-C1382)</f>
        <v>1.8750000000000018</v>
      </c>
      <c r="F1382" s="20" cm="1">
        <f t="array" ref="F1382">IF(D1382=0,"",(D1382-C1382)/C1382)</f>
        <v>0.12287024901703812</v>
      </c>
      <c r="G1382" s="21">
        <v>2358.77</v>
      </c>
      <c r="H1382" s="22">
        <v>1</v>
      </c>
      <c r="I1382" s="23" cm="1">
        <f t="array" ref="I1382">IF(D1382="","",(G1382*C1382)*0.00075)</f>
        <v>26.996122649999997</v>
      </c>
      <c r="J1382" s="23" cm="1">
        <f t="array" ref="J1382">IF(D1382="","",(G1382*D1382)*0.00075)</f>
        <v>30.313142962500002</v>
      </c>
      <c r="K1382" s="24" cm="1">
        <f t="array" ref="K1382">IF(D1382="","",J1382+I1382)</f>
        <v>57.309265612499999</v>
      </c>
      <c r="L1382" s="24" cm="1">
        <f t="array" ref="L1382">IF(D1382=0,0,(D1382-C1382)*G1382)</f>
        <v>4422.693750000004</v>
      </c>
      <c r="M1382" s="25">
        <v>31541.823307037499</v>
      </c>
      <c r="N1382" s="26" cm="1">
        <f t="array" ref="N1382">IFERROR((K1382-J1382)/J1382,"–")</f>
        <v>0.89057484680478538</v>
      </c>
      <c r="O1382" s="24" cm="1">
        <f t="array" ref="O1382">IF(D1382=0,0,L1382-K1382)</f>
        <v>4365.384484387504</v>
      </c>
      <c r="P1382" s="23"/>
      <c r="Q1382" s="27"/>
    </row>
    <row r="1383" spans="1:17" ht="22.5" customHeight="1">
      <c r="A1383" s="16" t="s">
        <v>30</v>
      </c>
      <c r="B1383" s="42">
        <v>44549</v>
      </c>
      <c r="C1383" s="36">
        <v>5000</v>
      </c>
      <c r="D1383" s="36">
        <v>4678.5</v>
      </c>
      <c r="E1383" s="30" cm="1">
        <f t="array" ref="E1383">IF(D1383="","",D1383-C1383)</f>
        <v>-321.5</v>
      </c>
      <c r="F1383" s="31" cm="1">
        <f t="array" ref="F1383">IF(D1383=0,"",(D1383-C1383)/C1383)</f>
        <v>-6.4299999999999996E-2</v>
      </c>
      <c r="G1383" s="32">
        <v>1</v>
      </c>
      <c r="H1383" s="10">
        <v>1</v>
      </c>
      <c r="I1383" s="11" cm="1">
        <f t="array" ref="I1383">IF(D1383="","",(G1383*C1383)*0.00075)</f>
        <v>3.75</v>
      </c>
      <c r="J1383" s="11" cm="1">
        <f t="array" ref="J1383">IF(D1383="","",(G1383*D1383)*0.00075)</f>
        <v>3.5088750000000002</v>
      </c>
      <c r="K1383" s="33" cm="1">
        <f t="array" ref="K1383">IF(D1383="","",J1383+I1383)</f>
        <v>7.2588749999999997</v>
      </c>
      <c r="L1383" s="33" cm="1">
        <f t="array" ref="L1383">IF(D1383=0,0,(D1383-C1383)*G1383)</f>
        <v>-321.5</v>
      </c>
      <c r="M1383" s="12">
        <v>5317.9911249999996</v>
      </c>
      <c r="N1383" s="34" cm="1">
        <f t="array" ref="N1383">IFERROR((K1383-J1383)/J1383,"–")</f>
        <v>1.0687186063909371</v>
      </c>
      <c r="O1383" s="33" cm="1">
        <f t="array" ref="O1383">IF(D1383=0,0,L1383-K1383)</f>
        <v>-328.75887499999999</v>
      </c>
      <c r="P1383" s="11"/>
      <c r="Q1383" s="35"/>
    </row>
    <row r="1384" spans="1:17" ht="22.5" customHeight="1">
      <c r="A1384" s="16" t="s">
        <v>262</v>
      </c>
      <c r="B1384" s="43">
        <v>44550</v>
      </c>
      <c r="C1384" s="37">
        <v>7.9600000000000001E-3</v>
      </c>
      <c r="D1384" s="37">
        <v>1.38E-2</v>
      </c>
      <c r="E1384" s="19" cm="1">
        <f t="array" ref="E1384">IF(D1384="","",D1384-C1384)</f>
        <v>5.8399999999999997E-3</v>
      </c>
      <c r="F1384" s="20" cm="1">
        <f t="array" ref="F1384">IF(D1384=0,"",(D1384-C1384)/C1384)</f>
        <v>0.73366834170854267</v>
      </c>
      <c r="G1384" s="21">
        <v>347222</v>
      </c>
      <c r="H1384" s="22">
        <v>1</v>
      </c>
      <c r="I1384" s="23" cm="1">
        <f t="array" ref="I1384">IF(D1384="","",(G1384*C1384)*0.00075)</f>
        <v>2.0729153399999998</v>
      </c>
      <c r="J1384" s="23" cm="1">
        <f t="array" ref="J1384">IF(D1384="","",(G1384*D1384)*0.00075)</f>
        <v>3.5937476999999998</v>
      </c>
      <c r="K1384" s="24" cm="1">
        <f t="array" ref="K1384">IF(D1384="","",J1384+I1384)</f>
        <v>5.6666630399999995</v>
      </c>
      <c r="L1384" s="24" cm="1">
        <f t="array" ref="L1384">IF(D1384=0,0,(D1384-C1384)*G1384)</f>
        <v>2027.77648</v>
      </c>
      <c r="M1384" s="25">
        <v>732.51689229999999</v>
      </c>
      <c r="N1384" s="26" cm="1">
        <f t="array" ref="N1384">IFERROR((K1384-J1384)/J1384,"–")</f>
        <v>0.57681159420289851</v>
      </c>
      <c r="O1384" s="24" cm="1">
        <f t="array" ref="O1384">IF(D1384=0,0,L1384-K1384)/2</f>
        <v>1011.05490848</v>
      </c>
      <c r="P1384" s="23"/>
      <c r="Q1384" s="27"/>
    </row>
    <row r="1385" spans="1:17" ht="22.5" customHeight="1">
      <c r="A1385" s="16" t="s">
        <v>244</v>
      </c>
      <c r="B1385" s="42">
        <v>44550</v>
      </c>
      <c r="C1385" s="36">
        <v>1</v>
      </c>
      <c r="D1385" s="36">
        <v>3801</v>
      </c>
      <c r="E1385" s="30" cm="1">
        <f t="array" ref="E1385">IF(D1385="","",D1385-C1385)</f>
        <v>3800</v>
      </c>
      <c r="F1385" s="31" cm="1">
        <f t="array" ref="F1385">IF(D1385=0,"",(D1385-C1385)/C1385)</f>
        <v>3800</v>
      </c>
      <c r="G1385" s="32">
        <v>1</v>
      </c>
      <c r="H1385" s="10">
        <v>1</v>
      </c>
      <c r="I1385" s="11" cm="1">
        <f t="array" ref="I1385">IF(D1385="","",(G1385*C1385)*0.00075)</f>
        <v>7.5000000000000002E-4</v>
      </c>
      <c r="J1385" s="11" cm="1">
        <f t="array" ref="J1385">IF(D1385="","",(G1385*D1385)*0.00075)</f>
        <v>2.8507500000000001</v>
      </c>
      <c r="K1385" s="33" cm="1">
        <f t="array" ref="K1385">IF(D1385="","",J1385+I1385)</f>
        <v>2.8515000000000001</v>
      </c>
      <c r="L1385" s="33" cm="1">
        <f t="array" ref="L1385">IF(D1385=0,0,(D1385-C1385)*G1385)</f>
        <v>3800</v>
      </c>
      <c r="M1385" s="12">
        <v>-3801.8507500000001</v>
      </c>
      <c r="N1385" s="34" cm="1">
        <f t="array" ref="N1385">IFERROR((K1385-J1385)/J1385,"–")</f>
        <v>2.6308866087872607E-4</v>
      </c>
      <c r="O1385" s="33" cm="1">
        <f t="array" ref="O1385">IF(D1385=0,0,L1385-K1385)</f>
        <v>3797.1484999999998</v>
      </c>
      <c r="P1385" s="11"/>
      <c r="Q1385" s="35"/>
    </row>
    <row r="1386" spans="1:17" ht="22.5" customHeight="1">
      <c r="A1386" s="16" t="s">
        <v>130</v>
      </c>
      <c r="B1386" s="43">
        <v>44551</v>
      </c>
      <c r="C1386" s="37">
        <v>0.60670000000000002</v>
      </c>
      <c r="D1386" s="37">
        <v>0.60489999999999999</v>
      </c>
      <c r="E1386" s="19" cm="1">
        <f t="array" ref="E1386">IF(D1386="","",D1386-C1386)</f>
        <v>-1.8000000000000238E-3</v>
      </c>
      <c r="F1386" s="20" cm="1">
        <f t="array" ref="F1386">IF(D1386=0,"",(D1386-C1386)/C1386)</f>
        <v>-2.9668699522004678E-3</v>
      </c>
      <c r="G1386" s="21">
        <v>5000</v>
      </c>
      <c r="H1386" s="22">
        <v>1</v>
      </c>
      <c r="I1386" s="23" cm="1">
        <f t="array" ref="I1386">IF(D1386="","",(G1386*C1386)*0.00075)</f>
        <v>2.2751250000000001</v>
      </c>
      <c r="J1386" s="23" cm="1">
        <f t="array" ref="J1386">IF(D1386="","",(G1386*D1386)*0.00075)</f>
        <v>2.2683750000000003</v>
      </c>
      <c r="K1386" s="24" cm="1">
        <f t="array" ref="K1386">IF(D1386="","",J1386+I1386)</f>
        <v>4.5434999999999999</v>
      </c>
      <c r="L1386" s="24" cm="1">
        <f t="array" ref="L1386">IF(D1386=0,0,(D1386-C1386)*G1386)</f>
        <v>-9.000000000000119</v>
      </c>
      <c r="M1386" s="25">
        <v>3040.2316249999999</v>
      </c>
      <c r="N1386" s="26" cm="1">
        <f t="array" ref="N1386">IFERROR((K1386-J1386)/J1386,"–")</f>
        <v>1.0029756984625555</v>
      </c>
      <c r="O1386" s="24" cm="1">
        <f t="array" ref="O1386">IF(D1386=0,0,L1386-K1386)</f>
        <v>-13.543500000000119</v>
      </c>
      <c r="P1386" s="23"/>
      <c r="Q1386" s="27"/>
    </row>
    <row r="1387" spans="1:17" ht="22.5" customHeight="1">
      <c r="A1387" s="16" t="s">
        <v>261</v>
      </c>
      <c r="B1387" s="42">
        <v>44551</v>
      </c>
      <c r="C1387" s="36">
        <v>10.185</v>
      </c>
      <c r="D1387" s="36">
        <v>10.609</v>
      </c>
      <c r="E1387" s="30" cm="1">
        <f t="array" ref="E1387">IF(D1387="","",D1387-C1387)</f>
        <v>0.42399999999999949</v>
      </c>
      <c r="F1387" s="31" cm="1">
        <f t="array" ref="F1387">IF(D1387=0,"",(D1387-C1387)/C1387)</f>
        <v>4.1629847815414775E-2</v>
      </c>
      <c r="G1387" s="32">
        <v>400</v>
      </c>
      <c r="H1387" s="10">
        <v>1</v>
      </c>
      <c r="I1387" s="11" cm="1">
        <f t="array" ref="I1387">IF(D1387="","",(G1387*C1387)*0.00075)</f>
        <v>3.0554999999999999</v>
      </c>
      <c r="J1387" s="11" cm="1">
        <f t="array" ref="J1387">IF(D1387="","",(G1387*D1387)*0.00075)</f>
        <v>3.1827000000000005</v>
      </c>
      <c r="K1387" s="33" cm="1">
        <f t="array" ref="K1387">IF(D1387="","",J1387+I1387)</f>
        <v>6.2382000000000009</v>
      </c>
      <c r="L1387" s="33" cm="1">
        <f t="array" ref="L1387">IF(D1387=0,0,(D1387-C1387)*G1387)</f>
        <v>169.5999999999998</v>
      </c>
      <c r="M1387" s="12">
        <v>3901.2172999999998</v>
      </c>
      <c r="N1387" s="34" cm="1">
        <f t="array" ref="N1387">IFERROR((K1387-J1387)/J1387,"–")</f>
        <v>0.9600339334527288</v>
      </c>
      <c r="O1387" s="33" cm="1">
        <f t="array" ref="O1387">IF(D1387=0,0,L1387-K1387)</f>
        <v>163.36179999999979</v>
      </c>
      <c r="P1387" s="11"/>
      <c r="Q1387" s="35"/>
    </row>
    <row r="1388" spans="1:17" ht="22.5" customHeight="1">
      <c r="A1388" s="16" t="s">
        <v>263</v>
      </c>
      <c r="B1388" s="43">
        <v>44551</v>
      </c>
      <c r="C1388" s="37">
        <v>3.4049999999999997E-2</v>
      </c>
      <c r="D1388" s="37">
        <v>7.5249999999999997E-2</v>
      </c>
      <c r="E1388" s="19" cm="1">
        <f t="array" ref="E1388">IF(D1388="","",D1388-C1388)</f>
        <v>4.1200000000000001E-2</v>
      </c>
      <c r="F1388" s="20" cm="1">
        <f t="array" ref="F1388">IF(D1388=0,"",(D1388-C1388)/C1388)</f>
        <v>1.209985315712188</v>
      </c>
      <c r="G1388" s="21">
        <v>95728.331000000006</v>
      </c>
      <c r="H1388" s="22">
        <v>1</v>
      </c>
      <c r="I1388" s="23" cm="1">
        <f t="array" ref="I1388">IF(D1388="","",(G1388*C1388)*0.00075)</f>
        <v>2.4446622529124999</v>
      </c>
      <c r="J1388" s="23" cm="1">
        <f t="array" ref="J1388">IF(D1388="","",(G1388*D1388)*0.00075)</f>
        <v>5.4026676808125007</v>
      </c>
      <c r="K1388" s="24" cm="1">
        <f t="array" ref="K1388">IF(D1388="","",J1388+I1388)</f>
        <v>7.8473299337250007</v>
      </c>
      <c r="L1388" s="24" cm="1">
        <f t="array" ref="L1388">IF(D1388=0,0,(D1388-C1388)*G1388)</f>
        <v>3944.0072372000004</v>
      </c>
      <c r="M1388" s="25">
        <v>-689.860234330813</v>
      </c>
      <c r="N1388" s="26" cm="1">
        <f t="array" ref="N1388">IFERROR((K1388-J1388)/J1388,"–")</f>
        <v>0.45249169435215941</v>
      </c>
      <c r="O1388" s="24" cm="1">
        <f t="array" ref="O1388">IF(D1388=0,0,L1388-K1388)/2</f>
        <v>1968.0799536331376</v>
      </c>
      <c r="P1388" s="23"/>
      <c r="Q1388" s="27"/>
    </row>
    <row r="1389" spans="1:17" ht="22.5" customHeight="1">
      <c r="A1389" s="16" t="s">
        <v>49</v>
      </c>
      <c r="B1389" s="42">
        <v>44551</v>
      </c>
      <c r="C1389" s="36">
        <v>15.35</v>
      </c>
      <c r="D1389" s="36">
        <v>15.35</v>
      </c>
      <c r="E1389" s="30" cm="1">
        <f t="array" ref="E1389">IF(D1389="","",D1389-C1389)</f>
        <v>0</v>
      </c>
      <c r="F1389" s="31" cm="1">
        <f t="array" ref="F1389">IF(D1389=0,"",(D1389-C1389)/C1389)</f>
        <v>0</v>
      </c>
      <c r="G1389" s="32">
        <v>300</v>
      </c>
      <c r="H1389" s="10">
        <v>1</v>
      </c>
      <c r="I1389" s="11" cm="1">
        <f t="array" ref="I1389">IF(D1389="","",(G1389*C1389)*0.00075)</f>
        <v>3.4537499999999999</v>
      </c>
      <c r="J1389" s="11" cm="1">
        <f t="array" ref="J1389">IF(D1389="","",(G1389*D1389)*0.00075)</f>
        <v>3.4537499999999999</v>
      </c>
      <c r="K1389" s="33" cm="1">
        <f t="array" ref="K1389">IF(D1389="","",J1389+I1389)</f>
        <v>6.9074999999999998</v>
      </c>
      <c r="L1389" s="33" cm="1">
        <f t="array" ref="L1389">IF(D1389=0,0,(D1389-C1389)*G1389)</f>
        <v>0</v>
      </c>
      <c r="M1389" s="12">
        <v>4601.5462500000003</v>
      </c>
      <c r="N1389" s="34" cm="1">
        <f t="array" ref="N1389">IFERROR((K1389-J1389)/J1389,"–")</f>
        <v>1</v>
      </c>
      <c r="O1389" s="33" cm="1">
        <f t="array" ref="O1389">IF(D1389=0,0,L1389-K1389)</f>
        <v>-6.9074999999999998</v>
      </c>
      <c r="P1389" s="11"/>
      <c r="Q1389" s="35"/>
    </row>
    <row r="1390" spans="1:17" ht="22.5" customHeight="1">
      <c r="A1390" s="16" t="s">
        <v>75</v>
      </c>
      <c r="B1390" s="43">
        <v>44551</v>
      </c>
      <c r="C1390" s="37">
        <v>0.3548</v>
      </c>
      <c r="D1390" s="37">
        <v>0.35494999999999999</v>
      </c>
      <c r="E1390" s="19" cm="1">
        <f t="array" ref="E1390">IF(D1390="","",D1390-C1390)</f>
        <v>1.4999999999998348E-4</v>
      </c>
      <c r="F1390" s="20" cm="1">
        <f t="array" ref="F1390">IF(D1390=0,"",(D1390-C1390)/C1390)</f>
        <v>4.2277339346105826E-4</v>
      </c>
      <c r="G1390" s="21">
        <v>42268</v>
      </c>
      <c r="H1390" s="22">
        <v>1</v>
      </c>
      <c r="I1390" s="23" cm="1">
        <f t="array" ref="I1390">IF(D1390="","",(G1390*C1390)*0.00075)</f>
        <v>11.247514800000001</v>
      </c>
      <c r="J1390" s="23" cm="1">
        <f t="array" ref="J1390">IF(D1390="","",(G1390*D1390)*0.00075)</f>
        <v>11.252269950000001</v>
      </c>
      <c r="K1390" s="24" cm="1">
        <f t="array" ref="K1390">IF(D1390="","",J1390+I1390)</f>
        <v>22.499784750000003</v>
      </c>
      <c r="L1390" s="24" cm="1">
        <f t="array" ref="L1390">IF(D1390=0,0,(D1390-C1390)*G1390)</f>
        <v>6.3401999999993013</v>
      </c>
      <c r="M1390" s="25">
        <v>14979.093930049999</v>
      </c>
      <c r="N1390" s="26" cm="1">
        <f t="array" ref="N1390">IFERROR((K1390-J1390)/J1390,"–")</f>
        <v>0.99957740526834782</v>
      </c>
      <c r="O1390" s="24" cm="1">
        <f t="array" ref="O1390">IF(D1390=0,0,L1390-K1390)</f>
        <v>-16.159584750000704</v>
      </c>
      <c r="P1390" s="23"/>
      <c r="Q1390" s="27"/>
    </row>
    <row r="1391" spans="1:17" ht="22.5" customHeight="1">
      <c r="A1391" s="16" t="s">
        <v>171</v>
      </c>
      <c r="B1391" s="42">
        <v>44551</v>
      </c>
      <c r="C1391" s="36">
        <v>5.33</v>
      </c>
      <c r="D1391" s="36">
        <v>5.3489000000000004</v>
      </c>
      <c r="E1391" s="30" cm="1">
        <f t="array" ref="E1391">IF(D1391="","",D1391-C1391)</f>
        <v>1.8900000000000361E-2</v>
      </c>
      <c r="F1391" s="31" cm="1">
        <f t="array" ref="F1391">IF(D1391=0,"",(D1391-C1391)/C1391)</f>
        <v>3.545966228893126E-3</v>
      </c>
      <c r="G1391" s="32">
        <v>1250.5999999999999</v>
      </c>
      <c r="H1391" s="10">
        <v>1</v>
      </c>
      <c r="I1391" s="11" cm="1">
        <f t="array" ref="I1391">IF(D1391="","",(G1391*C1391)*0.00075)</f>
        <v>4.9992734999999993</v>
      </c>
      <c r="J1391" s="11" cm="1">
        <f t="array" ref="J1391">IF(D1391="","",(G1391*D1391)*0.00075)</f>
        <v>5.0170007550000006</v>
      </c>
      <c r="K1391" s="33" cm="1">
        <f t="array" ref="K1391">IF(D1391="","",J1391+I1391)</f>
        <v>10.016274254999999</v>
      </c>
      <c r="L1391" s="33" cm="1">
        <f t="array" ref="L1391">IF(D1391=0,0,(D1391-C1391)*G1391)</f>
        <v>23.636340000000448</v>
      </c>
      <c r="M1391" s="12">
        <v>6637.0446592449998</v>
      </c>
      <c r="N1391" s="34" cm="1">
        <f t="array" ref="N1391">IFERROR((K1391-J1391)/J1391,"–")</f>
        <v>0.99646656321860527</v>
      </c>
      <c r="O1391" s="33" cm="1">
        <f t="array" ref="O1391">IF(D1391=0,0,L1391-K1391)</f>
        <v>13.620065745000449</v>
      </c>
      <c r="P1391" s="11"/>
      <c r="Q1391" s="35"/>
    </row>
    <row r="1392" spans="1:17" ht="22.5" customHeight="1">
      <c r="A1392" s="16" t="s">
        <v>36</v>
      </c>
      <c r="B1392" s="43">
        <v>44551</v>
      </c>
      <c r="C1392" s="21">
        <v>1.1126</v>
      </c>
      <c r="D1392" s="37">
        <v>1.1120000000000001</v>
      </c>
      <c r="E1392" s="19" cm="1">
        <f t="array" ref="E1392">IF(D1392="","",D1392-C1392)</f>
        <v>-5.9999999999993392E-4</v>
      </c>
      <c r="F1392" s="20" cm="1">
        <f t="array" ref="F1392">IF(D1392=0,"",(D1392-C1392)/C1392)</f>
        <v>-5.3927736832638318E-4</v>
      </c>
      <c r="G1392" s="21">
        <v>6470</v>
      </c>
      <c r="H1392" s="22">
        <v>1</v>
      </c>
      <c r="I1392" s="23" cm="1">
        <f t="array" ref="I1392">IF(D1392="","",(G1392*C1392)*0.00075)</f>
        <v>5.3988915000000004</v>
      </c>
      <c r="J1392" s="23" cm="1">
        <f t="array" ref="J1392">IF(D1392="","",(G1392*D1392)*0.00075)</f>
        <v>5.3959800000000007</v>
      </c>
      <c r="K1392" s="24" cm="1">
        <f t="array" ref="K1392">IF(D1392="","",J1392+I1392)</f>
        <v>10.794871500000001</v>
      </c>
      <c r="L1392" s="24" cm="1">
        <f t="array" ref="L1392">IF(D1392=0,0,(D1392-C1392)*G1392)</f>
        <v>-3.8819999999995725</v>
      </c>
      <c r="M1392" s="25">
        <v>7197.0080200000002</v>
      </c>
      <c r="N1392" s="26" cm="1">
        <f t="array" ref="N1392">IFERROR((K1392-J1392)/J1392,"–")</f>
        <v>1.0005395683453238</v>
      </c>
      <c r="O1392" s="24" cm="1">
        <f t="array" ref="O1392">IF(D1392=0,0,L1392-K1392)</f>
        <v>-14.676871499999574</v>
      </c>
      <c r="P1392" s="23"/>
      <c r="Q1392" s="27"/>
    </row>
    <row r="1393" spans="1:17" ht="22.5" customHeight="1">
      <c r="A1393" s="16" t="s">
        <v>194</v>
      </c>
      <c r="B1393" s="42">
        <v>44551</v>
      </c>
      <c r="C1393" s="36">
        <v>6.1679999999999999E-2</v>
      </c>
      <c r="D1393" s="36">
        <v>6.1850000000000002E-2</v>
      </c>
      <c r="E1393" s="30" cm="1">
        <f t="array" ref="E1393">IF(D1393="","",D1393-C1393)</f>
        <v>1.7000000000000348E-4</v>
      </c>
      <c r="F1393" s="31" cm="1">
        <f t="array" ref="F1393">IF(D1393=0,"",(D1393-C1393)/C1393)</f>
        <v>2.7561608300908477E-3</v>
      </c>
      <c r="G1393" s="32">
        <v>313976.40000000002</v>
      </c>
      <c r="H1393" s="10">
        <v>1</v>
      </c>
      <c r="I1393" s="11" cm="1">
        <f t="array" ref="I1393">IF(D1393="","",(G1393*C1393)*0.00075)</f>
        <v>14.524548264000002</v>
      </c>
      <c r="J1393" s="11" cm="1">
        <f t="array" ref="J1393">IF(D1393="","",(G1393*D1393)*0.00075)</f>
        <v>14.564580255000001</v>
      </c>
      <c r="K1393" s="33" cm="1">
        <f t="array" ref="K1393">IF(D1393="","",J1393+I1393)</f>
        <v>29.089128519000003</v>
      </c>
      <c r="L1393" s="33" cm="1">
        <f t="array" ref="L1393">IF(D1393=0,0,(D1393-C1393)*G1393)</f>
        <v>53.375988000001094</v>
      </c>
      <c r="M1393" s="12">
        <v>19298.123783744999</v>
      </c>
      <c r="N1393" s="34" cm="1">
        <f t="array" ref="N1393">IFERROR((K1393-J1393)/J1393,"–")</f>
        <v>0.99725141471301537</v>
      </c>
      <c r="O1393" s="33" cm="1">
        <f t="array" ref="O1393">IF(D1393=0,0,L1393-K1393)</f>
        <v>24.286859481001091</v>
      </c>
      <c r="P1393" s="11"/>
      <c r="Q1393" s="35"/>
    </row>
    <row r="1394" spans="1:17" ht="22.5" customHeight="1">
      <c r="A1394" s="16" t="s">
        <v>264</v>
      </c>
      <c r="B1394" s="43">
        <v>44552</v>
      </c>
      <c r="C1394" s="37">
        <v>4.7069999999999999</v>
      </c>
      <c r="D1394" s="37">
        <v>4.7389999999999999</v>
      </c>
      <c r="E1394" s="19" cm="1">
        <f t="array" ref="E1394">IF(D1394="","",D1394-C1394)</f>
        <v>3.2000000000000028E-2</v>
      </c>
      <c r="F1394" s="20" cm="1">
        <f t="array" ref="F1394">IF(D1394=0,"",(D1394-C1394)/C1394)</f>
        <v>6.7983853834714314E-3</v>
      </c>
      <c r="G1394" s="21">
        <v>424.8</v>
      </c>
      <c r="H1394" s="22">
        <v>1</v>
      </c>
      <c r="I1394" s="23" cm="1">
        <f t="array" ref="I1394">IF(D1394="","",(G1394*C1394)*0.00075)</f>
        <v>1.4996502</v>
      </c>
      <c r="J1394" s="23" cm="1">
        <f t="array" ref="J1394">IF(D1394="","",(G1394*D1394)*0.00075)</f>
        <v>1.5098453999999999</v>
      </c>
      <c r="K1394" s="24" cm="1">
        <f t="array" ref="K1394">IF(D1394="","",J1394+I1394)</f>
        <v>3.0094956000000002</v>
      </c>
      <c r="L1394" s="24" cm="1">
        <f t="array" ref="L1394">IF(D1394=0,0,(D1394-C1394)*G1394)</f>
        <v>13.593600000000013</v>
      </c>
      <c r="M1394" s="25">
        <v>1984.4301545999999</v>
      </c>
      <c r="N1394" s="26" cm="1">
        <f t="array" ref="N1394">IFERROR((K1394-J1394)/J1394,"–")</f>
        <v>0.99324752057396104</v>
      </c>
      <c r="O1394" s="24" cm="1">
        <f t="array" ref="O1394">IF(D1394=0,0,L1394-K1394)</f>
        <v>10.584104400000012</v>
      </c>
      <c r="P1394" s="23"/>
      <c r="Q1394" s="27"/>
    </row>
    <row r="1395" spans="1:17" ht="22.5" customHeight="1">
      <c r="A1395" s="16" t="s">
        <v>265</v>
      </c>
      <c r="B1395" s="42">
        <v>44552</v>
      </c>
      <c r="C1395" s="36">
        <v>2.2274E-3</v>
      </c>
      <c r="D1395" s="36">
        <v>2.6865000000000001E-3</v>
      </c>
      <c r="E1395" s="30" cm="1">
        <f t="array" ref="E1395">IF(D1395="","",D1395-C1395)</f>
        <v>4.5910000000000005E-4</v>
      </c>
      <c r="F1395" s="31" cm="1">
        <f t="array" ref="F1395">IF(D1395=0,"",(D1395-C1395)/C1395)</f>
        <v>0.20611475262638054</v>
      </c>
      <c r="G1395" s="32">
        <v>1689524</v>
      </c>
      <c r="H1395" s="10">
        <v>1</v>
      </c>
      <c r="I1395" s="11" cm="1">
        <f t="array" ref="I1395">IF(D1395="","",(G1395*C1395)*0.00075)</f>
        <v>2.8224343182</v>
      </c>
      <c r="J1395" s="11" cm="1">
        <f t="array" ref="J1395">IF(D1395="","",(G1395*D1395)*0.00075)</f>
        <v>3.4041796694999999</v>
      </c>
      <c r="K1395" s="33" cm="1">
        <f t="array" ref="K1395">IF(D1395="","",J1395+I1395)</f>
        <v>6.2266139877000004</v>
      </c>
      <c r="L1395" s="33" cm="1">
        <f t="array" ref="L1395">IF(D1395=0,0,(D1395-C1395)*G1395)</f>
        <v>775.66046840000013</v>
      </c>
      <c r="M1395" s="12">
        <v>2984.1811095305002</v>
      </c>
      <c r="N1395" s="34" cm="1">
        <f t="array" ref="N1395">IFERROR((K1395-J1395)/J1395,"–")</f>
        <v>0.82910850549041515</v>
      </c>
      <c r="O1395" s="33" cm="1">
        <f t="array" ref="O1395">IF(D1395=0,0,L1395-K1395)/2</f>
        <v>384.71692720615005</v>
      </c>
      <c r="P1395" s="11"/>
      <c r="Q1395" s="35"/>
    </row>
    <row r="1396" spans="1:17" ht="22.5" customHeight="1">
      <c r="A1396" s="16" t="s">
        <v>244</v>
      </c>
      <c r="B1396" s="43">
        <v>44553</v>
      </c>
      <c r="C1396" s="37">
        <v>26421</v>
      </c>
      <c r="D1396" s="37">
        <v>26481</v>
      </c>
      <c r="E1396" s="19" cm="1">
        <f t="array" ref="E1396">IF(D1396="","",D1396-C1396)</f>
        <v>60</v>
      </c>
      <c r="F1396" s="20" cm="1">
        <f t="array" ref="F1396">IF(D1396=0,"",(D1396-C1396)/C1396)</f>
        <v>2.2709208584080847E-3</v>
      </c>
      <c r="G1396" s="21">
        <v>1</v>
      </c>
      <c r="H1396" s="22">
        <v>1</v>
      </c>
      <c r="I1396" s="23" cm="1">
        <f t="array" ref="I1396">IF(D1396="","",(G1396*C1396)*0.00075)</f>
        <v>19.815750000000001</v>
      </c>
      <c r="J1396" s="23" cm="1">
        <f t="array" ref="J1396">IF(D1396="","",(G1396*D1396)*0.00075)</f>
        <v>19.860749999999999</v>
      </c>
      <c r="K1396" s="24" cm="1">
        <f t="array" ref="K1396">IF(D1396="","",J1396+I1396)</f>
        <v>39.676500000000004</v>
      </c>
      <c r="L1396" s="24" cm="1">
        <f t="array" ref="L1396">IF(D1396=0,0,(D1396-C1396)*G1396)</f>
        <v>60</v>
      </c>
      <c r="M1396" s="25">
        <v>26341.13925</v>
      </c>
      <c r="N1396" s="26" cm="1">
        <f t="array" ref="N1396">IFERROR((K1396-J1396)/J1396,"–")</f>
        <v>0.99773422453834848</v>
      </c>
      <c r="O1396" s="24" cm="1">
        <f t="array" ref="O1396">IF(D1396=0,0,L1396-K1396)</f>
        <v>20.323499999999996</v>
      </c>
      <c r="P1396" s="23"/>
      <c r="Q1396" s="27"/>
    </row>
    <row r="1397" spans="1:17" ht="22.5" customHeight="1">
      <c r="A1397" s="16" t="s">
        <v>261</v>
      </c>
      <c r="B1397" s="42">
        <v>44553</v>
      </c>
      <c r="C1397" s="36">
        <v>10.88</v>
      </c>
      <c r="D1397" s="36">
        <v>11.4</v>
      </c>
      <c r="E1397" s="30" cm="1">
        <f t="array" ref="E1397">IF(D1397="","",D1397-C1397)</f>
        <v>0.51999999999999957</v>
      </c>
      <c r="F1397" s="31" cm="1">
        <f t="array" ref="F1397">IF(D1397=0,"",(D1397-C1397)/C1397)</f>
        <v>4.7794117647058779E-2</v>
      </c>
      <c r="G1397" s="32">
        <v>300</v>
      </c>
      <c r="H1397" s="10">
        <v>1</v>
      </c>
      <c r="I1397" s="11" cm="1">
        <f t="array" ref="I1397">IF(D1397="","",(G1397*C1397)*0.00075)</f>
        <v>2.4480000000000004</v>
      </c>
      <c r="J1397" s="11" cm="1">
        <f t="array" ref="J1397">IF(D1397="","",(G1397*D1397)*0.00075)</f>
        <v>2.5649999999999999</v>
      </c>
      <c r="K1397" s="33" cm="1">
        <f t="array" ref="K1397">IF(D1397="","",J1397+I1397)</f>
        <v>5.0129999999999999</v>
      </c>
      <c r="L1397" s="33" cm="1">
        <f t="array" ref="L1397">IF(D1397=0,0,(D1397-C1397)*G1397)</f>
        <v>155.99999999999989</v>
      </c>
      <c r="M1397" s="12">
        <v>3105.4349999999999</v>
      </c>
      <c r="N1397" s="34" cm="1">
        <f t="array" ref="N1397">IFERROR((K1397-J1397)/J1397,"–")</f>
        <v>0.95438596491228067</v>
      </c>
      <c r="O1397" s="33" cm="1">
        <f t="array" ref="O1397">IF(D1397=0,0,L1397-K1397)</f>
        <v>150.98699999999988</v>
      </c>
      <c r="P1397" s="11"/>
      <c r="Q1397" s="35"/>
    </row>
    <row r="1398" spans="1:17" ht="22.5" customHeight="1">
      <c r="A1398" s="16" t="s">
        <v>257</v>
      </c>
      <c r="B1398" s="43">
        <v>44553</v>
      </c>
      <c r="C1398" s="37">
        <v>0.82950000000000002</v>
      </c>
      <c r="D1398" s="37">
        <v>0.86</v>
      </c>
      <c r="E1398" s="19" cm="1">
        <f t="array" ref="E1398">IF(D1398="","",D1398-C1398)</f>
        <v>3.0499999999999972E-2</v>
      </c>
      <c r="F1398" s="20" cm="1">
        <f t="array" ref="F1398">IF(D1398=0,"",(D1398-C1398)/C1398)</f>
        <v>3.6769138034960784E-2</v>
      </c>
      <c r="G1398" s="21">
        <v>4821.6000000000004</v>
      </c>
      <c r="H1398" s="22">
        <v>1</v>
      </c>
      <c r="I1398" s="23" cm="1">
        <f t="array" ref="I1398">IF(D1398="","",(G1398*C1398)*0.00075)</f>
        <v>2.9996379000000002</v>
      </c>
      <c r="J1398" s="23" cm="1">
        <f t="array" ref="J1398">IF(D1398="","",(G1398*D1398)*0.00075)</f>
        <v>3.1099320000000001</v>
      </c>
      <c r="K1398" s="24" cm="1">
        <f t="array" ref="K1398">IF(D1398="","",J1398+I1398)</f>
        <v>6.1095699000000003</v>
      </c>
      <c r="L1398" s="24" cm="1">
        <f t="array" ref="L1398">IF(D1398=0,0,(D1398-C1398)*G1398)</f>
        <v>147.05879999999988</v>
      </c>
      <c r="M1398" s="25">
        <v>3849.3484680000001</v>
      </c>
      <c r="N1398" s="26" cm="1">
        <f t="array" ref="N1398">IFERROR((K1398-J1398)/J1398,"–")</f>
        <v>0.96453488372093021</v>
      </c>
      <c r="O1398" s="24" cm="1">
        <f t="array" ref="O1398">IF(D1398=0,0,L1398-K1398)</f>
        <v>140.94923009999988</v>
      </c>
      <c r="P1398" s="23"/>
      <c r="Q1398" s="27"/>
    </row>
    <row r="1399" spans="1:17" ht="22.5" customHeight="1">
      <c r="A1399" s="16" t="s">
        <v>146</v>
      </c>
      <c r="B1399" s="42">
        <v>44554</v>
      </c>
      <c r="C1399" s="36">
        <v>2.828E-2</v>
      </c>
      <c r="D1399" s="36">
        <v>2.8049999999999999E-2</v>
      </c>
      <c r="E1399" s="30" cm="1">
        <f t="array" ref="E1399">IF(D1399="","",D1399-C1399)</f>
        <v>-2.3000000000000104E-4</v>
      </c>
      <c r="F1399" s="31" cm="1">
        <f t="array" ref="F1399">IF(D1399=0,"",(D1399-C1399)/C1399)</f>
        <v>-8.1329561527581692E-3</v>
      </c>
      <c r="G1399" s="32">
        <v>1025275.7</v>
      </c>
      <c r="H1399" s="10">
        <v>1</v>
      </c>
      <c r="I1399" s="11" cm="1">
        <f t="array" ref="I1399">IF(D1399="","",(G1399*C1399)*0.00075)</f>
        <v>21.746097596999999</v>
      </c>
      <c r="J1399" s="11" cm="1">
        <f t="array" ref="J1399">IF(D1399="","",(G1399*D1399)*0.00075)</f>
        <v>21.569237538749999</v>
      </c>
      <c r="K1399" s="33" cm="1">
        <f t="array" ref="K1399">IF(D1399="","",J1399+I1399)</f>
        <v>43.315335135749997</v>
      </c>
      <c r="L1399" s="33" cm="1">
        <f t="array" ref="L1399">IF(D1399=0,0,(D1399-C1399)*G1399)</f>
        <v>-235.81341100000105</v>
      </c>
      <c r="M1399" s="12">
        <v>29209.040969461301</v>
      </c>
      <c r="N1399" s="34" cm="1">
        <f t="array" ref="N1399">IFERROR((K1399-J1399)/J1399,"–")</f>
        <v>1.0081996434937612</v>
      </c>
      <c r="O1399" s="33" cm="1">
        <f t="array" ref="O1399">IF(D1399=0,0,L1399-K1399)</f>
        <v>-279.12874613575104</v>
      </c>
      <c r="P1399" s="11"/>
      <c r="Q1399" s="35"/>
    </row>
    <row r="1400" spans="1:17" ht="22.5" customHeight="1">
      <c r="A1400" s="16" t="s">
        <v>225</v>
      </c>
      <c r="B1400" s="43">
        <v>44554</v>
      </c>
      <c r="C1400" s="37">
        <v>1</v>
      </c>
      <c r="D1400" s="37">
        <v>416</v>
      </c>
      <c r="E1400" s="19" cm="1">
        <f t="array" ref="E1400">IF(D1400="","",D1400-C1400)</f>
        <v>415</v>
      </c>
      <c r="F1400" s="20" cm="1">
        <f t="array" ref="F1400">IF(D1400=0,"",(D1400-C1400)/C1400)</f>
        <v>415</v>
      </c>
      <c r="G1400" s="21">
        <v>1</v>
      </c>
      <c r="H1400" s="22">
        <v>1</v>
      </c>
      <c r="I1400" s="23" cm="1">
        <f t="array" ref="I1400">IF(D1400="","",(G1400*C1400)*0.00075)</f>
        <v>7.5000000000000002E-4</v>
      </c>
      <c r="J1400" s="23" cm="1">
        <f t="array" ref="J1400">IF(D1400="","",(G1400*D1400)*0.00075)</f>
        <v>0.312</v>
      </c>
      <c r="K1400" s="24" cm="1">
        <f t="array" ref="K1400">IF(D1400="","",J1400+I1400)</f>
        <v>0.31274999999999997</v>
      </c>
      <c r="L1400" s="24" cm="1">
        <f t="array" ref="L1400">IF(D1400=0,0,(D1400-C1400)*G1400)</f>
        <v>415</v>
      </c>
      <c r="M1400" s="25">
        <v>-414.31200000000001</v>
      </c>
      <c r="N1400" s="26" cm="1">
        <f t="array" ref="N1400">IFERROR((K1400-J1400)/J1400,"–")</f>
        <v>2.4038461538460668E-3</v>
      </c>
      <c r="O1400" s="24" cm="1">
        <f t="array" ref="O1400">IF(D1400=0,0,L1400-K1400)</f>
        <v>414.68725000000001</v>
      </c>
      <c r="P1400" s="23"/>
      <c r="Q1400" s="27"/>
    </row>
    <row r="1401" spans="1:17" ht="22.5" customHeight="1">
      <c r="A1401" s="16" t="s">
        <v>63</v>
      </c>
      <c r="B1401" s="42">
        <v>44555</v>
      </c>
      <c r="C1401" s="36">
        <v>0.25259999999999999</v>
      </c>
      <c r="D1401" s="36">
        <v>0.25019999999999998</v>
      </c>
      <c r="E1401" s="30" cm="1">
        <f t="array" ref="E1401">IF(D1401="","",D1401-C1401)</f>
        <v>-2.4000000000000132E-3</v>
      </c>
      <c r="F1401" s="31" cm="1">
        <f t="array" ref="F1401">IF(D1401=0,"",(D1401-C1401)/C1401)</f>
        <v>-9.5011876484561095E-3</v>
      </c>
      <c r="G1401" s="32">
        <v>118755</v>
      </c>
      <c r="H1401" s="10">
        <v>1</v>
      </c>
      <c r="I1401" s="11" cm="1">
        <f t="array" ref="I1401">IF(D1401="","",(G1401*C1401)*0.00075)</f>
        <v>22.498134749999998</v>
      </c>
      <c r="J1401" s="11" cm="1">
        <f t="array" ref="J1401">IF(D1401="","",(G1401*D1401)*0.00075)</f>
        <v>22.284375749999999</v>
      </c>
      <c r="K1401" s="33" cm="1">
        <f t="array" ref="K1401">IF(D1401="","",J1401+I1401)</f>
        <v>44.782510500000001</v>
      </c>
      <c r="L1401" s="33" cm="1">
        <f t="array" ref="L1401">IF(D1401=0,0,(D1401-C1401)*G1401)</f>
        <v>-285.01200000000159</v>
      </c>
      <c r="M1401" s="12">
        <v>30260.24062425</v>
      </c>
      <c r="N1401" s="34" cm="1">
        <f t="array" ref="N1401">IFERROR((K1401-J1401)/J1401,"–")</f>
        <v>1.0095923261390889</v>
      </c>
      <c r="O1401" s="33" cm="1">
        <f t="array" ref="O1401">IF(D1401=0,0,L1401-K1401)</f>
        <v>-329.79451050000159</v>
      </c>
      <c r="P1401" s="11"/>
      <c r="Q1401" s="35"/>
    </row>
    <row r="1402" spans="1:17" ht="22.5" customHeight="1">
      <c r="A1402" s="16" t="s">
        <v>266</v>
      </c>
      <c r="B1402" s="43">
        <v>44555</v>
      </c>
      <c r="C1402" s="37">
        <v>0.1106</v>
      </c>
      <c r="D1402" s="37">
        <v>0.17324999999999999</v>
      </c>
      <c r="E1402" s="19" cm="1">
        <f t="array" ref="E1402">IF(D1402="","",D1402-C1402)</f>
        <v>6.2649999999999983E-2</v>
      </c>
      <c r="F1402" s="20" cm="1">
        <f t="array" ref="F1402">IF(D1402=0,"",(D1402-C1402)/C1402)</f>
        <v>0.56645569620253144</v>
      </c>
      <c r="G1402" s="21">
        <v>11959.027</v>
      </c>
      <c r="H1402" s="22">
        <v>1</v>
      </c>
      <c r="I1402" s="23" cm="1">
        <f t="array" ref="I1402">IF(D1402="","",(G1402*C1402)*0.00075)</f>
        <v>0.99200128965000001</v>
      </c>
      <c r="J1402" s="23" cm="1">
        <f t="array" ref="J1402">IF(D1402="","",(G1402*D1402)*0.00075)</f>
        <v>1.5539260708125</v>
      </c>
      <c r="K1402" s="24" cm="1">
        <f t="array" ref="K1402">IF(D1402="","",J1402+I1402)</f>
        <v>2.5459273604625001</v>
      </c>
      <c r="L1402" s="24" cm="1">
        <f t="array" ref="L1402">IF(D1402=0,0,(D1402-C1402)*G1402)</f>
        <v>749.23304154999983</v>
      </c>
      <c r="M1402" s="25">
        <v>571.88141857918799</v>
      </c>
      <c r="N1402" s="26" cm="1">
        <f t="array" ref="N1402">IFERROR((K1402-J1402)/J1402,"–")</f>
        <v>0.6383838383838385</v>
      </c>
      <c r="O1402" s="24" cm="1">
        <f t="array" ref="O1402">IF(D1402=0,0,L1402-K1402)/2</f>
        <v>373.34355709476864</v>
      </c>
      <c r="P1402" s="23"/>
      <c r="Q1402" s="27"/>
    </row>
    <row r="1403" spans="1:17" ht="22.5" customHeight="1">
      <c r="A1403" s="16" t="s">
        <v>267</v>
      </c>
      <c r="B1403" s="42">
        <v>44555</v>
      </c>
      <c r="C1403" s="36">
        <v>1</v>
      </c>
      <c r="D1403" s="36">
        <v>1561</v>
      </c>
      <c r="E1403" s="30" cm="1">
        <f t="array" ref="E1403">IF(D1403="","",D1403-C1403)</f>
        <v>1560</v>
      </c>
      <c r="F1403" s="31" cm="1">
        <f t="array" ref="F1403">IF(D1403=0,"",(D1403-C1403)/C1403)</f>
        <v>1560</v>
      </c>
      <c r="G1403" s="32">
        <v>1</v>
      </c>
      <c r="H1403" s="10">
        <v>1</v>
      </c>
      <c r="I1403" s="11" cm="1">
        <f t="array" ref="I1403">IF(D1403="","",(G1403*C1403)*0.00075)</f>
        <v>7.5000000000000002E-4</v>
      </c>
      <c r="J1403" s="11" cm="1">
        <f t="array" ref="J1403">IF(D1403="","",(G1403*D1403)*0.00075)</f>
        <v>1.17075</v>
      </c>
      <c r="K1403" s="33" cm="1">
        <f t="array" ref="K1403">IF(D1403="","",J1403+I1403)</f>
        <v>1.1715</v>
      </c>
      <c r="L1403" s="33" cm="1">
        <f t="array" ref="L1403">IF(D1403=0,0,(D1403-C1403)*G1403)</f>
        <v>1560</v>
      </c>
      <c r="M1403" s="12">
        <v>-1560.17075</v>
      </c>
      <c r="N1403" s="34" cm="1">
        <f t="array" ref="N1403">IFERROR((K1403-J1403)/J1403,"–")</f>
        <v>6.4061499039079939E-4</v>
      </c>
      <c r="O1403" s="33" cm="1">
        <f t="array" ref="O1403">IF(D1403=0,0,L1403-K1403)/2</f>
        <v>779.41425000000004</v>
      </c>
      <c r="P1403" s="11"/>
      <c r="Q1403" s="35"/>
    </row>
    <row r="1404" spans="1:17" ht="22.5" customHeight="1">
      <c r="A1404" s="16" t="s">
        <v>49</v>
      </c>
      <c r="B1404" s="43">
        <v>44555</v>
      </c>
      <c r="C1404" s="37">
        <v>17</v>
      </c>
      <c r="D1404" s="37">
        <v>17.239999999999998</v>
      </c>
      <c r="E1404" s="19" cm="1">
        <f t="array" ref="E1404">IF(D1404="","",D1404-C1404)</f>
        <v>0.23999999999999844</v>
      </c>
      <c r="F1404" s="20" cm="1">
        <f t="array" ref="F1404">IF(D1404=0,"",(D1404-C1404)/C1404)</f>
        <v>1.4117647058823438E-2</v>
      </c>
      <c r="G1404" s="21">
        <v>300</v>
      </c>
      <c r="H1404" s="22">
        <v>1</v>
      </c>
      <c r="I1404" s="23" cm="1">
        <f t="array" ref="I1404">IF(D1404="","",(G1404*C1404)*0.00075)</f>
        <v>3.8250000000000002</v>
      </c>
      <c r="J1404" s="23" cm="1">
        <f t="array" ref="J1404">IF(D1404="","",(G1404*D1404)*0.00075)</f>
        <v>3.8789999999999996</v>
      </c>
      <c r="K1404" s="24" cm="1">
        <f t="array" ref="K1404">IF(D1404="","",J1404+I1404)</f>
        <v>7.7039999999999997</v>
      </c>
      <c r="L1404" s="24" cm="1">
        <f t="array" ref="L1404">IF(D1404=0,0,(D1404-C1404)*G1404)</f>
        <v>71.999999999999531</v>
      </c>
      <c r="M1404" s="25">
        <v>5024.1210000000001</v>
      </c>
      <c r="N1404" s="26" cm="1">
        <f t="array" ref="N1404">IFERROR((K1404-J1404)/J1404,"–")</f>
        <v>0.98607888631090501</v>
      </c>
      <c r="O1404" s="24" cm="1">
        <f t="array" ref="O1404">IF(D1404=0,0,L1404-K1404)</f>
        <v>64.295999999999538</v>
      </c>
      <c r="P1404" s="23"/>
      <c r="Q1404" s="27"/>
    </row>
    <row r="1405" spans="1:17" ht="22.5" customHeight="1">
      <c r="A1405" s="16" t="s">
        <v>268</v>
      </c>
      <c r="B1405" s="42">
        <v>44555</v>
      </c>
      <c r="C1405" s="36">
        <v>1</v>
      </c>
      <c r="D1405" s="36">
        <v>585</v>
      </c>
      <c r="E1405" s="30" cm="1">
        <f t="array" ref="E1405">IF(D1405="","",D1405-C1405)</f>
        <v>584</v>
      </c>
      <c r="F1405" s="31" cm="1">
        <f t="array" ref="F1405">IF(D1405=0,"",(D1405-C1405)/C1405)</f>
        <v>584</v>
      </c>
      <c r="G1405" s="32">
        <v>1</v>
      </c>
      <c r="H1405" s="10">
        <v>1</v>
      </c>
      <c r="I1405" s="11" cm="1">
        <f t="array" ref="I1405">IF(D1405="","",(G1405*C1405)*0.00075)</f>
        <v>7.5000000000000002E-4</v>
      </c>
      <c r="J1405" s="11" cm="1">
        <f t="array" ref="J1405">IF(D1405="","",(G1405*D1405)*0.00075)</f>
        <v>0.43875000000000003</v>
      </c>
      <c r="K1405" s="33" cm="1">
        <f t="array" ref="K1405">IF(D1405="","",J1405+I1405)</f>
        <v>0.4395</v>
      </c>
      <c r="L1405" s="33" cm="1">
        <f t="array" ref="L1405">IF(D1405=0,0,(D1405-C1405)*G1405)</f>
        <v>584</v>
      </c>
      <c r="M1405" s="12">
        <v>-583.43875000000003</v>
      </c>
      <c r="N1405" s="34" cm="1">
        <f t="array" ref="N1405">IFERROR((K1405-J1405)/J1405,"–")</f>
        <v>1.7094017094016476E-3</v>
      </c>
      <c r="O1405" s="33" cm="1">
        <f t="array" ref="O1405">IF(D1405=0,0,L1405-K1405)</f>
        <v>583.56050000000005</v>
      </c>
      <c r="P1405" s="11"/>
      <c r="Q1405" s="35"/>
    </row>
    <row r="1406" spans="1:17" ht="22.5" customHeight="1">
      <c r="A1406" s="16" t="s">
        <v>269</v>
      </c>
      <c r="B1406" s="43">
        <v>44556</v>
      </c>
      <c r="C1406" s="37">
        <v>312</v>
      </c>
      <c r="D1406" s="37">
        <v>313.52999999999997</v>
      </c>
      <c r="E1406" s="19" cm="1">
        <f t="array" ref="E1406">IF(D1406="","",D1406-C1406)</f>
        <v>1.5299999999999727</v>
      </c>
      <c r="F1406" s="20" cm="1">
        <f t="array" ref="F1406">IF(D1406=0,"",(D1406-C1406)/C1406)</f>
        <v>4.903846153846066E-3</v>
      </c>
      <c r="G1406" s="21">
        <v>115.38</v>
      </c>
      <c r="H1406" s="22">
        <v>1</v>
      </c>
      <c r="I1406" s="23" cm="1">
        <f t="array" ref="I1406">IF(D1406="","",(G1406*C1406)*0.00075)</f>
        <v>26.998919999999998</v>
      </c>
      <c r="J1406" s="23" cm="1">
        <f t="array" ref="J1406">IF(D1406="","",(G1406*D1406)*0.00075)</f>
        <v>27.13131855</v>
      </c>
      <c r="K1406" s="24" cm="1">
        <f t="array" ref="K1406">IF(D1406="","",J1406+I1406)</f>
        <v>54.130238550000001</v>
      </c>
      <c r="L1406" s="24" cm="1">
        <f t="array" ref="L1406">IF(D1406=0,0,(D1406-C1406)*G1406)</f>
        <v>176.53139999999684</v>
      </c>
      <c r="M1406" s="25">
        <v>35794.897281450001</v>
      </c>
      <c r="N1406" s="26" cm="1">
        <f t="array" ref="N1406">IFERROR((K1406-J1406)/J1406,"–")</f>
        <v>0.99512008420246878</v>
      </c>
      <c r="O1406" s="24" cm="1">
        <f t="array" ref="O1406">IF(D1406=0,0,L1406-K1406)*(0.66)</f>
        <v>80.784766556997909</v>
      </c>
      <c r="P1406" s="23"/>
      <c r="Q1406" s="27"/>
    </row>
    <row r="1407" spans="1:17" ht="22.5" customHeight="1">
      <c r="A1407" s="16" t="s">
        <v>270</v>
      </c>
      <c r="B1407" s="42">
        <v>44556</v>
      </c>
      <c r="C1407" s="36">
        <v>0.12609999999999999</v>
      </c>
      <c r="D1407" s="36">
        <v>0.2442</v>
      </c>
      <c r="E1407" s="30" cm="1">
        <f t="array" ref="E1407">IF(D1407="","",D1407-C1407)</f>
        <v>0.11810000000000001</v>
      </c>
      <c r="F1407" s="31" cm="1">
        <f t="array" ref="F1407">IF(D1407=0,"",(D1407-C1407)/C1407)</f>
        <v>0.93655828707375111</v>
      </c>
      <c r="G1407" s="32">
        <v>282.35000000000002</v>
      </c>
      <c r="H1407" s="10">
        <v>1</v>
      </c>
      <c r="I1407" s="11" cm="1">
        <f t="array" ref="I1407">IF(D1407="","",(G1407*C1407)*0.002)</f>
        <v>7.1208670000000002E-2</v>
      </c>
      <c r="J1407" s="11" cm="1">
        <f t="array" ref="J1407">IF(D1407="","",(G1407*D1407)*0.002)</f>
        <v>0.13789974000000002</v>
      </c>
      <c r="K1407" s="33" cm="1">
        <f t="array" ref="K1407">IF(D1407="","",J1407+I1407)</f>
        <v>0.20910841000000002</v>
      </c>
      <c r="L1407" s="33" cm="1">
        <f t="array" ref="L1407">IF(D1407=0,0,(D1407-C1407)*G1407)</f>
        <v>33.345535000000005</v>
      </c>
      <c r="M1407" s="12">
        <v>2.12090026</v>
      </c>
      <c r="N1407" s="34" cm="1">
        <f t="array" ref="N1407">IFERROR((K1407-J1407)/J1407,"–")</f>
        <v>0.51638001638001629</v>
      </c>
      <c r="O1407" s="33" cm="1">
        <f t="array" ref="O1407">IF(D1407=0,0,L1407-K1407)/2</f>
        <v>16.568213295000003</v>
      </c>
      <c r="P1407" s="11"/>
      <c r="Q1407" s="35"/>
    </row>
    <row r="1408" spans="1:17" ht="22.5" customHeight="1">
      <c r="A1408" s="16" t="s">
        <v>271</v>
      </c>
      <c r="B1408" s="43">
        <v>44556</v>
      </c>
      <c r="C1408" s="37">
        <v>5.3779E-2</v>
      </c>
      <c r="D1408" s="37">
        <v>8.6059999999999998E-2</v>
      </c>
      <c r="E1408" s="19" cm="1">
        <f t="array" ref="E1408">IF(D1408="","",D1408-C1408)</f>
        <v>3.2280999999999997E-2</v>
      </c>
      <c r="F1408" s="20" cm="1">
        <f t="array" ref="F1408">IF(D1408=0,"",(D1408-C1408)/C1408)</f>
        <v>0.6002528868145558</v>
      </c>
      <c r="G1408" s="21">
        <v>35822.269999999997</v>
      </c>
      <c r="H1408" s="22">
        <v>1</v>
      </c>
      <c r="I1408" s="23" cm="1">
        <f t="array" ref="I1408">IF(D1408="","",(G1408*C1408)*0.002)</f>
        <v>3.8529717166599999</v>
      </c>
      <c r="J1408" s="23" cm="1">
        <f t="array" ref="J1408">IF(D1408="","",(G1408*D1408)*0.002)</f>
        <v>6.1657291123999993</v>
      </c>
      <c r="K1408" s="24" cm="1">
        <f t="array" ref="K1408">IF(D1408="","",J1408+I1408)</f>
        <v>10.018700829059998</v>
      </c>
      <c r="L1408" s="24" cm="1">
        <f t="array" ref="L1408">IF(D1408=0,0,(D1408-C1408)*G1408)</f>
        <v>1156.3786978699998</v>
      </c>
      <c r="M1408" s="25">
        <v>763.94143134759997</v>
      </c>
      <c r="N1408" s="26" cm="1">
        <f t="array" ref="N1408">IFERROR((K1408-J1408)/J1408,"–")</f>
        <v>0.62490123169881473</v>
      </c>
      <c r="O1408" s="24" cm="1">
        <f t="array" ref="O1408">IF(D1408=0,0,L1408-K1408)/2</f>
        <v>573.17999852046989</v>
      </c>
      <c r="P1408" s="23"/>
      <c r="Q1408" s="27"/>
    </row>
    <row r="1409" spans="1:17" ht="22.5" customHeight="1">
      <c r="A1409" s="16" t="s">
        <v>121</v>
      </c>
      <c r="B1409" s="42">
        <v>44556</v>
      </c>
      <c r="C1409" s="36">
        <v>30.8</v>
      </c>
      <c r="D1409" s="36">
        <v>31.02</v>
      </c>
      <c r="E1409" s="30" cm="1">
        <f t="array" ref="E1409">IF(D1409="","",D1409-C1409)</f>
        <v>0.21999999999999886</v>
      </c>
      <c r="F1409" s="31" cm="1">
        <f t="array" ref="F1409">IF(D1409=0,"",(D1409-C1409)/C1409)</f>
        <v>7.1428571428571062E-3</v>
      </c>
      <c r="G1409" s="32">
        <v>409.98</v>
      </c>
      <c r="H1409" s="10">
        <v>1</v>
      </c>
      <c r="I1409" s="11" cm="1">
        <f t="array" ref="I1409">IF(D1409="","",(G1409*C1409)*0.00075)</f>
        <v>9.4705379999999995</v>
      </c>
      <c r="J1409" s="11" cm="1">
        <f t="array" ref="J1409">IF(D1409="","",(G1409*D1409)*0.00075)</f>
        <v>9.5381847000000004</v>
      </c>
      <c r="K1409" s="33" cm="1">
        <f t="array" ref="K1409">IF(D1409="","",J1409+I1409)</f>
        <v>19.0087227</v>
      </c>
      <c r="L1409" s="33" cm="1">
        <f t="array" ref="L1409">IF(D1409=0,0,(D1409-C1409)*G1409)</f>
        <v>90.195599999999544</v>
      </c>
      <c r="M1409" s="12">
        <v>12527.6502153</v>
      </c>
      <c r="N1409" s="34" cm="1">
        <f t="array" ref="N1409">IFERROR((K1409-J1409)/J1409,"–")</f>
        <v>0.9929078014184396</v>
      </c>
      <c r="O1409" s="33" cm="1">
        <f t="array" ref="O1409">IF(D1409=0,0,L1409-K1409)</f>
        <v>71.186877299999537</v>
      </c>
      <c r="P1409" s="11"/>
      <c r="Q1409" s="35"/>
    </row>
    <row r="1410" spans="1:17" ht="22.5" customHeight="1">
      <c r="A1410" s="16" t="s">
        <v>213</v>
      </c>
      <c r="B1410" s="43">
        <v>44556</v>
      </c>
      <c r="C1410" s="37">
        <v>9.1649999999999991</v>
      </c>
      <c r="D1410" s="37">
        <v>9.1449999999999996</v>
      </c>
      <c r="E1410" s="19" cm="1">
        <f t="array" ref="E1410">IF(D1410="","",D1410-C1410)</f>
        <v>-1.9999999999999574E-2</v>
      </c>
      <c r="F1410" s="20" cm="1">
        <f t="array" ref="F1410">IF(D1410=0,"",(D1410-C1410)/C1410)</f>
        <v>-2.1822149481723488E-3</v>
      </c>
      <c r="G1410" s="21">
        <v>3273</v>
      </c>
      <c r="H1410" s="22">
        <v>1</v>
      </c>
      <c r="I1410" s="23" cm="1">
        <f t="array" ref="I1410">IF(D1410="","",(G1410*C1410)*0.00075)</f>
        <v>22.49778375</v>
      </c>
      <c r="J1410" s="23" cm="1">
        <f t="array" ref="J1410">IF(D1410="","",(G1410*D1410)*0.00075)</f>
        <v>22.448688749999999</v>
      </c>
      <c r="K1410" s="24" cm="1">
        <f t="array" ref="K1410">IF(D1410="","",J1410+I1410)</f>
        <v>44.946472499999999</v>
      </c>
      <c r="L1410" s="24" cm="1">
        <f t="array" ref="L1410">IF(D1410=0,0,(D1410-C1410)*G1410)</f>
        <v>-65.459999999998601</v>
      </c>
      <c r="M1410" s="25">
        <v>30040.056311249999</v>
      </c>
      <c r="N1410" s="26" cm="1">
        <f t="array" ref="N1410">IFERROR((K1410-J1410)/J1410,"–")</f>
        <v>1.0021869874248224</v>
      </c>
      <c r="O1410" s="24" cm="1">
        <f t="array" ref="O1410">IF(D1410=0,0,L1410-K1410)</f>
        <v>-110.4064724999986</v>
      </c>
      <c r="P1410" s="23"/>
      <c r="Q1410" s="27"/>
    </row>
    <row r="1411" spans="1:17" ht="22.5" customHeight="1">
      <c r="A1411" s="16" t="s">
        <v>272</v>
      </c>
      <c r="B1411" s="42">
        <v>44556</v>
      </c>
      <c r="C1411" s="36">
        <v>1.2176999999999999E-4</v>
      </c>
      <c r="D1411" s="36">
        <v>1.2265999999999999E-4</v>
      </c>
      <c r="E1411" s="30" cm="1">
        <f t="array" ref="E1411">IF(D1411="","",D1411-C1411)</f>
        <v>8.8999999999999995E-7</v>
      </c>
      <c r="F1411" s="31" cm="1">
        <f t="array" ref="F1411">IF(D1411=0,"",(D1411-C1411)/C1411)</f>
        <v>7.308860967397553E-3</v>
      </c>
      <c r="G1411" s="32">
        <v>246373569</v>
      </c>
      <c r="H1411" s="10">
        <v>1</v>
      </c>
      <c r="I1411" s="11" cm="1">
        <f t="array" ref="I1411">IF(D1411="","",(G1411*C1411)*0.00075)</f>
        <v>22.5006821228475</v>
      </c>
      <c r="J1411" s="11" cm="1">
        <f t="array" ref="J1411">IF(D1411="","",(G1411*D1411)*0.00075)</f>
        <v>22.665136480154999</v>
      </c>
      <c r="K1411" s="33" cm="1">
        <f t="array" ref="K1411">IF(D1411="","",J1411+I1411)</f>
        <v>45.165818603002499</v>
      </c>
      <c r="L1411" s="33" cm="1">
        <f t="array" ref="L1411">IF(D1411=0,0,(D1411-C1411)*G1411)</f>
        <v>219.27247641</v>
      </c>
      <c r="M1411" s="12">
        <v>29758.9718842398</v>
      </c>
      <c r="N1411" s="34" cm="1">
        <f t="array" ref="N1411">IFERROR((K1411-J1411)/J1411,"–")</f>
        <v>0.99274417087885214</v>
      </c>
      <c r="O1411" s="33" cm="1">
        <f t="array" ref="O1411">IF(D1411=0,0,L1411-K1411)</f>
        <v>174.1066578069975</v>
      </c>
      <c r="P1411" s="11"/>
      <c r="Q1411" s="35"/>
    </row>
    <row r="1412" spans="1:17" ht="22.5" customHeight="1">
      <c r="A1412" s="16" t="s">
        <v>244</v>
      </c>
      <c r="B1412" s="43">
        <v>44557</v>
      </c>
      <c r="C1412" s="37">
        <v>129</v>
      </c>
      <c r="D1412" s="37">
        <v>1</v>
      </c>
      <c r="E1412" s="19" cm="1">
        <f t="array" ref="E1412">IF(D1412="","",D1412-C1412)</f>
        <v>-128</v>
      </c>
      <c r="F1412" s="20" cm="1">
        <f t="array" ref="F1412">IF(D1412=0,"",(D1412-C1412)/C1412)</f>
        <v>-0.99224806201550386</v>
      </c>
      <c r="G1412" s="21">
        <v>1</v>
      </c>
      <c r="H1412" s="22">
        <v>1</v>
      </c>
      <c r="I1412" s="23" cm="1">
        <f t="array" ref="I1412">IF(D1412="","",(G1412*C1412)*0.00075)</f>
        <v>9.6750000000000003E-2</v>
      </c>
      <c r="J1412" s="23" cm="1">
        <f t="array" ref="J1412">IF(D1412="","",(G1412*D1412)*0.00075)</f>
        <v>7.5000000000000002E-4</v>
      </c>
      <c r="K1412" s="24" cm="1">
        <f t="array" ref="K1412">IF(D1412="","",J1412+I1412)</f>
        <v>9.7500000000000003E-2</v>
      </c>
      <c r="L1412" s="24" cm="1">
        <f t="array" ref="L1412">IF(D1412=0,0,(D1412-C1412)*G1412)</f>
        <v>-128</v>
      </c>
      <c r="M1412" s="25">
        <v>256.99925000000002</v>
      </c>
      <c r="N1412" s="26" cm="1">
        <f t="array" ref="N1412">IFERROR((K1412-J1412)/J1412,"–")</f>
        <v>129</v>
      </c>
      <c r="O1412" s="24" cm="1">
        <f t="array" ref="O1412">IF(D1412=0,0,L1412-K1412)</f>
        <v>-128.0975</v>
      </c>
      <c r="P1412" s="23"/>
      <c r="Q1412" s="27"/>
    </row>
    <row r="1413" spans="1:17" ht="22.5" customHeight="1">
      <c r="A1413" s="16" t="s">
        <v>63</v>
      </c>
      <c r="B1413" s="42">
        <v>44557</v>
      </c>
      <c r="C1413" s="36">
        <v>0.25219999999999998</v>
      </c>
      <c r="D1413" s="36">
        <v>0.25124999999999997</v>
      </c>
      <c r="E1413" s="30" cm="1">
        <f t="array" ref="E1413">IF(D1413="","",D1413-C1413)</f>
        <v>-9.5000000000000639E-4</v>
      </c>
      <c r="F1413" s="31" cm="1">
        <f t="array" ref="F1413">IF(D1413=0,"",(D1413-C1413)/C1413)</f>
        <v>-3.7668517049960605E-3</v>
      </c>
      <c r="G1413" s="32">
        <v>118906</v>
      </c>
      <c r="H1413" s="10">
        <v>1</v>
      </c>
      <c r="I1413" s="11" cm="1">
        <f t="array" ref="I1413">IF(D1413="","",(G1413*C1413)*0.00075)</f>
        <v>22.491069899999999</v>
      </c>
      <c r="J1413" s="11" cm="1">
        <f t="array" ref="J1413">IF(D1413="","",(G1413*D1413)*0.00075)</f>
        <v>22.406349374999998</v>
      </c>
      <c r="K1413" s="33" cm="1">
        <f t="array" ref="K1413">IF(D1413="","",J1413+I1413)</f>
        <v>44.897419274999997</v>
      </c>
      <c r="L1413" s="33" cm="1">
        <f t="array" ref="L1413">IF(D1413=0,0,(D1413-C1413)*G1413)</f>
        <v>-112.96070000000076</v>
      </c>
      <c r="M1413" s="12">
        <v>30078.647550624999</v>
      </c>
      <c r="N1413" s="34" cm="1">
        <f t="array" ref="N1413">IFERROR((K1413-J1413)/J1413,"–")</f>
        <v>1.0037810945273633</v>
      </c>
      <c r="O1413" s="33" cm="1">
        <f t="array" ref="O1413">IF(D1413=0,0,L1413-K1413)</f>
        <v>-157.85811927500075</v>
      </c>
      <c r="P1413" s="11"/>
      <c r="Q1413" s="35"/>
    </row>
    <row r="1414" spans="1:17" ht="22.5" customHeight="1">
      <c r="A1414" s="16" t="s">
        <v>152</v>
      </c>
      <c r="B1414" s="43">
        <v>44557</v>
      </c>
      <c r="C1414" s="37">
        <v>6.5909999999999996E-2</v>
      </c>
      <c r="D1414" s="37">
        <v>6.7000000000000004E-2</v>
      </c>
      <c r="E1414" s="19" cm="1">
        <f t="array" ref="E1414">IF(D1414="","",D1414-C1414)</f>
        <v>1.0900000000000076E-3</v>
      </c>
      <c r="F1414" s="20" cm="1">
        <f t="array" ref="F1414">IF(D1414=0,"",(D1414-C1414)/C1414)</f>
        <v>1.653770292823559E-2</v>
      </c>
      <c r="G1414" s="21">
        <v>455132.3</v>
      </c>
      <c r="H1414" s="22">
        <v>1</v>
      </c>
      <c r="I1414" s="23" cm="1">
        <f t="array" ref="I1414">IF(D1414="","",(G1414*C1414)*0.00075)</f>
        <v>22.498327419749998</v>
      </c>
      <c r="J1414" s="23" cm="1">
        <f t="array" ref="J1414">IF(D1414="","",(G1414*D1414)*0.00075)</f>
        <v>22.870398075000001</v>
      </c>
      <c r="K1414" s="24" cm="1">
        <f t="array" ref="K1414">IF(D1414="","",J1414+I1414)</f>
        <v>45.368725494749995</v>
      </c>
      <c r="L1414" s="24" cm="1">
        <f t="array" ref="L1414">IF(D1414=0,0,(D1414-C1414)*G1414)</f>
        <v>496.09420700000345</v>
      </c>
      <c r="M1414" s="25">
        <v>29478.805287924999</v>
      </c>
      <c r="N1414" s="26" cm="1">
        <f t="array" ref="N1414">IFERROR((K1414-J1414)/J1414,"–")</f>
        <v>0.98373134328358181</v>
      </c>
      <c r="O1414" s="24" cm="1">
        <f t="array" ref="O1414">IF(D1414=0,0,L1414-K1414)</f>
        <v>450.72548150525347</v>
      </c>
      <c r="P1414" s="23"/>
      <c r="Q1414" s="27"/>
    </row>
    <row r="1415" spans="1:17" ht="22.5" customHeight="1">
      <c r="A1415" s="16" t="s">
        <v>273</v>
      </c>
      <c r="B1415" s="42">
        <v>44558</v>
      </c>
      <c r="C1415" s="36">
        <v>2.1954199999999999</v>
      </c>
      <c r="D1415" s="36">
        <v>2.1537999999999999</v>
      </c>
      <c r="E1415" s="30" cm="1">
        <f t="array" ref="E1415">IF(D1415="","",D1415-C1415)</f>
        <v>-4.161999999999999E-2</v>
      </c>
      <c r="F1415" s="31" cm="1">
        <f t="array" ref="F1415">IF(D1415=0,"",(D1415-C1415)/C1415)</f>
        <v>-1.8957648194878426E-2</v>
      </c>
      <c r="G1415" s="32">
        <v>2000</v>
      </c>
      <c r="H1415" s="10">
        <v>1</v>
      </c>
      <c r="I1415" s="11" cm="1">
        <f t="array" ref="I1415">IF(D1415="","",(G1415*C1415)*0.00075)</f>
        <v>3.2931300000000001</v>
      </c>
      <c r="J1415" s="11" cm="1">
        <f t="array" ref="J1415">IF(D1415="","",(G1415*D1415)*0.00075)</f>
        <v>3.2306999999999997</v>
      </c>
      <c r="K1415" s="33" cm="1">
        <f t="array" ref="K1415">IF(D1415="","",J1415+I1415)</f>
        <v>6.5238300000000002</v>
      </c>
      <c r="L1415" s="33" cm="1">
        <f t="array" ref="L1415">IF(D1415=0,0,(D1415-C1415)*G1415)</f>
        <v>-83.239999999999981</v>
      </c>
      <c r="M1415" s="12">
        <v>4470.8492999999999</v>
      </c>
      <c r="N1415" s="34" cm="1">
        <f t="array" ref="N1415">IFERROR((K1415-J1415)/J1415,"–")</f>
        <v>1.0193239855139755</v>
      </c>
      <c r="O1415" s="33" cm="1">
        <f t="array" ref="O1415">IF(D1415=0,0,L1415-K1415)</f>
        <v>-89.763829999999984</v>
      </c>
      <c r="P1415" s="11"/>
      <c r="Q1415" s="35"/>
    </row>
    <row r="1416" spans="1:17" ht="22.5" customHeight="1">
      <c r="A1416" s="16" t="s">
        <v>58</v>
      </c>
      <c r="B1416" s="43">
        <v>44558</v>
      </c>
      <c r="C1416" s="37">
        <v>0.86250000000000004</v>
      </c>
      <c r="D1416" s="37">
        <v>0.85109999999999997</v>
      </c>
      <c r="E1416" s="19" cm="1">
        <f t="array" ref="E1416">IF(D1416="","",D1416-C1416)</f>
        <v>-1.1400000000000077E-2</v>
      </c>
      <c r="F1416" s="20" cm="1">
        <f t="array" ref="F1416">IF(D1416=0,"",(D1416-C1416)/C1416)</f>
        <v>-1.3217391304347915E-2</v>
      </c>
      <c r="G1416" s="21">
        <v>2022</v>
      </c>
      <c r="H1416" s="22">
        <v>1</v>
      </c>
      <c r="I1416" s="23" cm="1">
        <f t="array" ref="I1416">IF(D1416="","",(G1416*C1416)*0.00075)</f>
        <v>1.3079812500000001</v>
      </c>
      <c r="J1416" s="23" cm="1">
        <f t="array" ref="J1416">IF(D1416="","",(G1416*D1416)*0.00075)</f>
        <v>1.2906931500000001</v>
      </c>
      <c r="K1416" s="24" cm="1">
        <f t="array" ref="K1416">IF(D1416="","",J1416+I1416)</f>
        <v>2.5986744000000002</v>
      </c>
      <c r="L1416" s="24" cm="1">
        <f t="array" ref="L1416">IF(D1416=0,0,(D1416-C1416)*G1416)</f>
        <v>-23.050800000000155</v>
      </c>
      <c r="M1416" s="25">
        <v>1765.73510685</v>
      </c>
      <c r="N1416" s="26" cm="1">
        <f t="array" ref="N1416">IFERROR((K1416-J1416)/J1416,"–")</f>
        <v>1.0133944307366938</v>
      </c>
      <c r="O1416" s="24" cm="1">
        <f t="array" ref="O1416">IF(D1416=0,0,L1416-K1416)</f>
        <v>-25.649474400000155</v>
      </c>
      <c r="P1416" s="23"/>
      <c r="Q1416" s="27"/>
    </row>
    <row r="1417" spans="1:17" ht="22.5" customHeight="1">
      <c r="A1417" s="16" t="s">
        <v>141</v>
      </c>
      <c r="B1417" s="42">
        <v>44558</v>
      </c>
      <c r="C1417" s="36">
        <v>3.2238000000000002</v>
      </c>
      <c r="D1417" s="36">
        <v>3.339</v>
      </c>
      <c r="E1417" s="30" cm="1">
        <f t="array" ref="E1417">IF(D1417="","",D1417-C1417)</f>
        <v>0.11519999999999975</v>
      </c>
      <c r="F1417" s="31" cm="1">
        <f t="array" ref="F1417">IF(D1417=0,"",(D1417-C1417)/C1417)</f>
        <v>3.5734226689000476E-2</v>
      </c>
      <c r="G1417" s="32">
        <v>15819.7</v>
      </c>
      <c r="H1417" s="10">
        <v>1</v>
      </c>
      <c r="I1417" s="11" cm="1">
        <f t="array" ref="I1417">IF(D1417="","",(G1417*C1417)*0.00075)</f>
        <v>38.249661645000003</v>
      </c>
      <c r="J1417" s="11" cm="1">
        <f t="array" ref="J1417">IF(D1417="","",(G1417*D1417)*0.00075)</f>
        <v>39.616483725000002</v>
      </c>
      <c r="K1417" s="33" cm="1">
        <f t="array" ref="K1417">IF(D1417="","",J1417+I1417)</f>
        <v>77.866145369999998</v>
      </c>
      <c r="L1417" s="33" cm="1">
        <f t="array" ref="L1417">IF(D1417=0,0,(D1417-C1417)*G1417)</f>
        <v>1822.429439999996</v>
      </c>
      <c r="M1417" s="12">
        <v>49137.502936274999</v>
      </c>
      <c r="N1417" s="34" cm="1">
        <f t="array" ref="N1417">IFERROR((K1417-J1417)/J1417,"–")</f>
        <v>0.96549865229110499</v>
      </c>
      <c r="O1417" s="33" cm="1">
        <f t="array" ref="O1417">IF(D1417=0,0,L1417-K1417)*(41/51)</f>
        <v>1402.4920603888204</v>
      </c>
      <c r="P1417" s="11"/>
      <c r="Q1417" s="35"/>
    </row>
    <row r="1418" spans="1:17" ht="22.5" customHeight="1">
      <c r="A1418" s="16" t="s">
        <v>46</v>
      </c>
      <c r="B1418" s="43">
        <v>44558</v>
      </c>
      <c r="C1418" s="37">
        <v>2.72</v>
      </c>
      <c r="D1418" s="37">
        <v>2.452</v>
      </c>
      <c r="E1418" s="19" cm="1">
        <f t="array" ref="E1418">IF(D1418="","",D1418-C1418)</f>
        <v>-0.26800000000000024</v>
      </c>
      <c r="F1418" s="20" cm="1">
        <f t="array" ref="F1418">IF(D1418=0,"",(D1418-C1418)/C1418)</f>
        <v>-9.8529411764705963E-2</v>
      </c>
      <c r="G1418" s="21">
        <v>3000</v>
      </c>
      <c r="H1418" s="22">
        <v>1</v>
      </c>
      <c r="I1418" s="23" cm="1">
        <f t="array" ref="I1418">IF(D1418="","",(G1418*C1418)*0.00075)</f>
        <v>6.120000000000001</v>
      </c>
      <c r="J1418" s="23" cm="1">
        <f t="array" ref="J1418">IF(D1418="","",(G1418*D1418)*0.00075)</f>
        <v>5.5170000000000003</v>
      </c>
      <c r="K1418" s="24" cm="1">
        <f t="array" ref="K1418">IF(D1418="","",J1418+I1418)</f>
        <v>11.637</v>
      </c>
      <c r="L1418" s="24" cm="1">
        <f t="array" ref="L1418">IF(D1418=0,0,(D1418-C1418)*G1418)</f>
        <v>-804.00000000000068</v>
      </c>
      <c r="M1418" s="25">
        <v>8958.4830000000002</v>
      </c>
      <c r="N1418" s="26" cm="1">
        <f t="array" ref="N1418">IFERROR((K1418-J1418)/J1418,"–")</f>
        <v>1.1092985318107667</v>
      </c>
      <c r="O1418" s="24" cm="1">
        <f t="array" ref="O1418">IF(D1418=0,0,L1418-K1418)</f>
        <v>-815.63700000000063</v>
      </c>
      <c r="P1418" s="23"/>
      <c r="Q1418" s="27"/>
    </row>
    <row r="1419" spans="1:17" ht="22.5" customHeight="1">
      <c r="A1419" s="16" t="s">
        <v>89</v>
      </c>
      <c r="B1419" s="42">
        <v>44558</v>
      </c>
      <c r="C1419" s="36">
        <v>9.5170000000000005E-2</v>
      </c>
      <c r="D1419" s="36">
        <v>9.5329999999999998E-2</v>
      </c>
      <c r="E1419" s="30" cm="1">
        <f t="array" ref="E1419">IF(D1419="","",D1419-C1419)</f>
        <v>1.5999999999999348E-4</v>
      </c>
      <c r="F1419" s="31" cm="1">
        <f t="array" ref="F1419">IF(D1419=0,"",(D1419-C1419)/C1419)</f>
        <v>1.6812020594724542E-3</v>
      </c>
      <c r="G1419" s="32">
        <v>51485.9</v>
      </c>
      <c r="H1419" s="10">
        <v>1</v>
      </c>
      <c r="I1419" s="11" cm="1">
        <f t="array" ref="I1419">IF(D1419="","",(G1419*C1419)*0.00075)</f>
        <v>3.6749348272500009</v>
      </c>
      <c r="J1419" s="11" cm="1">
        <f t="array" ref="J1419">IF(D1419="","",(G1419*D1419)*0.00075)</f>
        <v>3.6811131352499999</v>
      </c>
      <c r="K1419" s="33" cm="1">
        <f t="array" ref="K1419">IF(D1419="","",J1419+I1419)</f>
        <v>7.3560479625000008</v>
      </c>
      <c r="L1419" s="33" cm="1">
        <f t="array" ref="L1419">IF(D1419=0,0,(D1419-C1419)*G1419)</f>
        <v>8.2377439999996653</v>
      </c>
      <c r="M1419" s="12">
        <v>4887.9942458647502</v>
      </c>
      <c r="N1419" s="34" cm="1">
        <f t="array" ref="N1419">IFERROR((K1419-J1419)/J1419,"–")</f>
        <v>0.99832161963705046</v>
      </c>
      <c r="O1419" s="33" cm="1">
        <f t="array" ref="O1419">IF(D1419=0,0,L1419-K1419)</f>
        <v>0.88169603749966452</v>
      </c>
      <c r="P1419" s="11"/>
      <c r="Q1419" s="35"/>
    </row>
    <row r="1420" spans="1:17" ht="22.5" customHeight="1">
      <c r="A1420" s="16" t="s">
        <v>225</v>
      </c>
      <c r="B1420" s="43">
        <v>44558</v>
      </c>
      <c r="C1420" s="37">
        <v>421</v>
      </c>
      <c r="D1420" s="37">
        <v>1</v>
      </c>
      <c r="E1420" s="19" cm="1">
        <f t="array" ref="E1420">IF(D1420="","",D1420-C1420)</f>
        <v>-420</v>
      </c>
      <c r="F1420" s="20" cm="1">
        <f t="array" ref="F1420">IF(D1420=0,"",(D1420-C1420)/C1420)</f>
        <v>-0.99762470308788598</v>
      </c>
      <c r="G1420" s="21">
        <v>1</v>
      </c>
      <c r="H1420" s="22">
        <v>1</v>
      </c>
      <c r="I1420" s="23" cm="1">
        <f t="array" ref="I1420">IF(D1420="","",(G1420*C1420)*0.00075)</f>
        <v>0.31575000000000003</v>
      </c>
      <c r="J1420" s="23" cm="1">
        <f t="array" ref="J1420">IF(D1420="","",(G1420*D1420)*0.00075)</f>
        <v>7.5000000000000002E-4</v>
      </c>
      <c r="K1420" s="24" cm="1">
        <f t="array" ref="K1420">IF(D1420="","",J1420+I1420)</f>
        <v>0.3165</v>
      </c>
      <c r="L1420" s="24" cm="1">
        <f t="array" ref="L1420">IF(D1420=0,0,(D1420-C1420)*G1420)</f>
        <v>-420</v>
      </c>
      <c r="M1420" s="25">
        <v>840.99924999999996</v>
      </c>
      <c r="N1420" s="26" cm="1">
        <f t="array" ref="N1420">IFERROR((K1420-J1420)/J1420,"–")</f>
        <v>421.00000000000006</v>
      </c>
      <c r="O1420" s="24" cm="1">
        <f t="array" ref="O1420">IF(D1420=0,0,L1420-K1420)</f>
        <v>-420.31650000000002</v>
      </c>
      <c r="P1420" s="23"/>
      <c r="Q1420" s="27"/>
    </row>
    <row r="1421" spans="1:17" ht="22.5" customHeight="1">
      <c r="A1421" s="16" t="s">
        <v>233</v>
      </c>
      <c r="B1421" s="42">
        <v>44559</v>
      </c>
      <c r="C1421" s="36">
        <v>1.8425</v>
      </c>
      <c r="D1421" s="36">
        <v>1.8707</v>
      </c>
      <c r="E1421" s="30" cm="1">
        <f t="array" ref="E1421">IF(D1421="","",D1421-C1421)</f>
        <v>2.8200000000000003E-2</v>
      </c>
      <c r="F1421" s="31" cm="1">
        <f t="array" ref="F1421">IF(D1421=0,"",(D1421-C1421)/C1421)</f>
        <v>1.5305291723202172E-2</v>
      </c>
      <c r="G1421" s="32">
        <v>5535.8</v>
      </c>
      <c r="H1421" s="10">
        <v>1</v>
      </c>
      <c r="I1421" s="11" cm="1">
        <f t="array" ref="I1421">IF(D1421="","",(G1421*C1421)*0.00075)</f>
        <v>7.6497836250000013</v>
      </c>
      <c r="J1421" s="11" cm="1">
        <f t="array" ref="J1421">IF(D1421="","",(G1421*D1421)*0.00075)</f>
        <v>7.7668657950000002</v>
      </c>
      <c r="K1421" s="33" cm="1">
        <f t="array" ref="K1421">IF(D1421="","",J1421+I1421)</f>
        <v>15.416649420000002</v>
      </c>
      <c r="L1421" s="33" cm="1">
        <f t="array" ref="L1421">IF(D1421=0,0,(D1421-C1421)*G1421)</f>
        <v>156.10956000000002</v>
      </c>
      <c r="M1421" s="12">
        <v>10035.835074205001</v>
      </c>
      <c r="N1421" s="34" cm="1">
        <f t="array" ref="N1421">IFERROR((K1421-J1421)/J1421,"–")</f>
        <v>0.98492542898380309</v>
      </c>
      <c r="O1421" s="33" cm="1">
        <f t="array" ref="O1421">IF(D1421=0,0,L1421-K1421)</f>
        <v>140.69291058000002</v>
      </c>
      <c r="P1421" s="11"/>
      <c r="Q1421" s="35"/>
    </row>
    <row r="1422" spans="1:17" ht="22.5" customHeight="1">
      <c r="A1422" s="16" t="s">
        <v>274</v>
      </c>
      <c r="B1422" s="43">
        <v>44559</v>
      </c>
      <c r="C1422" s="37">
        <v>2626</v>
      </c>
      <c r="D1422" s="37">
        <v>1</v>
      </c>
      <c r="E1422" s="19" cm="1">
        <f t="array" ref="E1422">IF(D1422="","",D1422-C1422)</f>
        <v>-2625</v>
      </c>
      <c r="F1422" s="20" cm="1">
        <f t="array" ref="F1422">IF(D1422=0,"",(D1422-C1422)/C1422)</f>
        <v>-0.99961919268849964</v>
      </c>
      <c r="G1422" s="21">
        <v>1</v>
      </c>
      <c r="H1422" s="22">
        <v>1</v>
      </c>
      <c r="I1422" s="23" cm="1">
        <f t="array" ref="I1422">IF(D1422="","",(G1422*C1422)*0.00075)</f>
        <v>1.9695</v>
      </c>
      <c r="J1422" s="23" cm="1">
        <f t="array" ref="J1422">IF(D1422="","",(G1422*D1422)*0.00075)</f>
        <v>7.5000000000000002E-4</v>
      </c>
      <c r="K1422" s="24" cm="1">
        <f t="array" ref="K1422">IF(D1422="","",J1422+I1422)</f>
        <v>1.9702500000000001</v>
      </c>
      <c r="L1422" s="24" cm="1">
        <f t="array" ref="L1422">IF(D1422=0,0,(D1422-C1422)*G1422)</f>
        <v>-2625</v>
      </c>
      <c r="M1422" s="25">
        <v>5250.9992499999998</v>
      </c>
      <c r="N1422" s="26" cm="1">
        <f t="array" ref="N1422">IFERROR((K1422-J1422)/J1422,"–")</f>
        <v>2626</v>
      </c>
      <c r="O1422" s="24" cm="1">
        <f t="array" ref="O1422">IF(D1422=0,0,L1422-K1422)</f>
        <v>-2626.9702499999999</v>
      </c>
      <c r="P1422" s="23"/>
      <c r="Q1422" s="27"/>
    </row>
    <row r="1423" spans="1:17" ht="22.5" customHeight="1">
      <c r="A1423" s="16" t="s">
        <v>225</v>
      </c>
      <c r="B1423" s="42">
        <v>44560</v>
      </c>
      <c r="C1423" s="36">
        <v>1</v>
      </c>
      <c r="D1423" s="36">
        <v>747</v>
      </c>
      <c r="E1423" s="30" cm="1">
        <f t="array" ref="E1423">IF(D1423="","",D1423-C1423)</f>
        <v>746</v>
      </c>
      <c r="F1423" s="31" cm="1">
        <f t="array" ref="F1423">IF(D1423=0,"",(D1423-C1423)/C1423)</f>
        <v>746</v>
      </c>
      <c r="G1423" s="32">
        <v>1</v>
      </c>
      <c r="H1423" s="10">
        <v>1</v>
      </c>
      <c r="I1423" s="11" cm="1">
        <f t="array" ref="I1423">IF(D1423="","",(G1423*C1423)*0.00075)</f>
        <v>7.5000000000000002E-4</v>
      </c>
      <c r="J1423" s="11" cm="1">
        <f t="array" ref="J1423">IF(D1423="","",(G1423*D1423)*0.00075)</f>
        <v>0.56025000000000003</v>
      </c>
      <c r="K1423" s="33" cm="1">
        <f t="array" ref="K1423">IF(D1423="","",J1423+I1423)</f>
        <v>0.56100000000000005</v>
      </c>
      <c r="L1423" s="33" cm="1">
        <f t="array" ref="L1423">IF(D1423=0,0,(D1423-C1423)*G1423)</f>
        <v>746</v>
      </c>
      <c r="M1423" s="12">
        <v>-745.56025</v>
      </c>
      <c r="N1423" s="34" cm="1">
        <f t="array" ref="N1423">IFERROR((K1423-J1423)/J1423,"–")</f>
        <v>1.3386880856760882E-3</v>
      </c>
      <c r="O1423" s="33" cm="1">
        <f t="array" ref="O1423">IF(D1423=0,0,L1423-K1423)</f>
        <v>745.43899999999996</v>
      </c>
      <c r="P1423" s="11"/>
      <c r="Q1423" s="35"/>
    </row>
    <row r="1424" spans="1:17" ht="22.5" customHeight="1">
      <c r="A1424" s="16" t="s">
        <v>101</v>
      </c>
      <c r="B1424" s="43">
        <v>44560</v>
      </c>
      <c r="C1424" s="37">
        <v>0.13539999999999999</v>
      </c>
      <c r="D1424" s="37">
        <v>0.13594999999999999</v>
      </c>
      <c r="E1424" s="19" cm="1">
        <f t="array" ref="E1424">IF(D1424="","",D1424-C1424)</f>
        <v>5.4999999999999494E-4</v>
      </c>
      <c r="F1424" s="20" cm="1">
        <f t="array" ref="F1424">IF(D1424=0,"",(D1424-C1424)/C1424)</f>
        <v>4.0620384047266988E-3</v>
      </c>
      <c r="G1424" s="21">
        <v>110752</v>
      </c>
      <c r="H1424" s="22">
        <v>1</v>
      </c>
      <c r="I1424" s="23" cm="1">
        <f t="array" ref="I1424">IF(D1424="","",(G1424*C1424)*0.00075)</f>
        <v>11.2468656</v>
      </c>
      <c r="J1424" s="23" cm="1">
        <f t="array" ref="J1424">IF(D1424="","",(G1424*D1424)*0.00075)</f>
        <v>11.292550799999999</v>
      </c>
      <c r="K1424" s="24" cm="1">
        <f t="array" ref="K1424">IF(D1424="","",J1424+I1424)</f>
        <v>22.5394164</v>
      </c>
      <c r="L1424" s="24" cm="1">
        <f t="array" ref="L1424">IF(D1424=0,0,(D1424-C1424)*G1424)</f>
        <v>60.913599999999441</v>
      </c>
      <c r="M1424" s="25">
        <v>14923.614649200001</v>
      </c>
      <c r="N1424" s="26" cm="1">
        <f t="array" ref="N1424">IFERROR((K1424-J1424)/J1424,"–")</f>
        <v>0.9959543949981613</v>
      </c>
      <c r="O1424" s="24" cm="1">
        <f t="array" ref="O1424">IF(D1424=0,0,L1424-K1424)</f>
        <v>38.374183599999441</v>
      </c>
      <c r="P1424" s="44" t="s">
        <v>434</v>
      </c>
      <c r="Q1424" s="58" t="s">
        <v>433</v>
      </c>
    </row>
    <row r="1425" spans="1:17" ht="22.5" customHeight="1">
      <c r="A1425" s="16" t="s">
        <v>217</v>
      </c>
      <c r="B1425" s="42">
        <v>44560</v>
      </c>
      <c r="C1425" s="36">
        <v>25.806000000000001</v>
      </c>
      <c r="D1425" s="36">
        <v>25.78</v>
      </c>
      <c r="E1425" s="30" cm="1">
        <f t="array" ref="E1425">IF(D1425="","",D1425-C1425)</f>
        <v>-2.5999999999999801E-2</v>
      </c>
      <c r="F1425" s="31" cm="1">
        <f t="array" ref="F1425">IF(D1425=0,"",(D1425-C1425)/C1425)</f>
        <v>-1.0075176315585445E-3</v>
      </c>
      <c r="G1425" s="32">
        <v>395.25</v>
      </c>
      <c r="H1425" s="10">
        <v>1</v>
      </c>
      <c r="I1425" s="11" cm="1">
        <f t="array" ref="I1425">IF(D1425="","",(G1425*C1425)*0.00075)</f>
        <v>7.649866125</v>
      </c>
      <c r="J1425" s="11" cm="1">
        <f t="array" ref="J1425">IF(D1425="","",(G1425*D1425)*0.00075)</f>
        <v>7.6421587500000001</v>
      </c>
      <c r="K1425" s="33" cm="1">
        <f t="array" ref="K1425">IF(D1425="","",J1425+I1425)</f>
        <v>15.292024874999999</v>
      </c>
      <c r="L1425" s="33" cm="1">
        <f t="array" ref="L1425">IF(D1425=0,0,(D1425-C1425)*G1425)</f>
        <v>-10.27649999999992</v>
      </c>
      <c r="M1425" s="12">
        <v>10202.455841249999</v>
      </c>
      <c r="N1425" s="34" cm="1">
        <f t="array" ref="N1425">IFERROR((K1425-J1425)/J1425,"–")</f>
        <v>1.0010085337470906</v>
      </c>
      <c r="O1425" s="33" cm="1">
        <f t="array" ref="O1425">IF(D1425=0,0,L1425-K1425)</f>
        <v>-25.56852487499992</v>
      </c>
      <c r="P1425" s="11" cm="1">
        <f t="array" ref="P1425">SUM(O1304:O1425)</f>
        <v>29529.063237264141</v>
      </c>
      <c r="Q1425" s="35" cm="1">
        <f t="array" ref="Q1425">P1425-O1422</f>
        <v>32156.03348726414</v>
      </c>
    </row>
    <row r="1426" spans="1:17" ht="22.5" customHeight="1">
      <c r="A1426" s="7"/>
      <c r="B1426" s="40"/>
      <c r="C1426" s="37"/>
      <c r="D1426" s="37"/>
      <c r="E1426" s="40" t="str" cm="1">
        <f t="array" ref="E1426">IF(D1426="","",D1426-C1426)</f>
        <v/>
      </c>
      <c r="F1426" s="40" t="str" cm="1">
        <f t="array" ref="F1426">IF(D1426=0,"",(D1426-C1426)/C1426)</f>
        <v/>
      </c>
      <c r="G1426" s="21"/>
      <c r="H1426" s="22">
        <v>1</v>
      </c>
      <c r="I1426" s="40" t="str" cm="1">
        <f t="array" ref="I1426">IF(D1426="","",(G1426*C1426)*0.00075)</f>
        <v/>
      </c>
      <c r="J1426" s="40" t="str" cm="1">
        <f t="array" ref="J1426">IF(D1426="","",(G1426*D1426)*0.00075)</f>
        <v/>
      </c>
      <c r="K1426" s="40" t="str" cm="1">
        <f t="array" ref="K1426">IF(D1426="","",J1426+I1426)</f>
        <v/>
      </c>
      <c r="L1426" s="24" cm="1">
        <f t="array" ref="L1426">IF(D1426=0,0,(D1426-C1426)*G1426)</f>
        <v>0</v>
      </c>
      <c r="M1426" s="46" t="s">
        <v>13</v>
      </c>
      <c r="N1426" s="47" t="str" cm="1">
        <f t="array" ref="N1426">IFERROR((K1426-J1426)/J1426,"–")</f>
        <v>–</v>
      </c>
      <c r="O1426" s="24" cm="1">
        <f t="array" ref="O1426">IF(D1426=0,0,L1426-K1426)</f>
        <v>0</v>
      </c>
      <c r="P1426" s="23"/>
      <c r="Q1426" s="27"/>
    </row>
    <row r="1427" spans="1:17" ht="22.5" customHeight="1">
      <c r="A1427" s="16" t="s">
        <v>225</v>
      </c>
      <c r="B1427" s="28">
        <v>44562</v>
      </c>
      <c r="C1427" s="36">
        <v>241</v>
      </c>
      <c r="D1427" s="36">
        <v>1</v>
      </c>
      <c r="E1427" s="30" cm="1">
        <f t="array" ref="E1427">IF(D1427="","",D1427-C1427)</f>
        <v>-240</v>
      </c>
      <c r="F1427" s="31" cm="1">
        <f t="array" ref="F1427">IF(D1427=0,"",(D1427-C1427)/C1427)</f>
        <v>-0.99585062240663902</v>
      </c>
      <c r="G1427" s="32">
        <v>1</v>
      </c>
      <c r="H1427" s="10">
        <v>1</v>
      </c>
      <c r="I1427" s="11" cm="1">
        <f t="array" ref="I1427">IF(D1427="","",(G1427*C1427)*0.00075)</f>
        <v>0.18074999999999999</v>
      </c>
      <c r="J1427" s="11" cm="1">
        <f t="array" ref="J1427">IF(D1427="","",(G1427*D1427)*0.00075)</f>
        <v>7.5000000000000002E-4</v>
      </c>
      <c r="K1427" s="33" cm="1">
        <f t="array" ref="K1427">IF(D1427="","",J1427+I1427)</f>
        <v>0.18149999999999999</v>
      </c>
      <c r="L1427" s="33" cm="1">
        <f t="array" ref="L1427">IF(D1427=0,0,(D1427-C1427)*G1427)</f>
        <v>-240</v>
      </c>
      <c r="M1427" s="12">
        <v>480.99925000000002</v>
      </c>
      <c r="N1427" s="34" cm="1">
        <f t="array" ref="N1427">IFERROR((K1427-J1427)/J1427,"–")</f>
        <v>241</v>
      </c>
      <c r="O1427" s="33" cm="1">
        <f t="array" ref="O1427">IF(D1427=0,0,L1427-K1427)</f>
        <v>-240.1815</v>
      </c>
      <c r="P1427" s="11"/>
      <c r="Q1427" s="35"/>
    </row>
    <row r="1428" spans="1:17" ht="22.5" customHeight="1">
      <c r="A1428" s="16" t="s">
        <v>135</v>
      </c>
      <c r="B1428" s="17">
        <v>44562</v>
      </c>
      <c r="C1428" s="37">
        <v>1.2523</v>
      </c>
      <c r="D1428" s="37">
        <v>1.24695</v>
      </c>
      <c r="E1428" s="19" cm="1">
        <f t="array" ref="E1428">IF(D1428="","",D1428-C1428)</f>
        <v>-5.3499999999999659E-3</v>
      </c>
      <c r="F1428" s="20" cm="1">
        <f t="array" ref="F1428">IF(D1428=0,"",(D1428-C1428)/C1428)</f>
        <v>-4.2721392637546643E-3</v>
      </c>
      <c r="G1428" s="21">
        <v>31540</v>
      </c>
      <c r="H1428" s="22">
        <v>1</v>
      </c>
      <c r="I1428" s="23" cm="1">
        <f t="array" ref="I1428">IF(D1428="","",(G1428*C1428)*0.00075)</f>
        <v>29.6231565</v>
      </c>
      <c r="J1428" s="23" cm="1">
        <f t="array" ref="J1428">IF(D1428="","",(G1428*D1428)*0.00075)</f>
        <v>29.496602250000002</v>
      </c>
      <c r="K1428" s="24" cm="1">
        <f t="array" ref="K1428">IF(D1428="","",J1428+I1428)</f>
        <v>59.119758750000003</v>
      </c>
      <c r="L1428" s="24" cm="1">
        <f t="array" ref="L1428">IF(D1428=0,0,(D1428-C1428)*G1428)</f>
        <v>-168.73899999999892</v>
      </c>
      <c r="M1428" s="25">
        <v>39636.784397750002</v>
      </c>
      <c r="N1428" s="26" cm="1">
        <f t="array" ref="N1428">IFERROR((K1428-J1428)/J1428,"–")</f>
        <v>1.0042904687437346</v>
      </c>
      <c r="O1428" s="24" cm="1">
        <f t="array" ref="O1428">IF(D1428=0,0,L1428-K1428)</f>
        <v>-227.85875874999891</v>
      </c>
      <c r="P1428" s="23"/>
      <c r="Q1428" s="27"/>
    </row>
    <row r="1429" spans="1:17" ht="22.5" customHeight="1">
      <c r="A1429" s="16" t="s">
        <v>32</v>
      </c>
      <c r="B1429" s="28">
        <v>44564</v>
      </c>
      <c r="C1429" s="36">
        <v>0.12249</v>
      </c>
      <c r="D1429" s="36">
        <v>0.12135</v>
      </c>
      <c r="E1429" s="30" cm="1">
        <f t="array" ref="E1429">IF(D1429="","",D1429-C1429)</f>
        <v>-1.1400000000000021E-3</v>
      </c>
      <c r="F1429" s="31" cm="1">
        <f t="array" ref="F1429">IF(D1429=0,"",(D1429-C1429)/C1429)</f>
        <v>-9.306882194464872E-3</v>
      </c>
      <c r="G1429" s="32">
        <v>122451.7</v>
      </c>
      <c r="H1429" s="10">
        <v>1</v>
      </c>
      <c r="I1429" s="11" cm="1">
        <f t="array" ref="I1429">IF(D1429="","",(G1429*C1429)*0.00075)</f>
        <v>11.24933154975</v>
      </c>
      <c r="J1429" s="11" cm="1">
        <f t="array" ref="J1429">IF(D1429="","",(G1429*D1429)*0.00075)</f>
        <v>11.14463534625</v>
      </c>
      <c r="K1429" s="33" cm="1">
        <f t="array" ref="K1429">IF(D1429="","",J1429+I1429)</f>
        <v>22.393966896000002</v>
      </c>
      <c r="L1429" s="33" cm="1">
        <f t="array" ref="L1429">IF(D1429=0,0,(D1429-C1429)*G1429)</f>
        <v>-139.59493800000027</v>
      </c>
      <c r="M1429" s="12">
        <v>15127.5590356538</v>
      </c>
      <c r="N1429" s="34" cm="1">
        <f t="array" ref="N1429">IFERROR((K1429-J1429)/J1429,"–")</f>
        <v>1.0093943139678616</v>
      </c>
      <c r="O1429" s="33" cm="1">
        <f t="array" ref="O1429">IF(D1429=0,0,L1429-K1429)</f>
        <v>-161.98890489600026</v>
      </c>
      <c r="P1429" s="11"/>
      <c r="Q1429" s="35"/>
    </row>
    <row r="1430" spans="1:17" ht="22.5" customHeight="1">
      <c r="A1430" s="16" t="s">
        <v>43</v>
      </c>
      <c r="B1430" s="17">
        <v>44564</v>
      </c>
      <c r="C1430" s="37">
        <v>0.68799999999999994</v>
      </c>
      <c r="D1430" s="37">
        <v>0.68720000000000003</v>
      </c>
      <c r="E1430" s="19" cm="1">
        <f t="array" ref="E1430">IF(D1430="","",D1430-C1430)</f>
        <v>-7.9999999999991189E-4</v>
      </c>
      <c r="F1430" s="20" cm="1">
        <f t="array" ref="F1430">IF(D1430=0,"",(D1430-C1430)/C1430)</f>
        <v>-1.1627906976742907E-3</v>
      </c>
      <c r="G1430" s="21">
        <v>29069</v>
      </c>
      <c r="H1430" s="22">
        <v>1</v>
      </c>
      <c r="I1430" s="23" cm="1">
        <f t="array" ref="I1430">IF(D1430="","",(G1430*C1430)*0.00075)</f>
        <v>14.999603999999998</v>
      </c>
      <c r="J1430" s="23" cm="1">
        <f t="array" ref="J1430">IF(D1430="","",(G1430*D1430)*0.00075)</f>
        <v>14.982162600000002</v>
      </c>
      <c r="K1430" s="24" cm="1">
        <f t="array" ref="K1430">IF(D1430="","",J1430+I1430)</f>
        <v>29.9817666</v>
      </c>
      <c r="L1430" s="24" cm="1">
        <f t="array" ref="L1430">IF(D1430=0,0,(D1430-C1430)*G1430)</f>
        <v>-23.255199999997437</v>
      </c>
      <c r="M1430" s="25">
        <v>20007.7450374</v>
      </c>
      <c r="N1430" s="26" cm="1">
        <f t="array" ref="N1430">IFERROR((K1430-J1430)/J1430,"–")</f>
        <v>1.0011641443538997</v>
      </c>
      <c r="O1430" s="24" cm="1">
        <f t="array" ref="O1430">IF(D1430=0,0,L1430-K1430)</f>
        <v>-53.236966599997437</v>
      </c>
      <c r="P1430" s="23"/>
      <c r="Q1430" s="27"/>
    </row>
    <row r="1431" spans="1:17" ht="22.5" customHeight="1">
      <c r="A1431" s="16" t="s">
        <v>275</v>
      </c>
      <c r="B1431" s="28">
        <v>44564</v>
      </c>
      <c r="C1431" s="36">
        <v>5.19</v>
      </c>
      <c r="D1431" s="36">
        <v>5.17</v>
      </c>
      <c r="E1431" s="30" cm="1">
        <f t="array" ref="E1431">IF(D1431="","",D1431-C1431)</f>
        <v>-2.0000000000000462E-2</v>
      </c>
      <c r="F1431" s="31" cm="1">
        <f t="array" ref="F1431">IF(D1431=0,"",(D1431-C1431)/C1431)</f>
        <v>-3.8535645472062546E-3</v>
      </c>
      <c r="G1431" s="32">
        <v>770.76</v>
      </c>
      <c r="H1431" s="10">
        <v>1</v>
      </c>
      <c r="I1431" s="11" cm="1">
        <f t="array" ref="I1431">IF(D1431="","",(G1431*C1431)*0.00075)</f>
        <v>3.0001833000000002</v>
      </c>
      <c r="J1431" s="11" cm="1">
        <f t="array" ref="J1431">IF(D1431="","",(G1431*D1431)*0.00075)</f>
        <v>2.9886218999999996</v>
      </c>
      <c r="K1431" s="33" cm="1">
        <f t="array" ref="K1431">IF(D1431="","",J1431+I1431)</f>
        <v>5.9888051999999998</v>
      </c>
      <c r="L1431" s="33" cm="1">
        <f t="array" ref="L1431">IF(D1431=0,0,(D1431-C1431)*G1431)</f>
        <v>-15.415200000000356</v>
      </c>
      <c r="M1431" s="12">
        <v>4012.6709781</v>
      </c>
      <c r="N1431" s="34" cm="1">
        <f t="array" ref="N1431">IFERROR((K1431-J1431)/J1431,"–")</f>
        <v>1.0038684719535786</v>
      </c>
      <c r="O1431" s="33" cm="1">
        <f t="array" ref="O1431">IF(D1431=0,0,L1431-K1431)</f>
        <v>-21.404005200000356</v>
      </c>
      <c r="P1431" s="11"/>
      <c r="Q1431" s="35"/>
    </row>
    <row r="1432" spans="1:17" ht="22.5" customHeight="1">
      <c r="A1432" s="16" t="s">
        <v>244</v>
      </c>
      <c r="B1432" s="17">
        <v>44564</v>
      </c>
      <c r="C1432" s="37">
        <v>471</v>
      </c>
      <c r="D1432" s="37">
        <v>1</v>
      </c>
      <c r="E1432" s="19" cm="1">
        <f t="array" ref="E1432">IF(D1432="","",D1432-C1432)</f>
        <v>-470</v>
      </c>
      <c r="F1432" s="20" cm="1">
        <f t="array" ref="F1432">IF(D1432=0,"",(D1432-C1432)/C1432)</f>
        <v>-0.99787685774946921</v>
      </c>
      <c r="G1432" s="21">
        <v>1</v>
      </c>
      <c r="H1432" s="22">
        <v>1</v>
      </c>
      <c r="I1432" s="23" cm="1">
        <f t="array" ref="I1432">IF(D1432="","",(G1432*C1432)*0.00075)</f>
        <v>0.35325000000000001</v>
      </c>
      <c r="J1432" s="23" cm="1">
        <f t="array" ref="J1432">IF(D1432="","",(G1432*D1432)*0.00075)</f>
        <v>7.5000000000000002E-4</v>
      </c>
      <c r="K1432" s="24" cm="1">
        <f t="array" ref="K1432">IF(D1432="","",J1432+I1432)</f>
        <v>0.35399999999999998</v>
      </c>
      <c r="L1432" s="24" cm="1">
        <f t="array" ref="L1432">IF(D1432=0,0,(D1432-C1432)*G1432)</f>
        <v>-470</v>
      </c>
      <c r="M1432" s="25">
        <v>940.99924999999996</v>
      </c>
      <c r="N1432" s="26" cm="1">
        <f t="array" ref="N1432">IFERROR((K1432-J1432)/J1432,"–")</f>
        <v>471</v>
      </c>
      <c r="O1432" s="24" cm="1">
        <f t="array" ref="O1432">IF(D1432=0,0,L1432-K1432)</f>
        <v>-470.35399999999998</v>
      </c>
      <c r="P1432" s="23"/>
      <c r="Q1432" s="27"/>
    </row>
    <row r="1433" spans="1:17" ht="22.5" customHeight="1">
      <c r="A1433" s="16" t="s">
        <v>247</v>
      </c>
      <c r="B1433" s="28">
        <v>44565</v>
      </c>
      <c r="C1433" s="36">
        <v>5.0160000000000003E-2</v>
      </c>
      <c r="D1433" s="36">
        <v>5.2900000000000003E-2</v>
      </c>
      <c r="E1433" s="30" cm="1">
        <f t="array" ref="E1433">IF(D1433="","",D1433-C1433)</f>
        <v>2.7399999999999994E-3</v>
      </c>
      <c r="F1433" s="31" cm="1">
        <f t="array" ref="F1433">IF(D1433=0,"",(D1433-C1433)/C1433)</f>
        <v>5.4625199362041452E-2</v>
      </c>
      <c r="G1433" s="32">
        <v>47278</v>
      </c>
      <c r="H1433" s="10">
        <v>1</v>
      </c>
      <c r="I1433" s="11" cm="1">
        <f t="array" ref="I1433">IF(D1433="","",(G1433*C1433)*0.00075)</f>
        <v>1.7785983600000002</v>
      </c>
      <c r="J1433" s="11" cm="1">
        <f t="array" ref="J1433">IF(D1433="","",(G1433*D1433)*0.00075)</f>
        <v>1.8757546500000002</v>
      </c>
      <c r="K1433" s="33" cm="1">
        <f t="array" ref="K1433">IF(D1433="","",J1433+I1433)</f>
        <v>3.6543530100000003</v>
      </c>
      <c r="L1433" s="33" cm="1">
        <f t="array" ref="L1433">IF(D1433=0,0,(D1433-C1433)*G1433)</f>
        <v>129.54171999999997</v>
      </c>
      <c r="M1433" s="12">
        <v>2240.0470053499998</v>
      </c>
      <c r="N1433" s="34" cm="1">
        <f t="array" ref="N1433">IFERROR((K1433-J1433)/J1433,"–")</f>
        <v>0.94820415879017017</v>
      </c>
      <c r="O1433" s="33" cm="1">
        <f t="array" ref="O1433">IF(D1433=0,0,L1433-K1433)</f>
        <v>125.88736698999998</v>
      </c>
      <c r="P1433" s="11"/>
      <c r="Q1433" s="35"/>
    </row>
    <row r="1434" spans="1:17" ht="22.5" customHeight="1">
      <c r="A1434" s="16" t="s">
        <v>57</v>
      </c>
      <c r="B1434" s="17">
        <v>44565</v>
      </c>
      <c r="C1434" s="37">
        <v>1.6758999999999999</v>
      </c>
      <c r="D1434" s="37">
        <v>1.667</v>
      </c>
      <c r="E1434" s="19" cm="1">
        <f t="array" ref="E1434">IF(D1434="","",D1434-C1434)</f>
        <v>-8.899999999999908E-3</v>
      </c>
      <c r="F1434" s="20" cm="1">
        <f t="array" ref="F1434">IF(D1434=0,"",(D1434-C1434)/C1434)</f>
        <v>-5.3105793901783568E-3</v>
      </c>
      <c r="G1434" s="21">
        <v>4773.5</v>
      </c>
      <c r="H1434" s="22">
        <v>1</v>
      </c>
      <c r="I1434" s="23" cm="1">
        <f t="array" ref="I1434">IF(D1434="","",(G1434*C1434)*0.00075)</f>
        <v>5.9999314874999996</v>
      </c>
      <c r="J1434" s="23" cm="1">
        <f t="array" ref="J1434">IF(D1434="","",(G1434*D1434)*0.00075)</f>
        <v>5.9680683750000005</v>
      </c>
      <c r="K1434" s="24" cm="1">
        <f t="array" ref="K1434">IF(D1434="","",J1434+I1434)</f>
        <v>11.967999862500001</v>
      </c>
      <c r="L1434" s="24" cm="1">
        <f t="array" ref="L1434">IF(D1434=0,0,(D1434-C1434)*G1434)</f>
        <v>-42.484149999999559</v>
      </c>
      <c r="M1434" s="25">
        <v>8036.4247316250003</v>
      </c>
      <c r="N1434" s="26" cm="1">
        <f t="array" ref="N1434">IFERROR((K1434-J1434)/J1434,"–")</f>
        <v>1.0053389322135573</v>
      </c>
      <c r="O1434" s="24" cm="1">
        <f t="array" ref="O1434">IF(D1434=0,0,L1434-K1434)</f>
        <v>-54.45214986249956</v>
      </c>
      <c r="P1434" s="23"/>
      <c r="Q1434" s="27"/>
    </row>
    <row r="1435" spans="1:17" ht="22.5" customHeight="1">
      <c r="A1435" s="16" t="s">
        <v>177</v>
      </c>
      <c r="B1435" s="28">
        <v>44565</v>
      </c>
      <c r="C1435" s="36">
        <v>238.51</v>
      </c>
      <c r="D1435" s="36">
        <v>238.3</v>
      </c>
      <c r="E1435" s="30" cm="1">
        <f t="array" ref="E1435">IF(D1435="","",D1435-C1435)</f>
        <v>-0.20999999999997954</v>
      </c>
      <c r="F1435" s="31" cm="1">
        <f t="array" ref="F1435">IF(D1435=0,"",(D1435-C1435)/C1435)</f>
        <v>-8.8046622783103246E-4</v>
      </c>
      <c r="G1435" s="32">
        <v>12.57</v>
      </c>
      <c r="H1435" s="10">
        <v>1</v>
      </c>
      <c r="I1435" s="11" cm="1">
        <f t="array" ref="I1435">IF(D1435="","",(G1435*C1435)*0.00075)</f>
        <v>2.2485530249999996</v>
      </c>
      <c r="J1435" s="11" cm="1">
        <f t="array" ref="J1435">IF(D1435="","",(G1435*D1435)*0.00075)</f>
        <v>2.24657325</v>
      </c>
      <c r="K1435" s="33" cm="1">
        <f t="array" ref="K1435">IF(D1435="","",J1435+I1435)</f>
        <v>4.4951262749999996</v>
      </c>
      <c r="L1435" s="33" cm="1">
        <f t="array" ref="L1435">IF(D1435=0,0,(D1435-C1435)*G1435)</f>
        <v>-2.6396999999997428</v>
      </c>
      <c r="M1435" s="12">
        <v>2998.46382675</v>
      </c>
      <c r="N1435" s="34" cm="1">
        <f t="array" ref="N1435">IFERROR((K1435-J1435)/J1435,"–")</f>
        <v>1.0008812421317665</v>
      </c>
      <c r="O1435" s="33" cm="1">
        <f t="array" ref="O1435">IF(D1435=0,0,L1435-K1435)</f>
        <v>-7.1348262749997424</v>
      </c>
      <c r="P1435" s="11"/>
      <c r="Q1435" s="35"/>
    </row>
    <row r="1436" spans="1:17" ht="22.5" customHeight="1">
      <c r="A1436" s="16" t="s">
        <v>104</v>
      </c>
      <c r="B1436" s="17">
        <v>44565</v>
      </c>
      <c r="C1436" s="37">
        <v>0.78569999999999995</v>
      </c>
      <c r="D1436" s="37">
        <v>0.79110000000000003</v>
      </c>
      <c r="E1436" s="19" cm="1">
        <f t="array" ref="E1436">IF(D1436="","",D1436-C1436)</f>
        <v>5.4000000000000714E-3</v>
      </c>
      <c r="F1436" s="20" cm="1">
        <f t="array" ref="F1436">IF(D1436=0,"",(D1436-C1436)/C1436)</f>
        <v>6.8728522336770669E-3</v>
      </c>
      <c r="G1436" s="21">
        <v>6363</v>
      </c>
      <c r="H1436" s="22">
        <v>1</v>
      </c>
      <c r="I1436" s="23" cm="1">
        <f t="array" ref="I1436">IF(D1436="","",(G1436*C1436)*0.00075)</f>
        <v>3.749556825</v>
      </c>
      <c r="J1436" s="23" cm="1">
        <f t="array" ref="J1436">IF(D1436="","",(G1436*D1436)*0.00075)</f>
        <v>3.775326975</v>
      </c>
      <c r="K1436" s="24" cm="1">
        <f t="array" ref="K1436">IF(D1436="","",J1436+I1436)</f>
        <v>7.5248837999999996</v>
      </c>
      <c r="L1436" s="24" cm="1">
        <f t="array" ref="L1436">IF(D1436=0,0,(D1436-C1436)*G1436)</f>
        <v>34.360200000000454</v>
      </c>
      <c r="M1436" s="25">
        <v>4961.2735730249997</v>
      </c>
      <c r="N1436" s="26" cm="1">
        <f t="array" ref="N1436">IFERROR((K1436-J1436)/J1436,"–")</f>
        <v>0.993174061433447</v>
      </c>
      <c r="O1436" s="24" cm="1">
        <f t="array" ref="O1436">IF(D1436=0,0,L1436-K1436)</f>
        <v>26.835316200000456</v>
      </c>
      <c r="P1436" s="23"/>
      <c r="Q1436" s="27"/>
    </row>
    <row r="1437" spans="1:17" ht="22.5" customHeight="1">
      <c r="A1437" s="16" t="s">
        <v>50</v>
      </c>
      <c r="B1437" s="28">
        <v>44566</v>
      </c>
      <c r="C1437" s="36">
        <v>14.18</v>
      </c>
      <c r="D1437" s="36">
        <v>14.32</v>
      </c>
      <c r="E1437" s="30" cm="1">
        <f t="array" ref="E1437">IF(D1437="","",D1437-C1437)</f>
        <v>0.14000000000000057</v>
      </c>
      <c r="F1437" s="31" cm="1">
        <f t="array" ref="F1437">IF(D1437=0,"",(D1437-C1437)/C1437)</f>
        <v>9.8730606488011685E-3</v>
      </c>
      <c r="G1437" s="32">
        <v>1057.82</v>
      </c>
      <c r="H1437" s="10">
        <v>1</v>
      </c>
      <c r="I1437" s="11" cm="1">
        <f t="array" ref="I1437">IF(D1437="","",(G1437*C1437)*0.00075)</f>
        <v>11.249915699999999</v>
      </c>
      <c r="J1437" s="11" cm="1">
        <f t="array" ref="J1437">IF(D1437="","",(G1437*D1437)*0.00075)</f>
        <v>11.360986799999999</v>
      </c>
      <c r="K1437" s="33" cm="1">
        <f t="array" ref="K1437">IF(D1437="","",J1437+I1437)</f>
        <v>22.610902499999998</v>
      </c>
      <c r="L1437" s="33" cm="1">
        <f t="array" ref="L1437">IF(D1437=0,0,(D1437-C1437)*G1437)</f>
        <v>148.09480000000059</v>
      </c>
      <c r="M1437" s="12">
        <v>14840.431813200001</v>
      </c>
      <c r="N1437" s="34" cm="1">
        <f t="array" ref="N1437">IFERROR((K1437-J1437)/J1437,"–")</f>
        <v>0.99022346368715086</v>
      </c>
      <c r="O1437" s="33" cm="1">
        <f t="array" ref="O1437">IF(D1437=0,0,L1437-K1437)</f>
        <v>125.48389750000059</v>
      </c>
      <c r="P1437" s="11"/>
      <c r="Q1437" s="35"/>
    </row>
    <row r="1438" spans="1:17" ht="22.5" customHeight="1">
      <c r="A1438" s="16" t="s">
        <v>239</v>
      </c>
      <c r="B1438" s="17">
        <v>44566</v>
      </c>
      <c r="C1438" s="37">
        <v>39.29</v>
      </c>
      <c r="D1438" s="37">
        <v>39.5</v>
      </c>
      <c r="E1438" s="19" cm="1">
        <f t="array" ref="E1438">IF(D1438="","",D1438-C1438)</f>
        <v>0.21000000000000085</v>
      </c>
      <c r="F1438" s="20" cm="1">
        <f t="array" ref="F1438">IF(D1438=0,"",(D1438-C1438)/C1438)</f>
        <v>5.3448714685670872E-3</v>
      </c>
      <c r="G1438" s="21">
        <v>763.44</v>
      </c>
      <c r="H1438" s="22">
        <v>1</v>
      </c>
      <c r="I1438" s="23" cm="1">
        <f t="array" ref="I1438">IF(D1438="","",(G1438*C1438)*0.00075)</f>
        <v>22.496668200000002</v>
      </c>
      <c r="J1438" s="23" cm="1">
        <f t="array" ref="J1438">IF(D1438="","",(G1438*D1438)*0.00075)</f>
        <v>22.616910000000001</v>
      </c>
      <c r="K1438" s="24" cm="1">
        <f t="array" ref="K1438">IF(D1438="","",J1438+I1438)</f>
        <v>45.113578200000006</v>
      </c>
      <c r="L1438" s="24" cm="1">
        <f t="array" ref="L1438">IF(D1438=0,0,(D1438-C1438)*G1438)</f>
        <v>160.32240000000067</v>
      </c>
      <c r="M1438" s="25">
        <v>29812.618289999999</v>
      </c>
      <c r="N1438" s="26" cm="1">
        <f t="array" ref="N1438">IFERROR((K1438-J1438)/J1438,"–")</f>
        <v>0.99468354430379768</v>
      </c>
      <c r="O1438" s="24" cm="1">
        <f t="array" ref="O1438">IF(D1438=0,0,L1438-K1438)</f>
        <v>115.20882180000066</v>
      </c>
      <c r="P1438" s="23"/>
      <c r="Q1438" s="27"/>
    </row>
    <row r="1439" spans="1:17" ht="22.5" customHeight="1">
      <c r="A1439" s="16" t="s">
        <v>67</v>
      </c>
      <c r="B1439" s="28">
        <v>44566</v>
      </c>
      <c r="C1439" s="36">
        <v>0.7</v>
      </c>
      <c r="D1439" s="36">
        <v>0.69689999999999996</v>
      </c>
      <c r="E1439" s="30" cm="1">
        <f t="array" ref="E1439">IF(D1439="","",D1439-C1439)</f>
        <v>-3.0999999999999917E-3</v>
      </c>
      <c r="F1439" s="31" cm="1">
        <f t="array" ref="F1439">IF(D1439=0,"",(D1439-C1439)/C1439)</f>
        <v>-4.4285714285714171E-3</v>
      </c>
      <c r="G1439" s="32">
        <v>39487</v>
      </c>
      <c r="H1439" s="10">
        <v>1</v>
      </c>
      <c r="I1439" s="11" cm="1">
        <f t="array" ref="I1439">IF(D1439="","",(G1439*C1439)*0.00075)</f>
        <v>20.730674999999998</v>
      </c>
      <c r="J1439" s="11" cm="1">
        <f t="array" ref="J1439">IF(D1439="","",(G1439*D1439)*0.00075)</f>
        <v>20.638867724999997</v>
      </c>
      <c r="K1439" s="33" cm="1">
        <f t="array" ref="K1439">IF(D1439="","",J1439+I1439)</f>
        <v>41.369542724999995</v>
      </c>
      <c r="L1439" s="33" cm="1">
        <f t="array" ref="L1439">IF(D1439=0,0,(D1439-C1439)*G1439)</f>
        <v>-122.40969999999967</v>
      </c>
      <c r="M1439" s="12">
        <v>27742.670832274998</v>
      </c>
      <c r="N1439" s="34" cm="1">
        <f t="array" ref="N1439">IFERROR((K1439-J1439)/J1439,"–")</f>
        <v>1.0044482709140479</v>
      </c>
      <c r="O1439" s="33" cm="1">
        <f t="array" ref="O1439">IF(D1439=0,0,L1439-K1439)</f>
        <v>-163.77924272499968</v>
      </c>
      <c r="P1439" s="11"/>
      <c r="Q1439" s="35"/>
    </row>
    <row r="1440" spans="1:17" ht="22.5" customHeight="1">
      <c r="A1440" s="16" t="s">
        <v>261</v>
      </c>
      <c r="B1440" s="17">
        <v>44566</v>
      </c>
      <c r="C1440" s="37">
        <v>9.9600000000000009</v>
      </c>
      <c r="D1440" s="37">
        <v>10.26</v>
      </c>
      <c r="E1440" s="19" cm="1">
        <f t="array" ref="E1440">IF(D1440="","",D1440-C1440)</f>
        <v>0.29999999999999893</v>
      </c>
      <c r="F1440" s="20" cm="1">
        <f t="array" ref="F1440">IF(D1440=0,"",(D1440-C1440)/C1440)</f>
        <v>3.0120481927710732E-2</v>
      </c>
      <c r="G1440" s="21">
        <v>300</v>
      </c>
      <c r="H1440" s="22">
        <v>1</v>
      </c>
      <c r="I1440" s="23" cm="1">
        <f t="array" ref="I1440">IF(D1440="","",(G1440*C1440)*0.00075)</f>
        <v>2.2410000000000005</v>
      </c>
      <c r="J1440" s="23" cm="1">
        <f t="array" ref="J1440">IF(D1440="","",(G1440*D1440)*0.00075)</f>
        <v>2.3085</v>
      </c>
      <c r="K1440" s="24" cm="1">
        <f t="array" ref="K1440">IF(D1440="","",J1440+I1440)</f>
        <v>4.5495000000000001</v>
      </c>
      <c r="L1440" s="24" cm="1">
        <f t="array" ref="L1440">IF(D1440=0,0,(D1440-C1440)*G1440)</f>
        <v>89.999999999999687</v>
      </c>
      <c r="M1440" s="25">
        <v>2895.6914999999999</v>
      </c>
      <c r="N1440" s="26" cm="1">
        <f t="array" ref="N1440">IFERROR((K1440-J1440)/J1440,"–")</f>
        <v>0.97076023391812871</v>
      </c>
      <c r="O1440" s="24" cm="1">
        <f t="array" ref="O1440">IF(D1440=0,0,L1440-K1440)</f>
        <v>85.450499999999693</v>
      </c>
      <c r="P1440" s="23"/>
      <c r="Q1440" s="27"/>
    </row>
    <row r="1441" spans="1:17" ht="22.5" customHeight="1">
      <c r="A1441" s="16" t="s">
        <v>49</v>
      </c>
      <c r="B1441" s="28">
        <v>44567</v>
      </c>
      <c r="C1441" s="36">
        <v>14.58</v>
      </c>
      <c r="D1441" s="36">
        <v>14.37</v>
      </c>
      <c r="E1441" s="30" cm="1">
        <f t="array" ref="E1441">IF(D1441="","",D1441-C1441)</f>
        <v>-0.21000000000000085</v>
      </c>
      <c r="F1441" s="31" cm="1">
        <f t="array" ref="F1441">IF(D1441=0,"",(D1441-C1441)/C1441)</f>
        <v>-1.4403292181070016E-2</v>
      </c>
      <c r="G1441" s="32">
        <v>100</v>
      </c>
      <c r="H1441" s="10">
        <v>1</v>
      </c>
      <c r="I1441" s="11" cm="1">
        <f t="array" ref="I1441">IF(D1441="","",(G1441*C1441)*0.00075)</f>
        <v>1.0934999999999999</v>
      </c>
      <c r="J1441" s="11" cm="1">
        <f t="array" ref="J1441">IF(D1441="","",(G1441*D1441)*0.00075)</f>
        <v>1.07775</v>
      </c>
      <c r="K1441" s="33" cm="1">
        <f t="array" ref="K1441">IF(D1441="","",J1441+I1441)</f>
        <v>2.1712499999999997</v>
      </c>
      <c r="L1441" s="33" cm="1">
        <f t="array" ref="L1441">IF(D1441=0,0,(D1441-C1441)*G1441)</f>
        <v>-21.000000000000085</v>
      </c>
      <c r="M1441" s="12">
        <v>1477.9222500000001</v>
      </c>
      <c r="N1441" s="34" cm="1">
        <f t="array" ref="N1441">IFERROR((K1441-J1441)/J1441,"–")</f>
        <v>1.0146137787056364</v>
      </c>
      <c r="O1441" s="33" cm="1">
        <f t="array" ref="O1441">IF(D1441=0,0,L1441-K1441)</f>
        <v>-23.171250000000086</v>
      </c>
      <c r="P1441" s="11"/>
      <c r="Q1441" s="35"/>
    </row>
    <row r="1442" spans="1:17" ht="22.5" customHeight="1">
      <c r="A1442" s="16" t="s">
        <v>276</v>
      </c>
      <c r="B1442" s="17">
        <v>44567</v>
      </c>
      <c r="C1442" s="37">
        <v>3.1</v>
      </c>
      <c r="D1442" s="37">
        <v>3.1</v>
      </c>
      <c r="E1442" s="19" cm="1">
        <f t="array" ref="E1442">IF(D1442="","",D1442-C1442)</f>
        <v>0</v>
      </c>
      <c r="F1442" s="20" cm="1">
        <f t="array" ref="F1442">IF(D1442=0,"",(D1442-C1442)/C1442)</f>
        <v>0</v>
      </c>
      <c r="G1442" s="21">
        <v>967.45</v>
      </c>
      <c r="H1442" s="22">
        <v>1</v>
      </c>
      <c r="I1442" s="23" cm="1">
        <f t="array" ref="I1442">IF(D1442="","",(G1442*C1442)*0.00075)</f>
        <v>2.2493212500000004</v>
      </c>
      <c r="J1442" s="23" cm="1">
        <f t="array" ref="J1442">IF(D1442="","",(G1442*D1442)*0.00075)</f>
        <v>2.2493212500000004</v>
      </c>
      <c r="K1442" s="24" cm="1">
        <f t="array" ref="K1442">IF(D1442="","",J1442+I1442)</f>
        <v>4.4986425000000008</v>
      </c>
      <c r="L1442" s="24" cm="1">
        <f t="array" ref="L1442">IF(D1442=0,0,(D1442-C1442)*G1442)</f>
        <v>0</v>
      </c>
      <c r="M1442" s="25">
        <v>2996.8456787499999</v>
      </c>
      <c r="N1442" s="26" cm="1">
        <f t="array" ref="N1442">IFERROR((K1442-J1442)/J1442,"–")</f>
        <v>1</v>
      </c>
      <c r="O1442" s="24" cm="1">
        <f t="array" ref="O1442">IF(D1442=0,0,L1442-K1442)</f>
        <v>-4.4986425000000008</v>
      </c>
      <c r="P1442" s="23"/>
      <c r="Q1442" s="27"/>
    </row>
    <row r="1443" spans="1:17" ht="22.5" customHeight="1">
      <c r="A1443" s="16" t="s">
        <v>277</v>
      </c>
      <c r="B1443" s="28">
        <v>44567</v>
      </c>
      <c r="C1443" s="36">
        <v>8</v>
      </c>
      <c r="D1443" s="36">
        <v>1</v>
      </c>
      <c r="E1443" s="30" cm="1">
        <f t="array" ref="E1443">IF(D1443="","",D1443-C1443)</f>
        <v>-7</v>
      </c>
      <c r="F1443" s="31" cm="1">
        <f t="array" ref="F1443">IF(D1443=0,"",(D1443-C1443)/C1443)</f>
        <v>-0.875</v>
      </c>
      <c r="G1443" s="32">
        <v>1</v>
      </c>
      <c r="H1443" s="10">
        <v>1</v>
      </c>
      <c r="I1443" s="11" cm="1">
        <f t="array" ref="I1443">IF(D1443="","",(G1443*C1443)*0.00075)</f>
        <v>6.0000000000000001E-3</v>
      </c>
      <c r="J1443" s="11" cm="1">
        <f t="array" ref="J1443">IF(D1443="","",(G1443*D1443)*0.00075)</f>
        <v>7.5000000000000002E-4</v>
      </c>
      <c r="K1443" s="33" cm="1">
        <f t="array" ref="K1443">IF(D1443="","",J1443+I1443)</f>
        <v>6.7499999999999999E-3</v>
      </c>
      <c r="L1443" s="33" cm="1">
        <f t="array" ref="L1443">IF(D1443=0,0,(D1443-C1443)*G1443)</f>
        <v>-7</v>
      </c>
      <c r="M1443" s="12">
        <v>14.99925</v>
      </c>
      <c r="N1443" s="34" cm="1">
        <f t="array" ref="N1443">IFERROR((K1443-J1443)/J1443,"–")</f>
        <v>8</v>
      </c>
      <c r="O1443" s="33" cm="1">
        <f t="array" ref="O1443">IF(D1443=0,0,L1443-K1443)</f>
        <v>-7.0067500000000003</v>
      </c>
      <c r="P1443" s="11"/>
      <c r="Q1443" s="35"/>
    </row>
    <row r="1444" spans="1:17" ht="22.5" customHeight="1">
      <c r="A1444" s="16" t="s">
        <v>180</v>
      </c>
      <c r="B1444" s="17">
        <v>44568</v>
      </c>
      <c r="C1444" s="37">
        <v>2.8248000000000002</v>
      </c>
      <c r="D1444" s="37">
        <v>2.8250000000000002</v>
      </c>
      <c r="E1444" s="19" cm="1">
        <f t="array" ref="E1444">IF(D1444="","",D1444-C1444)</f>
        <v>1.9999999999997797E-4</v>
      </c>
      <c r="F1444" s="20" cm="1">
        <f t="array" ref="F1444">IF(D1444=0,"",(D1444-C1444)/C1444)</f>
        <v>7.0801472670623753E-5</v>
      </c>
      <c r="G1444" s="21">
        <v>3539</v>
      </c>
      <c r="H1444" s="22">
        <v>1</v>
      </c>
      <c r="I1444" s="23" cm="1">
        <f t="array" ref="I1444">IF(D1444="","",(G1444*C1444)*0.00075)</f>
        <v>7.4977254000000011</v>
      </c>
      <c r="J1444" s="23" cm="1">
        <f t="array" ref="J1444">IF(D1444="","",(G1444*D1444)*0.00075)</f>
        <v>7.4982562500000007</v>
      </c>
      <c r="K1444" s="24" cm="1">
        <f t="array" ref="K1444">IF(D1444="","",J1444+I1444)</f>
        <v>14.995981650000001</v>
      </c>
      <c r="L1444" s="24" cm="1">
        <f t="array" ref="L1444">IF(D1444=0,0,(D1444-C1444)*G1444)</f>
        <v>0.70779999999992205</v>
      </c>
      <c r="M1444" s="25">
        <v>9988.76114375</v>
      </c>
      <c r="N1444" s="26" cm="1">
        <f t="array" ref="N1444">IFERROR((K1444-J1444)/J1444,"–")</f>
        <v>0.99992920353982295</v>
      </c>
      <c r="O1444" s="24" cm="1">
        <f t="array" ref="O1444">IF(D1444=0,0,L1444-K1444)</f>
        <v>-14.288181650000078</v>
      </c>
      <c r="P1444" s="23"/>
      <c r="Q1444" s="27"/>
    </row>
    <row r="1445" spans="1:17" ht="22.5" customHeight="1">
      <c r="A1445" s="16" t="s">
        <v>124</v>
      </c>
      <c r="B1445" s="28">
        <v>44568</v>
      </c>
      <c r="C1445" s="36">
        <v>0.84370000000000001</v>
      </c>
      <c r="D1445" s="36">
        <v>0.83</v>
      </c>
      <c r="E1445" s="30" cm="1">
        <f t="array" ref="E1445">IF(D1445="","",D1445-C1445)</f>
        <v>-1.3700000000000045E-2</v>
      </c>
      <c r="F1445" s="31" cm="1">
        <f t="array" ref="F1445">IF(D1445=0,"",(D1445-C1445)/C1445)</f>
        <v>-1.62379992888468E-2</v>
      </c>
      <c r="G1445" s="32">
        <v>5925.6</v>
      </c>
      <c r="H1445" s="10">
        <v>1</v>
      </c>
      <c r="I1445" s="11" cm="1">
        <f t="array" ref="I1445">IF(D1445="","",(G1445*C1445)*0.00075)</f>
        <v>3.7495715399999998</v>
      </c>
      <c r="J1445" s="11" cm="1">
        <f t="array" ref="J1445">IF(D1445="","",(G1445*D1445)*0.00075)</f>
        <v>3.6886860000000006</v>
      </c>
      <c r="K1445" s="33" cm="1">
        <f t="array" ref="K1445">IF(D1445="","",J1445+I1445)</f>
        <v>7.4382575400000004</v>
      </c>
      <c r="L1445" s="33" cm="1">
        <f t="array" ref="L1445">IF(D1445=0,0,(D1445-C1445)*G1445)</f>
        <v>-81.180720000000278</v>
      </c>
      <c r="M1445" s="12">
        <v>5076.9207539999998</v>
      </c>
      <c r="N1445" s="34" cm="1">
        <f t="array" ref="N1445">IFERROR((K1445-J1445)/J1445,"–")</f>
        <v>1.0165060240963852</v>
      </c>
      <c r="O1445" s="33" cm="1">
        <f t="array" ref="O1445">IF(D1445=0,0,L1445-K1445)</f>
        <v>-88.618977540000273</v>
      </c>
      <c r="P1445" s="11"/>
      <c r="Q1445" s="35"/>
    </row>
    <row r="1446" spans="1:17" ht="22.5" customHeight="1">
      <c r="A1446" s="16" t="s">
        <v>124</v>
      </c>
      <c r="B1446" s="17">
        <v>44568</v>
      </c>
      <c r="C1446" s="37">
        <v>0.84370000000000001</v>
      </c>
      <c r="D1446" s="37">
        <v>0.82540000000000002</v>
      </c>
      <c r="E1446" s="19" cm="1">
        <f t="array" ref="E1446">IF(D1446="","",D1446-C1446)</f>
        <v>-1.8299999999999983E-2</v>
      </c>
      <c r="F1446" s="20" cm="1">
        <f t="array" ref="F1446">IF(D1446=0,"",(D1446-C1446)/C1446)</f>
        <v>-2.1690174232547092E-2</v>
      </c>
      <c r="G1446" s="21">
        <v>5925.6</v>
      </c>
      <c r="H1446" s="22">
        <v>1</v>
      </c>
      <c r="I1446" s="23" cm="1">
        <f t="array" ref="I1446">IF(D1446="","",(G1446*C1446)*0.00075)</f>
        <v>3.7495715399999998</v>
      </c>
      <c r="J1446" s="23" cm="1">
        <f t="array" ref="J1446">IF(D1446="","",(G1446*D1446)*0.00075)</f>
        <v>3.6682426800000001</v>
      </c>
      <c r="K1446" s="24" cm="1">
        <f t="array" ref="K1446">IF(D1446="","",J1446+I1446)</f>
        <v>7.4178142200000003</v>
      </c>
      <c r="L1446" s="24" cm="1">
        <f t="array" ref="L1446">IF(D1446=0,0,(D1446-C1446)*G1446)</f>
        <v>-108.4384799999999</v>
      </c>
      <c r="M1446" s="25">
        <v>5104.1989573199999</v>
      </c>
      <c r="N1446" s="26" cm="1">
        <f t="array" ref="N1446">IFERROR((K1446-J1446)/J1446,"–")</f>
        <v>1.0221710685728131</v>
      </c>
      <c r="O1446" s="24" cm="1">
        <f t="array" ref="O1446">IF(D1446=0,0,L1446-K1446)</f>
        <v>-115.8562942199999</v>
      </c>
      <c r="P1446" s="23"/>
      <c r="Q1446" s="27"/>
    </row>
    <row r="1447" spans="1:17" ht="22.5" customHeight="1">
      <c r="A1447" s="16" t="s">
        <v>278</v>
      </c>
      <c r="B1447" s="28">
        <v>44568</v>
      </c>
      <c r="C1447" s="36">
        <v>1</v>
      </c>
      <c r="D1447" s="36">
        <v>377</v>
      </c>
      <c r="E1447" s="30" cm="1">
        <f t="array" ref="E1447">IF(D1447="","",D1447-C1447)</f>
        <v>376</v>
      </c>
      <c r="F1447" s="31" cm="1">
        <f t="array" ref="F1447">IF(D1447=0,"",(D1447-C1447)/C1447)</f>
        <v>376</v>
      </c>
      <c r="G1447" s="32">
        <v>1</v>
      </c>
      <c r="H1447" s="10">
        <v>1</v>
      </c>
      <c r="I1447" s="11" cm="1">
        <f t="array" ref="I1447">IF(D1447="","",(G1447*C1447)*0.00075)</f>
        <v>7.5000000000000002E-4</v>
      </c>
      <c r="J1447" s="11" cm="1">
        <f t="array" ref="J1447">IF(D1447="","",(G1447*D1447)*0.00075)</f>
        <v>0.28275</v>
      </c>
      <c r="K1447" s="33" cm="1">
        <f t="array" ref="K1447">IF(D1447="","",J1447+I1447)</f>
        <v>0.28349999999999997</v>
      </c>
      <c r="L1447" s="33" cm="1">
        <f t="array" ref="L1447">IF(D1447=0,0,(D1447-C1447)*G1447)</f>
        <v>376</v>
      </c>
      <c r="M1447" s="12">
        <v>-375.28275000000002</v>
      </c>
      <c r="N1447" s="34" cm="1">
        <f t="array" ref="N1447">IFERROR((K1447-J1447)/J1447,"–")</f>
        <v>2.6525198938991083E-3</v>
      </c>
      <c r="O1447" s="33" cm="1">
        <f t="array" ref="O1447">IF(D1447=0,0,L1447-K1447)</f>
        <v>375.7165</v>
      </c>
      <c r="P1447" s="11"/>
      <c r="Q1447" s="35"/>
    </row>
    <row r="1448" spans="1:17" ht="22.5" customHeight="1">
      <c r="A1448" s="16" t="s">
        <v>273</v>
      </c>
      <c r="B1448" s="17">
        <v>44568</v>
      </c>
      <c r="C1448" s="37">
        <v>2.3199999999999998</v>
      </c>
      <c r="D1448" s="37">
        <v>2.0699999999999998</v>
      </c>
      <c r="E1448" s="19" cm="1">
        <f t="array" ref="E1448">IF(D1448="","",D1448-C1448)</f>
        <v>-0.25</v>
      </c>
      <c r="F1448" s="20" cm="1">
        <f t="array" ref="F1448">IF(D1448=0,"",(D1448-C1448)/C1448)</f>
        <v>-0.10775862068965518</v>
      </c>
      <c r="G1448" s="21">
        <v>2000</v>
      </c>
      <c r="H1448" s="22">
        <v>1</v>
      </c>
      <c r="I1448" s="23" cm="1">
        <f t="array" ref="I1448">IF(D1448="","",(G1448*C1448)*0.00075)</f>
        <v>3.48</v>
      </c>
      <c r="J1448" s="23" cm="1">
        <f t="array" ref="J1448">IF(D1448="","",(G1448*D1448)*0.00075)</f>
        <v>3.105</v>
      </c>
      <c r="K1448" s="24" cm="1">
        <f t="array" ref="K1448">IF(D1448="","",J1448+I1448)</f>
        <v>6.585</v>
      </c>
      <c r="L1448" s="24" cm="1">
        <f t="array" ref="L1448">IF(D1448=0,0,(D1448-C1448)*G1448)</f>
        <v>-500</v>
      </c>
      <c r="M1448" s="25">
        <v>5136.8950000000004</v>
      </c>
      <c r="N1448" s="26" cm="1">
        <f t="array" ref="N1448">IFERROR((K1448-J1448)/J1448,"–")</f>
        <v>1.1207729468599035</v>
      </c>
      <c r="O1448" s="24" cm="1">
        <f t="array" ref="O1448">IF(D1448=0,0,L1448-K1448)</f>
        <v>-506.58499999999998</v>
      </c>
      <c r="P1448" s="23"/>
      <c r="Q1448" s="27"/>
    </row>
    <row r="1449" spans="1:17" ht="22.5" customHeight="1">
      <c r="A1449" s="16" t="s">
        <v>279</v>
      </c>
      <c r="B1449" s="28">
        <v>44568</v>
      </c>
      <c r="C1449" s="36">
        <v>2.9</v>
      </c>
      <c r="D1449" s="36">
        <v>1.85</v>
      </c>
      <c r="E1449" s="30" cm="1">
        <f t="array" ref="E1449">IF(D1449="","",D1449-C1449)</f>
        <v>-1.0499999999999998</v>
      </c>
      <c r="F1449" s="31" cm="1">
        <f t="array" ref="F1449">IF(D1449=0,"",(D1449-C1449)/C1449)</f>
        <v>-0.36206896551724133</v>
      </c>
      <c r="G1449" s="32">
        <v>200</v>
      </c>
      <c r="H1449" s="10">
        <v>1</v>
      </c>
      <c r="I1449" s="11" cm="1">
        <f t="array" ref="I1449">IF(D1449="","",(G1449*C1449)*0.00075)</f>
        <v>0.435</v>
      </c>
      <c r="J1449" s="11" cm="1">
        <f t="array" ref="J1449">IF(D1449="","",(G1449*D1449)*0.00075)</f>
        <v>0.27750000000000002</v>
      </c>
      <c r="K1449" s="33" cm="1">
        <f t="array" ref="K1449">IF(D1449="","",J1449+I1449)</f>
        <v>0.71250000000000002</v>
      </c>
      <c r="L1449" s="33" cm="1">
        <f t="array" ref="L1449">IF(D1449=0,0,(D1449-C1449)*G1449)</f>
        <v>-209.99999999999997</v>
      </c>
      <c r="M1449" s="12">
        <v>789.72249999999997</v>
      </c>
      <c r="N1449" s="34" cm="1">
        <f t="array" ref="N1449">IFERROR((K1449-J1449)/J1449,"–")</f>
        <v>1.5675675675675673</v>
      </c>
      <c r="O1449" s="33" cm="1">
        <f t="array" ref="O1449">IF(D1449=0,0,L1449-K1449)</f>
        <v>-210.71249999999998</v>
      </c>
      <c r="P1449" s="11"/>
      <c r="Q1449" s="35"/>
    </row>
    <row r="1450" spans="1:17" ht="22.5" customHeight="1">
      <c r="A1450" s="16" t="s">
        <v>49</v>
      </c>
      <c r="B1450" s="17">
        <v>44569</v>
      </c>
      <c r="C1450" s="37">
        <v>14.625</v>
      </c>
      <c r="D1450" s="37">
        <v>14.9</v>
      </c>
      <c r="E1450" s="19" cm="1">
        <f t="array" ref="E1450">IF(D1450="","",D1450-C1450)</f>
        <v>0.27500000000000036</v>
      </c>
      <c r="F1450" s="20" cm="1">
        <f t="array" ref="F1450">IF(D1450=0,"",(D1450-C1450)/C1450)</f>
        <v>1.8803418803418827E-2</v>
      </c>
      <c r="G1450" s="21">
        <v>200</v>
      </c>
      <c r="H1450" s="22">
        <v>1</v>
      </c>
      <c r="I1450" s="23" cm="1">
        <f t="array" ref="I1450">IF(D1450="","",(G1450*C1450)*0.00075)</f>
        <v>2.1937500000000001</v>
      </c>
      <c r="J1450" s="23" cm="1">
        <f t="array" ref="J1450">IF(D1450="","",(G1450*D1450)*0.00075)</f>
        <v>2.2349999999999999</v>
      </c>
      <c r="K1450" s="24" cm="1">
        <f t="array" ref="K1450">IF(D1450="","",J1450+I1450)</f>
        <v>4.42875</v>
      </c>
      <c r="L1450" s="24" cm="1">
        <f t="array" ref="L1450">IF(D1450=0,0,(D1450-C1450)*G1450)</f>
        <v>55.000000000000071</v>
      </c>
      <c r="M1450" s="25">
        <v>2867.7649999999999</v>
      </c>
      <c r="N1450" s="26" cm="1">
        <f t="array" ref="N1450">IFERROR((K1450-J1450)/J1450,"–")</f>
        <v>0.98154362416107388</v>
      </c>
      <c r="O1450" s="24" cm="1">
        <f t="array" ref="O1450">IF(D1450=0,0,L1450-K1450)</f>
        <v>50.57125000000007</v>
      </c>
      <c r="P1450" s="23"/>
      <c r="Q1450" s="27"/>
    </row>
    <row r="1451" spans="1:17" ht="22.5" customHeight="1">
      <c r="A1451" s="16" t="s">
        <v>278</v>
      </c>
      <c r="B1451" s="28">
        <v>44569</v>
      </c>
      <c r="C1451" s="36">
        <v>1</v>
      </c>
      <c r="D1451" s="36">
        <v>151</v>
      </c>
      <c r="E1451" s="30" cm="1">
        <f t="array" ref="E1451">IF(D1451="","",D1451-C1451)</f>
        <v>150</v>
      </c>
      <c r="F1451" s="31" cm="1">
        <f t="array" ref="F1451">IF(D1451=0,"",(D1451-C1451)/C1451)</f>
        <v>150</v>
      </c>
      <c r="G1451" s="32">
        <v>1</v>
      </c>
      <c r="H1451" s="10">
        <v>1</v>
      </c>
      <c r="I1451" s="11" cm="1">
        <f t="array" ref="I1451">IF(D1451="","",(G1451*C1451)*0.00075)</f>
        <v>7.5000000000000002E-4</v>
      </c>
      <c r="J1451" s="11" cm="1">
        <f t="array" ref="J1451">IF(D1451="","",(G1451*D1451)*0.00075)</f>
        <v>0.11325</v>
      </c>
      <c r="K1451" s="33" cm="1">
        <f t="array" ref="K1451">IF(D1451="","",J1451+I1451)</f>
        <v>0.114</v>
      </c>
      <c r="L1451" s="33" cm="1">
        <f t="array" ref="L1451">IF(D1451=0,0,(D1451-C1451)*G1451)</f>
        <v>150</v>
      </c>
      <c r="M1451" s="12">
        <v>-149.11324999999999</v>
      </c>
      <c r="N1451" s="34" cm="1">
        <f t="array" ref="N1451">IFERROR((K1451-J1451)/J1451,"–")</f>
        <v>6.6225165562913968E-3</v>
      </c>
      <c r="O1451" s="33" cm="1">
        <f t="array" ref="O1451">IF(D1451=0,0,L1451-K1451)</f>
        <v>149.886</v>
      </c>
      <c r="P1451" s="11"/>
      <c r="Q1451" s="35"/>
    </row>
    <row r="1452" spans="1:17" ht="22.5" customHeight="1">
      <c r="A1452" s="16" t="s">
        <v>257</v>
      </c>
      <c r="B1452" s="17">
        <v>44569</v>
      </c>
      <c r="C1452" s="37">
        <v>0.79200000000000004</v>
      </c>
      <c r="D1452" s="37">
        <v>0.79</v>
      </c>
      <c r="E1452" s="19" cm="1">
        <f t="array" ref="E1452">IF(D1452="","",D1452-C1452)</f>
        <v>-2.0000000000000018E-3</v>
      </c>
      <c r="F1452" s="20" cm="1">
        <f t="array" ref="F1452">IF(D1452=0,"",(D1452-C1452)/C1452)</f>
        <v>-2.5252525252525272E-3</v>
      </c>
      <c r="G1452" s="21">
        <v>3970.8</v>
      </c>
      <c r="H1452" s="22">
        <v>1</v>
      </c>
      <c r="I1452" s="23" cm="1">
        <f t="array" ref="I1452">IF(D1452="","",(G1452*C1452)*0.00075)</f>
        <v>2.3586552000000003</v>
      </c>
      <c r="J1452" s="23" cm="1">
        <f t="array" ref="J1452">IF(D1452="","",(G1452*D1452)*0.00075)</f>
        <v>2.3526990000000003</v>
      </c>
      <c r="K1452" s="24" cm="1">
        <f t="array" ref="K1452">IF(D1452="","",J1452+I1452)</f>
        <v>4.7113542000000006</v>
      </c>
      <c r="L1452" s="24" cm="1">
        <f t="array" ref="L1452">IF(D1452=0,0,(D1452-C1452)*G1452)</f>
        <v>-7.9416000000000073</v>
      </c>
      <c r="M1452" s="25">
        <v>3150.462501</v>
      </c>
      <c r="N1452" s="26" cm="1">
        <f t="array" ref="N1452">IFERROR((K1452-J1452)/J1452,"–")</f>
        <v>1.0025316455696203</v>
      </c>
      <c r="O1452" s="24" cm="1">
        <f t="array" ref="O1452">IF(D1452=0,0,L1452-K1452)</f>
        <v>-12.652954200000007</v>
      </c>
      <c r="P1452" s="23"/>
      <c r="Q1452" s="27"/>
    </row>
    <row r="1453" spans="1:17" ht="22.5" customHeight="1">
      <c r="A1453" s="16" t="s">
        <v>173</v>
      </c>
      <c r="B1453" s="42">
        <v>44572</v>
      </c>
      <c r="C1453" s="36">
        <v>4.75</v>
      </c>
      <c r="D1453" s="36">
        <v>5.375</v>
      </c>
      <c r="E1453" s="30" cm="1">
        <f t="array" ref="E1453">IF(D1453="","",D1453-C1453)</f>
        <v>0.625</v>
      </c>
      <c r="F1453" s="31" cm="1">
        <f t="array" ref="F1453">IF(D1453=0,"",(D1453-C1453)/C1453)</f>
        <v>0.13157894736842105</v>
      </c>
      <c r="G1453" s="32">
        <v>1300</v>
      </c>
      <c r="H1453" s="10">
        <v>1</v>
      </c>
      <c r="I1453" s="11" cm="1">
        <f t="array" ref="I1453">IF(D1453="","",(G1453*C1453)*0.00075)</f>
        <v>4.6312500000000005</v>
      </c>
      <c r="J1453" s="11" cm="1">
        <f t="array" ref="J1453">IF(D1453="","",(G1453*D1453)*0.00075)</f>
        <v>5.2406250000000005</v>
      </c>
      <c r="K1453" s="33" cm="1">
        <f t="array" ref="K1453">IF(D1453="","",J1453+I1453)</f>
        <v>9.8718750000000011</v>
      </c>
      <c r="L1453" s="33" cm="1">
        <f t="array" ref="L1453">IF(D1453=0,0,(D1453-C1453)*G1453)</f>
        <v>812.5</v>
      </c>
      <c r="M1453" s="12">
        <v>5357.2593749999996</v>
      </c>
      <c r="N1453" s="34" cm="1">
        <f t="array" ref="N1453">IFERROR((K1453-J1453)/J1453,"–")</f>
        <v>0.88372093023255816</v>
      </c>
      <c r="O1453" s="33" cm="1">
        <f t="array" ref="O1453">IF(D1453=0,0,L1453-K1453)</f>
        <v>802.62812499999995</v>
      </c>
      <c r="P1453" s="11"/>
      <c r="Q1453" s="35"/>
    </row>
    <row r="1454" spans="1:17" ht="22.5" customHeight="1">
      <c r="A1454" s="16" t="s">
        <v>173</v>
      </c>
      <c r="B1454" s="43">
        <v>44572</v>
      </c>
      <c r="C1454" s="37">
        <v>4.7699999999999996</v>
      </c>
      <c r="D1454" s="37">
        <v>5.375</v>
      </c>
      <c r="E1454" s="19" cm="1">
        <f t="array" ref="E1454">IF(D1454="","",D1454-C1454)</f>
        <v>0.60500000000000043</v>
      </c>
      <c r="F1454" s="20" cm="1">
        <f t="array" ref="F1454">IF(D1454=0,"",(D1454-C1454)/C1454)</f>
        <v>0.12683438155136278</v>
      </c>
      <c r="G1454" s="21">
        <v>200</v>
      </c>
      <c r="H1454" s="22">
        <v>1</v>
      </c>
      <c r="I1454" s="23" cm="1">
        <f t="array" ref="I1454">IF(D1454="","",(G1454*C1454)*0.00075)</f>
        <v>0.71549999999999991</v>
      </c>
      <c r="J1454" s="23" cm="1">
        <f t="array" ref="J1454">IF(D1454="","",(G1454*D1454)*0.00075)</f>
        <v>0.80625000000000002</v>
      </c>
      <c r="K1454" s="24" cm="1">
        <f t="array" ref="K1454">IF(D1454="","",J1454+I1454)</f>
        <v>1.5217499999999999</v>
      </c>
      <c r="L1454" s="24" cm="1">
        <f t="array" ref="L1454">IF(D1454=0,0,(D1454-C1454)*G1454)</f>
        <v>121.00000000000009</v>
      </c>
      <c r="M1454" s="25">
        <v>832.19375000000002</v>
      </c>
      <c r="N1454" s="26" cm="1">
        <f t="array" ref="N1454">IFERROR((K1454-J1454)/J1454,"–")</f>
        <v>0.88744186046511619</v>
      </c>
      <c r="O1454" s="24" cm="1">
        <f t="array" ref="O1454">IF(D1454=0,0,L1454-K1454)</f>
        <v>119.47825000000009</v>
      </c>
      <c r="P1454" s="23"/>
      <c r="Q1454" s="27"/>
    </row>
    <row r="1455" spans="1:17" ht="22.5" customHeight="1">
      <c r="A1455" s="16" t="s">
        <v>30</v>
      </c>
      <c r="B1455" s="42">
        <v>44572</v>
      </c>
      <c r="C1455" s="36">
        <v>41798.75</v>
      </c>
      <c r="D1455" s="36">
        <v>41770</v>
      </c>
      <c r="E1455" s="30" cm="1">
        <f t="array" ref="E1455">IF(D1455="","",D1455-C1455)</f>
        <v>-28.75</v>
      </c>
      <c r="F1455" s="31" cm="1">
        <f t="array" ref="F1455">IF(D1455=0,"",(D1455-C1455)/C1455)</f>
        <v>-6.8781961183049729E-4</v>
      </c>
      <c r="G1455" s="32">
        <v>0.47848000000000002</v>
      </c>
      <c r="H1455" s="10">
        <v>1</v>
      </c>
      <c r="I1455" s="11" cm="1">
        <f t="array" ref="I1455">IF(D1455="","",(G1455*C1455)*0.00075)</f>
        <v>14.999899425000001</v>
      </c>
      <c r="J1455" s="11" cm="1">
        <f t="array" ref="J1455">IF(D1455="","",(G1455*D1455)*0.00075)</f>
        <v>14.989582200000001</v>
      </c>
      <c r="K1455" s="33" cm="1">
        <f t="array" ref="K1455">IF(D1455="","",J1455+I1455)</f>
        <v>29.989481625000003</v>
      </c>
      <c r="L1455" s="33" cm="1">
        <f t="array" ref="L1455">IF(D1455=0,0,(D1455-C1455)*G1455)</f>
        <v>-13.756300000000001</v>
      </c>
      <c r="M1455" s="12">
        <v>19998.632617800002</v>
      </c>
      <c r="N1455" s="34" cm="1">
        <f t="array" ref="N1455">IFERROR((K1455-J1455)/J1455,"–")</f>
        <v>1.0006882930332777</v>
      </c>
      <c r="O1455" s="33" cm="1">
        <f t="array" ref="O1455">IF(D1455=0,0,L1455-K1455)</f>
        <v>-43.745781625000006</v>
      </c>
      <c r="P1455" s="11"/>
      <c r="Q1455" s="35"/>
    </row>
    <row r="1456" spans="1:17" ht="22.5" customHeight="1">
      <c r="A1456" s="16" t="s">
        <v>173</v>
      </c>
      <c r="B1456" s="43">
        <v>44572</v>
      </c>
      <c r="C1456" s="37">
        <v>5.0369999999999999</v>
      </c>
      <c r="D1456" s="37">
        <v>5.149</v>
      </c>
      <c r="E1456" s="19" cm="1">
        <f t="array" ref="E1456">IF(D1456="","",D1456-C1456)</f>
        <v>0.1120000000000001</v>
      </c>
      <c r="F1456" s="20" cm="1">
        <f t="array" ref="F1456">IF(D1456=0,"",(D1456-C1456)/C1456)</f>
        <v>2.2235457613658943E-2</v>
      </c>
      <c r="G1456" s="21">
        <v>500</v>
      </c>
      <c r="H1456" s="22">
        <v>1</v>
      </c>
      <c r="I1456" s="23" cm="1">
        <f t="array" ref="I1456">IF(D1456="","",(G1456*C1456)*0.00075)</f>
        <v>1.8888750000000001</v>
      </c>
      <c r="J1456" s="23" cm="1">
        <f t="array" ref="J1456">IF(D1456="","",(G1456*D1456)*0.00075)</f>
        <v>1.9308750000000001</v>
      </c>
      <c r="K1456" s="24" cm="1">
        <f t="array" ref="K1456">IF(D1456="","",J1456+I1456)</f>
        <v>3.81975</v>
      </c>
      <c r="L1456" s="24" cm="1">
        <f t="array" ref="L1456">IF(D1456=0,0,(D1456-C1456)*G1456)</f>
        <v>56.00000000000005</v>
      </c>
      <c r="M1456" s="25">
        <v>2460.569125</v>
      </c>
      <c r="N1456" s="26" cm="1">
        <f t="array" ref="N1456">IFERROR((K1456-J1456)/J1456,"–")</f>
        <v>0.97824820353466679</v>
      </c>
      <c r="O1456" s="24" cm="1">
        <f t="array" ref="O1456">IF(D1456=0,0,L1456-K1456)</f>
        <v>52.180250000000051</v>
      </c>
      <c r="P1456" s="23"/>
      <c r="Q1456" s="27"/>
    </row>
    <row r="1457" spans="1:17" ht="22.5" customHeight="1">
      <c r="A1457" s="16" t="s">
        <v>280</v>
      </c>
      <c r="B1457" s="42">
        <v>44572</v>
      </c>
      <c r="C1457" s="36">
        <v>0.53</v>
      </c>
      <c r="D1457" s="36">
        <v>0.53200000000000003</v>
      </c>
      <c r="E1457" s="30" cm="1">
        <f t="array" ref="E1457">IF(D1457="","",D1457-C1457)</f>
        <v>2.0000000000000018E-3</v>
      </c>
      <c r="F1457" s="31" cm="1">
        <f t="array" ref="F1457">IF(D1457=0,"",(D1457-C1457)/C1457)</f>
        <v>3.7735849056603804E-3</v>
      </c>
      <c r="G1457" s="32">
        <v>18865</v>
      </c>
      <c r="H1457" s="10">
        <v>1</v>
      </c>
      <c r="I1457" s="11" cm="1">
        <f t="array" ref="I1457">IF(D1457="","",(G1457*C1457)*0.00075)</f>
        <v>7.4988375000000005</v>
      </c>
      <c r="J1457" s="11" cm="1">
        <f t="array" ref="J1457">IF(D1457="","",(G1457*D1457)*0.00075)</f>
        <v>7.5271350000000004</v>
      </c>
      <c r="K1457" s="33" cm="1">
        <f t="array" ref="K1457">IF(D1457="","",J1457+I1457)</f>
        <v>15.025972500000002</v>
      </c>
      <c r="L1457" s="33" cm="1">
        <f t="array" ref="L1457">IF(D1457=0,0,(D1457-C1457)*G1457)</f>
        <v>37.730000000000032</v>
      </c>
      <c r="M1457" s="12">
        <v>9953.1928650000009</v>
      </c>
      <c r="N1457" s="34" cm="1">
        <f t="array" ref="N1457">IFERROR((K1457-J1457)/J1457,"–")</f>
        <v>0.99624060150375948</v>
      </c>
      <c r="O1457" s="33" cm="1">
        <f t="array" ref="O1457">IF(D1457=0,0,L1457-K1457)</f>
        <v>22.704027500000031</v>
      </c>
      <c r="P1457" s="11"/>
      <c r="Q1457" s="35"/>
    </row>
    <row r="1458" spans="1:17" ht="22.5" customHeight="1">
      <c r="A1458" s="16" t="s">
        <v>173</v>
      </c>
      <c r="B1458" s="43">
        <v>44572</v>
      </c>
      <c r="C1458" s="37">
        <v>4.7827000000000002</v>
      </c>
      <c r="D1458" s="37">
        <v>4.7990000000000004</v>
      </c>
      <c r="E1458" s="19" cm="1">
        <f t="array" ref="E1458">IF(D1458="","",D1458-C1458)</f>
        <v>1.6300000000000203E-2</v>
      </c>
      <c r="F1458" s="20" cm="1">
        <f t="array" ref="F1458">IF(D1458=0,"",(D1458-C1458)/C1458)</f>
        <v>3.4081167541347361E-3</v>
      </c>
      <c r="G1458" s="21">
        <v>43.6</v>
      </c>
      <c r="H1458" s="22">
        <v>1</v>
      </c>
      <c r="I1458" s="23" cm="1">
        <f t="array" ref="I1458">IF(D1458="","",(G1458*C1458)*0.00075)</f>
        <v>0.15639429000000002</v>
      </c>
      <c r="J1458" s="23" cm="1">
        <f t="array" ref="J1458">IF(D1458="","",(G1458*D1458)*0.00075)</f>
        <v>0.15692730000000002</v>
      </c>
      <c r="K1458" s="24" cm="1">
        <f t="array" ref="K1458">IF(D1458="","",J1458+I1458)</f>
        <v>0.31332159000000004</v>
      </c>
      <c r="L1458" s="24" cm="1">
        <f t="array" ref="L1458">IF(D1458=0,0,(D1458-C1458)*G1458)</f>
        <v>0.71068000000000886</v>
      </c>
      <c r="M1458" s="25">
        <v>207.6581127</v>
      </c>
      <c r="N1458" s="26" cm="1">
        <f t="array" ref="N1458">IFERROR((K1458-J1458)/J1458,"–")</f>
        <v>0.99660345905396952</v>
      </c>
      <c r="O1458" s="24" cm="1">
        <f t="array" ref="O1458">IF(D1458=0,0,L1458-K1458)</f>
        <v>0.39735841000000882</v>
      </c>
      <c r="P1458" s="23"/>
      <c r="Q1458" s="27"/>
    </row>
    <row r="1459" spans="1:17" ht="22.5" customHeight="1">
      <c r="A1459" s="16" t="s">
        <v>214</v>
      </c>
      <c r="B1459" s="42">
        <v>44573</v>
      </c>
      <c r="C1459" s="36">
        <v>5.0891999999999999</v>
      </c>
      <c r="D1459" s="36">
        <v>5.05</v>
      </c>
      <c r="E1459" s="30" cm="1">
        <f t="array" ref="E1459">IF(D1459="","",D1459-C1459)</f>
        <v>-3.9200000000000124E-2</v>
      </c>
      <c r="F1459" s="31" cm="1">
        <f t="array" ref="F1459">IF(D1459=0,"",(D1459-C1459)/C1459)</f>
        <v>-7.7025858681128911E-3</v>
      </c>
      <c r="G1459" s="32">
        <v>1964.9</v>
      </c>
      <c r="H1459" s="10">
        <v>1</v>
      </c>
      <c r="I1459" s="11" cm="1">
        <f t="array" ref="I1459">IF(D1459="","",(G1459*C1459)*0.00075)</f>
        <v>7.4998268100000001</v>
      </c>
      <c r="J1459" s="11" cm="1">
        <f t="array" ref="J1459">IF(D1459="","",(G1459*D1459)*0.00075)</f>
        <v>7.4420587500000011</v>
      </c>
      <c r="K1459" s="33" cm="1">
        <f t="array" ref="K1459">IF(D1459="","",J1459+I1459)</f>
        <v>14.941885560000001</v>
      </c>
      <c r="L1459" s="33" cm="1">
        <f t="array" ref="L1459">IF(D1459=0,0,(D1459-C1459)*G1459)</f>
        <v>-77.024080000000239</v>
      </c>
      <c r="M1459" s="12">
        <v>10069.35110125</v>
      </c>
      <c r="N1459" s="34" cm="1">
        <f t="array" ref="N1459">IFERROR((K1459-J1459)/J1459,"–")</f>
        <v>1.0077623762376235</v>
      </c>
      <c r="O1459" s="33" cm="1">
        <f t="array" ref="O1459">IF(D1459=0,0,L1459-K1459)</f>
        <v>-91.965965560000242</v>
      </c>
      <c r="P1459" s="11"/>
      <c r="Q1459" s="35"/>
    </row>
    <row r="1460" spans="1:17" ht="22.5" customHeight="1">
      <c r="A1460" s="16" t="s">
        <v>64</v>
      </c>
      <c r="B1460" s="43">
        <v>44573</v>
      </c>
      <c r="C1460" s="37">
        <v>0.17510000000000001</v>
      </c>
      <c r="D1460" s="37">
        <v>0.17269999999999999</v>
      </c>
      <c r="E1460" s="19" cm="1">
        <f t="array" ref="E1460">IF(D1460="","",D1460-C1460)</f>
        <v>-2.4000000000000132E-3</v>
      </c>
      <c r="F1460" s="20" cm="1">
        <f t="array" ref="F1460">IF(D1460=0,"",(D1460-C1460)/C1460)</f>
        <v>-1.3706453455168551E-2</v>
      </c>
      <c r="G1460" s="21">
        <v>193529</v>
      </c>
      <c r="H1460" s="22">
        <v>1</v>
      </c>
      <c r="I1460" s="23" cm="1">
        <f t="array" ref="I1460">IF(D1460="","",(G1460*C1460)*0.00075)</f>
        <v>25.415195925000003</v>
      </c>
      <c r="J1460" s="23" cm="1">
        <f t="array" ref="J1460">IF(D1460="","",(G1460*D1460)*0.00075)</f>
        <v>25.066843724999998</v>
      </c>
      <c r="K1460" s="24" cm="1">
        <f t="array" ref="K1460">IF(D1460="","",J1460+I1460)</f>
        <v>50.482039650000004</v>
      </c>
      <c r="L1460" s="24" cm="1">
        <f t="array" ref="L1460">IF(D1460=0,0,(D1460-C1460)*G1460)</f>
        <v>-464.46960000000257</v>
      </c>
      <c r="M1460" s="25">
        <v>34326.330656275</v>
      </c>
      <c r="N1460" s="26" cm="1">
        <f t="array" ref="N1460">IFERROR((K1460-J1460)/J1460,"–")</f>
        <v>1.0138969310943837</v>
      </c>
      <c r="O1460" s="24" cm="1">
        <f t="array" ref="O1460">IF(D1460=0,0,L1460-K1460)</f>
        <v>-514.95163965000256</v>
      </c>
      <c r="P1460" s="23"/>
      <c r="Q1460" s="27"/>
    </row>
    <row r="1461" spans="1:17" ht="22.5" customHeight="1">
      <c r="A1461" s="16" t="s">
        <v>64</v>
      </c>
      <c r="B1461" s="42">
        <v>44573</v>
      </c>
      <c r="C1461" s="36">
        <v>0.17269999999999999</v>
      </c>
      <c r="D1461" s="36">
        <v>0.17119999999999999</v>
      </c>
      <c r="E1461" s="30" cm="1">
        <f t="array" ref="E1461">IF(D1461="","",D1461-C1461)</f>
        <v>-1.5000000000000013E-3</v>
      </c>
      <c r="F1461" s="31" cm="1">
        <f t="array" ref="F1461">IF(D1461=0,"",(D1461-C1461)/C1461)</f>
        <v>-8.6855819339895848E-3</v>
      </c>
      <c r="G1461" s="32">
        <v>48399</v>
      </c>
      <c r="H1461" s="10">
        <v>1</v>
      </c>
      <c r="I1461" s="11" cm="1">
        <f t="array" ref="I1461">IF(D1461="","",(G1461*C1461)*0.00075)</f>
        <v>6.2688804749999996</v>
      </c>
      <c r="J1461" s="11" cm="1">
        <f t="array" ref="J1461">IF(D1461="","",(G1461*D1461)*0.00075)</f>
        <v>6.2144315999999993</v>
      </c>
      <c r="K1461" s="33" cm="1">
        <f t="array" ref="K1461">IF(D1461="","",J1461+I1461)</f>
        <v>12.483312074999999</v>
      </c>
      <c r="L1461" s="33" cm="1">
        <f t="array" ref="L1461">IF(D1461=0,0,(D1461-C1461)*G1461)</f>
        <v>-72.598500000000058</v>
      </c>
      <c r="M1461" s="12">
        <v>8424.8913683999999</v>
      </c>
      <c r="N1461" s="34" cm="1">
        <f t="array" ref="N1461">IFERROR((K1461-J1461)/J1461,"–")</f>
        <v>1.0087616822429908</v>
      </c>
      <c r="O1461" s="33" cm="1">
        <f t="array" ref="O1461">IF(D1461=0,0,L1461-K1461)</f>
        <v>-85.081812075000059</v>
      </c>
      <c r="P1461" s="11"/>
      <c r="Q1461" s="35"/>
    </row>
    <row r="1462" spans="1:17" ht="22.5" customHeight="1">
      <c r="A1462" s="16" t="s">
        <v>108</v>
      </c>
      <c r="B1462" s="43">
        <v>44575</v>
      </c>
      <c r="C1462" s="37">
        <v>18.838000000000001</v>
      </c>
      <c r="D1462" s="37">
        <v>18.8</v>
      </c>
      <c r="E1462" s="19" cm="1">
        <f t="array" ref="E1462">IF(D1462="","",D1462-C1462)</f>
        <v>-3.8000000000000256E-2</v>
      </c>
      <c r="F1462" s="20" cm="1">
        <f t="array" ref="F1462">IF(D1462=0,"",(D1462-C1462)/C1462)</f>
        <v>-2.0171992780550086E-3</v>
      </c>
      <c r="G1462" s="21">
        <v>530.79999999999995</v>
      </c>
      <c r="H1462" s="22">
        <v>1</v>
      </c>
      <c r="I1462" s="23" cm="1">
        <f t="array" ref="I1462">IF(D1462="","",(G1462*C1462)*0.00075)</f>
        <v>7.4994078000000002</v>
      </c>
      <c r="J1462" s="23" cm="1">
        <f t="array" ref="J1462">IF(D1462="","",(G1462*D1462)*0.00075)</f>
        <v>7.4842799999999992</v>
      </c>
      <c r="K1462" s="24" cm="1">
        <f t="array" ref="K1462">IF(D1462="","",J1462+I1462)</f>
        <v>14.983687799999998</v>
      </c>
      <c r="L1462" s="24" cm="1">
        <f t="array" ref="L1462">IF(D1462=0,0,(D1462-C1462)*G1462)</f>
        <v>-20.170400000000136</v>
      </c>
      <c r="M1462" s="25">
        <v>10011.89652</v>
      </c>
      <c r="N1462" s="26" cm="1">
        <f t="array" ref="N1462">IFERROR((K1462-J1462)/J1462,"–")</f>
        <v>1.0020212765957448</v>
      </c>
      <c r="O1462" s="24" cm="1">
        <f t="array" ref="O1462">IF(D1462=0,0,L1462-K1462)</f>
        <v>-35.154087800000134</v>
      </c>
      <c r="P1462" s="23"/>
      <c r="Q1462" s="27"/>
    </row>
    <row r="1463" spans="1:17" ht="22.5" customHeight="1">
      <c r="A1463" s="16" t="s">
        <v>66</v>
      </c>
      <c r="B1463" s="42">
        <v>44575</v>
      </c>
      <c r="C1463" s="36">
        <v>0.85860000000000003</v>
      </c>
      <c r="D1463" s="36">
        <v>0.86060000000000003</v>
      </c>
      <c r="E1463" s="30" cm="1">
        <f t="array" ref="E1463">IF(D1463="","",D1463-C1463)</f>
        <v>2.0000000000000018E-3</v>
      </c>
      <c r="F1463" s="31" cm="1">
        <f t="array" ref="F1463">IF(D1463=0,"",(D1463-C1463)/C1463)</f>
        <v>2.3293733985557904E-3</v>
      </c>
      <c r="G1463" s="32">
        <v>11646</v>
      </c>
      <c r="H1463" s="10">
        <v>1</v>
      </c>
      <c r="I1463" s="11" cm="1">
        <f t="array" ref="I1463">IF(D1463="","",(G1463*C1463)*0.00075)</f>
        <v>7.4994417000000002</v>
      </c>
      <c r="J1463" s="11" cm="1">
        <f t="array" ref="J1463">IF(D1463="","",(G1463*D1463)*0.00075)</f>
        <v>7.5169107000000004</v>
      </c>
      <c r="K1463" s="33" cm="1">
        <f t="array" ref="K1463">IF(D1463="","",J1463+I1463)</f>
        <v>15.016352400000001</v>
      </c>
      <c r="L1463" s="33" cm="1">
        <f t="array" ref="L1463">IF(D1463=0,0,(D1463-C1463)*G1463)</f>
        <v>23.292000000000019</v>
      </c>
      <c r="M1463" s="12">
        <v>9968.4466893000008</v>
      </c>
      <c r="N1463" s="34" cm="1">
        <f t="array" ref="N1463">IFERROR((K1463-J1463)/J1463,"–")</f>
        <v>0.99767603997211241</v>
      </c>
      <c r="O1463" s="33" cm="1">
        <f t="array" ref="O1463">IF(D1463=0,0,L1463-K1463)</f>
        <v>8.2756476000000188</v>
      </c>
      <c r="P1463" s="11"/>
      <c r="Q1463" s="35"/>
    </row>
    <row r="1464" spans="1:17" ht="22.5" customHeight="1">
      <c r="A1464" s="16" t="s">
        <v>438</v>
      </c>
      <c r="B1464" s="43">
        <v>44210</v>
      </c>
      <c r="C1464" s="37">
        <v>1</v>
      </c>
      <c r="D1464" s="37">
        <v>251</v>
      </c>
      <c r="E1464" s="19" cm="1">
        <f t="array" ref="E1464">IF(D1464="","",D1464-C1464)</f>
        <v>250</v>
      </c>
      <c r="F1464" s="20" cm="1">
        <f t="array" ref="F1464">IF(D1464=0,"",(D1464-C1464)/C1464)</f>
        <v>250</v>
      </c>
      <c r="G1464" s="21">
        <v>1</v>
      </c>
      <c r="H1464" s="22">
        <v>1</v>
      </c>
      <c r="I1464" s="23" cm="1">
        <f t="array" ref="I1464">IF(D1464="","",(G1464*C1464)*0.00075)</f>
        <v>7.5000000000000002E-4</v>
      </c>
      <c r="J1464" s="23" cm="1">
        <f t="array" ref="J1464">IF(D1464="","",(G1464*D1464)*0.00075)</f>
        <v>0.18825</v>
      </c>
      <c r="K1464" s="24" cm="1">
        <f t="array" ref="K1464">IF(D1464="","",J1464+I1464)</f>
        <v>0.189</v>
      </c>
      <c r="L1464" s="24" cm="1">
        <f t="array" ref="L1464">IF(D1464=0,0,(D1464-C1464)*G1464)</f>
        <v>250</v>
      </c>
      <c r="M1464" s="25">
        <v>-249.18825000000001</v>
      </c>
      <c r="N1464" s="26" cm="1">
        <f t="array" ref="N1464">IFERROR((K1464-J1464)/J1464,"–")</f>
        <v>3.9840637450199237E-3</v>
      </c>
      <c r="O1464" s="24" cm="1">
        <f t="array" ref="O1464">IF(D1464=0,0,L1464-K1464)</f>
        <v>249.81100000000001</v>
      </c>
      <c r="P1464" s="23"/>
      <c r="Q1464" s="27"/>
    </row>
    <row r="1465" spans="1:17" ht="22.5" customHeight="1">
      <c r="A1465" s="16" t="s">
        <v>438</v>
      </c>
      <c r="B1465" s="42">
        <v>44577</v>
      </c>
      <c r="C1465" s="36">
        <v>1</v>
      </c>
      <c r="D1465" s="36">
        <v>101</v>
      </c>
      <c r="E1465" s="30" cm="1">
        <f t="array" ref="E1465">IF(D1465="","",D1465-C1465)</f>
        <v>100</v>
      </c>
      <c r="F1465" s="31" cm="1">
        <f t="array" ref="F1465">IF(D1465=0,"",(D1465-C1465)/C1465)</f>
        <v>100</v>
      </c>
      <c r="G1465" s="32">
        <v>1</v>
      </c>
      <c r="H1465" s="10">
        <v>1</v>
      </c>
      <c r="I1465" s="11" cm="1">
        <f t="array" ref="I1465">IF(D1465="","",(G1465*C1465)*0.00075)</f>
        <v>7.5000000000000002E-4</v>
      </c>
      <c r="J1465" s="11" cm="1">
        <f t="array" ref="J1465">IF(D1465="","",(G1465*D1465)*0.00075)</f>
        <v>7.5749999999999998E-2</v>
      </c>
      <c r="K1465" s="33" cm="1">
        <f t="array" ref="K1465">IF(D1465="","",J1465+I1465)</f>
        <v>7.6499999999999999E-2</v>
      </c>
      <c r="L1465" s="33" cm="1">
        <f t="array" ref="L1465">IF(D1465=0,0,(D1465-C1465)*G1465)</f>
        <v>100</v>
      </c>
      <c r="M1465" s="12">
        <v>-99.075749999999999</v>
      </c>
      <c r="N1465" s="34" cm="1">
        <f t="array" ref="N1465">IFERROR((K1465-J1465)/J1465,"–")</f>
        <v>9.9009900990099098E-3</v>
      </c>
      <c r="O1465" s="33" cm="1">
        <f t="array" ref="O1465">IF(D1465=0,0,L1465-K1465)</f>
        <v>99.923500000000004</v>
      </c>
      <c r="P1465" s="11"/>
      <c r="Q1465" s="35"/>
    </row>
    <row r="1466" spans="1:17" ht="22.5" customHeight="1">
      <c r="A1466" s="16" t="s">
        <v>276</v>
      </c>
      <c r="B1466" s="43">
        <v>44578</v>
      </c>
      <c r="C1466" s="37">
        <v>3.4792000000000001</v>
      </c>
      <c r="D1466" s="37">
        <v>3.45</v>
      </c>
      <c r="E1466" s="19" cm="1">
        <f t="array" ref="E1466">IF(D1466="","",D1466-C1466)</f>
        <v>-2.9199999999999893E-2</v>
      </c>
      <c r="F1466" s="20" cm="1">
        <f t="array" ref="F1466">IF(D1466=0,"",(D1466-C1466)/C1466)</f>
        <v>-8.3927339618302746E-3</v>
      </c>
      <c r="G1466" s="21">
        <v>2874</v>
      </c>
      <c r="H1466" s="22">
        <v>1</v>
      </c>
      <c r="I1466" s="23" cm="1">
        <f t="array" ref="I1466">IF(D1466="","",(G1466*C1466)*0.00075)</f>
        <v>7.4994156000000007</v>
      </c>
      <c r="J1466" s="23" cm="1">
        <f t="array" ref="J1466">IF(D1466="","",(G1466*D1466)*0.00075)</f>
        <v>7.4364750000000006</v>
      </c>
      <c r="K1466" s="24" cm="1">
        <f t="array" ref="K1466">IF(D1466="","",J1466+I1466)</f>
        <v>14.9358906</v>
      </c>
      <c r="L1466" s="24" cm="1">
        <f t="array" ref="L1466">IF(D1466=0,0,(D1466-C1466)*G1466)</f>
        <v>-83.920799999999687</v>
      </c>
      <c r="M1466" s="25">
        <v>10075.705125</v>
      </c>
      <c r="N1466" s="26" cm="1">
        <f t="array" ref="N1466">IFERROR((K1466-J1466)/J1466,"–")</f>
        <v>1.0084637681159418</v>
      </c>
      <c r="O1466" s="24" cm="1">
        <f t="array" ref="O1466">IF(D1466=0,0,L1466-K1466)</f>
        <v>-98.856690599999695</v>
      </c>
      <c r="P1466" s="23"/>
      <c r="Q1466" s="27"/>
    </row>
    <row r="1467" spans="1:17" ht="22.5" customHeight="1">
      <c r="A1467" s="16" t="s">
        <v>281</v>
      </c>
      <c r="B1467" s="42">
        <v>44578</v>
      </c>
      <c r="C1467" s="36">
        <v>46.543999999999997</v>
      </c>
      <c r="D1467" s="36">
        <v>46.6</v>
      </c>
      <c r="E1467" s="30" cm="1">
        <f t="array" ref="E1467">IF(D1467="","",D1467-C1467)</f>
        <v>5.6000000000004491E-2</v>
      </c>
      <c r="F1467" s="31" cm="1">
        <f t="array" ref="F1467">IF(D1467=0,"",(D1467-C1467)/C1467)</f>
        <v>1.2031625988313101E-3</v>
      </c>
      <c r="G1467" s="32">
        <v>429.69</v>
      </c>
      <c r="H1467" s="10">
        <v>1</v>
      </c>
      <c r="I1467" s="11" cm="1">
        <f t="array" ref="I1467">IF(D1467="","",(G1467*C1467)*0.00075)</f>
        <v>14.99961852</v>
      </c>
      <c r="J1467" s="11" cm="1">
        <f t="array" ref="J1467">IF(D1467="","",(G1467*D1467)*0.00075)</f>
        <v>15.0176655</v>
      </c>
      <c r="K1467" s="33" cm="1">
        <f t="array" ref="K1467">IF(D1467="","",J1467+I1467)</f>
        <v>30.017284019999998</v>
      </c>
      <c r="L1467" s="33" cm="1">
        <f t="array" ref="L1467">IF(D1467=0,0,(D1467-C1467)*G1467)</f>
        <v>24.062640000001931</v>
      </c>
      <c r="M1467" s="12">
        <v>19960.4110545</v>
      </c>
      <c r="N1467" s="34" cm="1">
        <f t="array" ref="N1467">IFERROR((K1467-J1467)/J1467,"–")</f>
        <v>0.99879828326180253</v>
      </c>
      <c r="O1467" s="33" cm="1">
        <f t="array" ref="O1467">IF(D1467=0,0,L1467-K1467)</f>
        <v>-5.9546440199980673</v>
      </c>
      <c r="P1467" s="11"/>
      <c r="Q1467" s="35"/>
    </row>
    <row r="1468" spans="1:17" ht="22.5" customHeight="1">
      <c r="A1468" s="16" t="s">
        <v>273</v>
      </c>
      <c r="B1468" s="43">
        <v>44578</v>
      </c>
      <c r="C1468" s="37">
        <v>2800</v>
      </c>
      <c r="D1468" s="37">
        <v>2000</v>
      </c>
      <c r="E1468" s="19" cm="1">
        <f t="array" ref="E1468">IF(D1468="","",D1468-C1468)</f>
        <v>-800</v>
      </c>
      <c r="F1468" s="20" cm="1">
        <f t="array" ref="F1468">IF(D1468=0,"",(D1468-C1468)/C1468)</f>
        <v>-0.2857142857142857</v>
      </c>
      <c r="G1468" s="21">
        <v>1</v>
      </c>
      <c r="H1468" s="22">
        <v>1</v>
      </c>
      <c r="I1468" s="23" cm="1">
        <f t="array" ref="I1468">IF(D1468="","",(G1468*C1468)*0.00075)</f>
        <v>2.1</v>
      </c>
      <c r="J1468" s="23" cm="1">
        <f t="array" ref="J1468">IF(D1468="","",(G1468*D1468)*0.00075)</f>
        <v>1.5</v>
      </c>
      <c r="K1468" s="24" cm="1">
        <f t="array" ref="K1468">IF(D1468="","",J1468+I1468)</f>
        <v>3.6</v>
      </c>
      <c r="L1468" s="24" cm="1">
        <f t="array" ref="L1468">IF(D1468=0,0,(D1468-C1468)*G1468)</f>
        <v>-800</v>
      </c>
      <c r="M1468" s="25">
        <v>3598.5</v>
      </c>
      <c r="N1468" s="26" cm="1">
        <f t="array" ref="N1468">IFERROR((K1468-J1468)/J1468,"–")</f>
        <v>1.4000000000000001</v>
      </c>
      <c r="O1468" s="24" cm="1">
        <f t="array" ref="O1468">IF(D1468=0,0,L1468-K1468)</f>
        <v>-803.6</v>
      </c>
      <c r="P1468" s="23"/>
      <c r="Q1468" s="27"/>
    </row>
    <row r="1469" spans="1:17" ht="22.5" customHeight="1">
      <c r="A1469" s="16" t="s">
        <v>30</v>
      </c>
      <c r="B1469" s="42">
        <v>44579</v>
      </c>
      <c r="C1469" s="36">
        <v>7000</v>
      </c>
      <c r="D1469" s="36">
        <v>6869</v>
      </c>
      <c r="E1469" s="30" cm="1">
        <f t="array" ref="E1469">IF(D1469="","",D1469-C1469)</f>
        <v>-131</v>
      </c>
      <c r="F1469" s="31" cm="1">
        <f t="array" ref="F1469">IF(D1469=0,"",(D1469-C1469)/C1469)</f>
        <v>-1.8714285714285715E-2</v>
      </c>
      <c r="G1469" s="32">
        <v>1</v>
      </c>
      <c r="H1469" s="10">
        <v>1</v>
      </c>
      <c r="I1469" s="11" cm="1">
        <f t="array" ref="I1469">IF(D1469="","",(G1469*C1469)*0.00075)</f>
        <v>5.25</v>
      </c>
      <c r="J1469" s="11" cm="1">
        <f t="array" ref="J1469">IF(D1469="","",(G1469*D1469)*0.00075)</f>
        <v>5.1517499999999998</v>
      </c>
      <c r="K1469" s="33" cm="1">
        <f t="array" ref="K1469">IF(D1469="","",J1469+I1469)</f>
        <v>10.40175</v>
      </c>
      <c r="L1469" s="33" cm="1">
        <f t="array" ref="L1469">IF(D1469=0,0,(D1469-C1469)*G1469)</f>
        <v>-131</v>
      </c>
      <c r="M1469" s="12">
        <v>7125.84825</v>
      </c>
      <c r="N1469" s="34" cm="1">
        <f t="array" ref="N1469">IFERROR((K1469-J1469)/J1469,"–")</f>
        <v>1.0190711894016597</v>
      </c>
      <c r="O1469" s="33" cm="1">
        <f t="array" ref="O1469">IF(D1469=0,0,L1469-K1469)</f>
        <v>-141.40174999999999</v>
      </c>
      <c r="P1469" s="11"/>
      <c r="Q1469" s="35"/>
    </row>
    <row r="1470" spans="1:17" ht="22.5" customHeight="1">
      <c r="A1470" s="16" t="s">
        <v>216</v>
      </c>
      <c r="B1470" s="43">
        <v>44579</v>
      </c>
      <c r="C1470" s="37">
        <v>2.5432899999999998</v>
      </c>
      <c r="D1470" s="37">
        <v>2.8</v>
      </c>
      <c r="E1470" s="19" cm="1">
        <f t="array" ref="E1470">IF(D1470="","",D1470-C1470)</f>
        <v>0.25670999999999999</v>
      </c>
      <c r="F1470" s="20" cm="1">
        <f t="array" ref="F1470">IF(D1470=0,"",(D1470-C1470)/C1470)</f>
        <v>0.10093618895210535</v>
      </c>
      <c r="G1470" s="21">
        <v>1965.9</v>
      </c>
      <c r="H1470" s="22">
        <v>1</v>
      </c>
      <c r="I1470" s="23" cm="1">
        <f t="array" ref="I1470">IF(D1470="","",(G1470*C1470)*0.00075)</f>
        <v>3.7498903582500001</v>
      </c>
      <c r="J1470" s="23" cm="1">
        <f t="array" ref="J1470">IF(D1470="","",(G1470*D1470)*0.00075)</f>
        <v>4.1283899999999996</v>
      </c>
      <c r="K1470" s="24" cm="1">
        <f t="array" ref="K1470">IF(D1470="","",J1470+I1470)</f>
        <v>7.8782803582499996</v>
      </c>
      <c r="L1470" s="24" cm="1">
        <f t="array" ref="L1470">IF(D1470=0,0,(D1470-C1470)*G1470)</f>
        <v>504.66618900000003</v>
      </c>
      <c r="M1470" s="25">
        <v>4491.0592319999996</v>
      </c>
      <c r="N1470" s="26" cm="1">
        <f t="array" ref="N1470">IFERROR((K1470-J1470)/J1470,"–")</f>
        <v>0.90831785714285729</v>
      </c>
      <c r="O1470" s="24" cm="1">
        <f t="array" ref="O1470">IF(D1470=0,0,L1470-K1470)</f>
        <v>496.78790864175005</v>
      </c>
      <c r="P1470" s="23"/>
      <c r="Q1470" s="27"/>
    </row>
    <row r="1471" spans="1:17" ht="22.5" customHeight="1">
      <c r="A1471" s="16" t="s">
        <v>438</v>
      </c>
      <c r="B1471" s="42">
        <v>44579</v>
      </c>
      <c r="C1471" s="36">
        <v>600</v>
      </c>
      <c r="D1471" s="36">
        <v>342</v>
      </c>
      <c r="E1471" s="30" cm="1">
        <f t="array" ref="E1471">IF(D1471="","",D1471-C1471)</f>
        <v>-258</v>
      </c>
      <c r="F1471" s="31" cm="1">
        <f t="array" ref="F1471">IF(D1471=0,"",(D1471-C1471)/C1471)</f>
        <v>-0.43</v>
      </c>
      <c r="G1471" s="32">
        <v>1</v>
      </c>
      <c r="H1471" s="10">
        <v>1</v>
      </c>
      <c r="I1471" s="11" cm="1">
        <f t="array" ref="I1471">IF(D1471="","",(G1471*C1471)*0.00075)</f>
        <v>0.45</v>
      </c>
      <c r="J1471" s="11" cm="1">
        <f t="array" ref="J1471">IF(D1471="","",(G1471*D1471)*0.00075)</f>
        <v>0.25650000000000001</v>
      </c>
      <c r="K1471" s="33" cm="1">
        <f t="array" ref="K1471">IF(D1471="","",J1471+I1471)</f>
        <v>0.70650000000000002</v>
      </c>
      <c r="L1471" s="33" cm="1">
        <f t="array" ref="L1471">IF(D1471=0,0,(D1471-C1471)*G1471)</f>
        <v>-258</v>
      </c>
      <c r="M1471" s="12">
        <v>857.74350000000004</v>
      </c>
      <c r="N1471" s="34" cm="1">
        <f t="array" ref="N1471">IFERROR((K1471-J1471)/J1471,"–")</f>
        <v>1.7543859649122806</v>
      </c>
      <c r="O1471" s="33" cm="1">
        <f t="array" ref="O1471">IF(D1471=0,0,L1471-K1471)</f>
        <v>-258.70650000000001</v>
      </c>
      <c r="P1471" s="11"/>
      <c r="Q1471" s="35"/>
    </row>
    <row r="1472" spans="1:17" ht="22.5" customHeight="1">
      <c r="A1472" s="16" t="s">
        <v>113</v>
      </c>
      <c r="B1472" s="43">
        <v>44580</v>
      </c>
      <c r="C1472" s="37">
        <v>30000</v>
      </c>
      <c r="D1472" s="37">
        <v>29634</v>
      </c>
      <c r="E1472" s="19" cm="1">
        <f t="array" ref="E1472">IF(D1472="","",D1472-C1472)</f>
        <v>-366</v>
      </c>
      <c r="F1472" s="20" cm="1">
        <f t="array" ref="F1472">IF(D1472=0,"",(D1472-C1472)/C1472)</f>
        <v>-1.2200000000000001E-2</v>
      </c>
      <c r="G1472" s="21">
        <v>1</v>
      </c>
      <c r="H1472" s="22">
        <v>1</v>
      </c>
      <c r="I1472" s="23" cm="1">
        <f t="array" ref="I1472">IF(D1472="","",(G1472*C1472)*0.00075)</f>
        <v>22.5</v>
      </c>
      <c r="J1472" s="23" cm="1">
        <f t="array" ref="J1472">IF(D1472="","",(G1472*D1472)*0.00075)</f>
        <v>22.2255</v>
      </c>
      <c r="K1472" s="24" cm="1">
        <f t="array" ref="K1472">IF(D1472="","",J1472+I1472)</f>
        <v>44.725499999999997</v>
      </c>
      <c r="L1472" s="24" cm="1">
        <f t="array" ref="L1472">IF(D1472=0,0,(D1472-C1472)*G1472)</f>
        <v>-366</v>
      </c>
      <c r="M1472" s="25">
        <v>30343.7745</v>
      </c>
      <c r="N1472" s="26" cm="1">
        <f t="array" ref="N1472">IFERROR((K1472-J1472)/J1472,"–")</f>
        <v>1.0123506782749543</v>
      </c>
      <c r="O1472" s="24" cm="1">
        <f t="array" ref="O1472">IF(D1472=0,0,L1472-K1472)</f>
        <v>-410.72550000000001</v>
      </c>
      <c r="P1472" s="23"/>
      <c r="Q1472" s="27"/>
    </row>
    <row r="1473" spans="1:17" ht="22.5" customHeight="1">
      <c r="A1473" s="16" t="s">
        <v>244</v>
      </c>
      <c r="B1473" s="42">
        <v>44581</v>
      </c>
      <c r="C1473" s="36">
        <v>51</v>
      </c>
      <c r="D1473" s="36">
        <v>1</v>
      </c>
      <c r="E1473" s="30" cm="1">
        <f t="array" ref="E1473">IF(D1473="","",D1473-C1473)</f>
        <v>-50</v>
      </c>
      <c r="F1473" s="31" cm="1">
        <f t="array" ref="F1473">IF(D1473=0,"",(D1473-C1473)/C1473)</f>
        <v>-0.98039215686274506</v>
      </c>
      <c r="G1473" s="32">
        <v>1</v>
      </c>
      <c r="H1473" s="10">
        <v>1</v>
      </c>
      <c r="I1473" s="11" cm="1">
        <f t="array" ref="I1473">IF(D1473="","",(G1473*C1473)*0.00075)</f>
        <v>3.8249999999999999E-2</v>
      </c>
      <c r="J1473" s="11" cm="1">
        <f t="array" ref="J1473">IF(D1473="","",(G1473*D1473)*0.00075)</f>
        <v>7.5000000000000002E-4</v>
      </c>
      <c r="K1473" s="33" cm="1">
        <f t="array" ref="K1473">IF(D1473="","",J1473+I1473)</f>
        <v>3.9E-2</v>
      </c>
      <c r="L1473" s="33" cm="1">
        <f t="array" ref="L1473">IF(D1473=0,0,(D1473-C1473)*G1473)</f>
        <v>-50</v>
      </c>
      <c r="M1473" s="12">
        <v>100.99925</v>
      </c>
      <c r="N1473" s="34" cm="1">
        <f t="array" ref="N1473">IFERROR((K1473-J1473)/J1473,"–")</f>
        <v>51</v>
      </c>
      <c r="O1473" s="33" cm="1">
        <f t="array" ref="O1473">IF(D1473=0,0,L1473-K1473)</f>
        <v>-50.039000000000001</v>
      </c>
      <c r="P1473" s="11"/>
      <c r="Q1473" s="35"/>
    </row>
    <row r="1474" spans="1:17" ht="22.5" customHeight="1">
      <c r="A1474" s="16" t="s">
        <v>282</v>
      </c>
      <c r="B1474" s="43">
        <v>44581</v>
      </c>
      <c r="C1474" s="37">
        <v>6.4183000000000003</v>
      </c>
      <c r="D1474" s="37">
        <v>6.4169999999999998</v>
      </c>
      <c r="E1474" s="19" cm="1">
        <f t="array" ref="E1474">IF(D1474="","",D1474-C1474)</f>
        <v>-1.300000000000523E-3</v>
      </c>
      <c r="F1474" s="20" cm="1">
        <f t="array" ref="F1474">IF(D1474=0,"",(D1474-C1474)/C1474)</f>
        <v>-2.0254584547318183E-4</v>
      </c>
      <c r="G1474" s="21">
        <v>1558</v>
      </c>
      <c r="H1474" s="22">
        <v>1</v>
      </c>
      <c r="I1474" s="23" cm="1">
        <f t="array" ref="I1474">IF(D1474="","",(G1474*C1474)*0.00075)</f>
        <v>7.4997835500000001</v>
      </c>
      <c r="J1474" s="23" cm="1">
        <f t="array" ref="J1474">IF(D1474="","",(G1474*D1474)*0.00075)</f>
        <v>7.4982645000000003</v>
      </c>
      <c r="K1474" s="24" cm="1">
        <f t="array" ref="K1474">IF(D1474="","",J1474+I1474)</f>
        <v>14.998048050000001</v>
      </c>
      <c r="L1474" s="24" cm="1">
        <f t="array" ref="L1474">IF(D1474=0,0,(D1474-C1474)*G1474)</f>
        <v>-2.0254000000008148</v>
      </c>
      <c r="M1474" s="25">
        <v>9994.2385355000006</v>
      </c>
      <c r="N1474" s="26" cm="1">
        <f t="array" ref="N1474">IFERROR((K1474-J1474)/J1474,"–")</f>
        <v>1.0002025868786037</v>
      </c>
      <c r="O1474" s="24" cm="1">
        <f t="array" ref="O1474">IF(D1474=0,0,L1474-K1474)</f>
        <v>-17.023448050000816</v>
      </c>
      <c r="P1474" s="23"/>
      <c r="Q1474" s="27"/>
    </row>
    <row r="1475" spans="1:17" ht="22.5" customHeight="1">
      <c r="A1475" s="16" t="s">
        <v>283</v>
      </c>
      <c r="B1475" s="42">
        <v>44581</v>
      </c>
      <c r="C1475" s="36">
        <v>2.1800000000000002</v>
      </c>
      <c r="D1475" s="36">
        <v>2.177</v>
      </c>
      <c r="E1475" s="30" cm="1">
        <f t="array" ref="E1475">IF(D1475="","",D1475-C1475)</f>
        <v>-3.0000000000001137E-3</v>
      </c>
      <c r="F1475" s="31" cm="1">
        <f t="array" ref="F1475">IF(D1475=0,"",(D1475-C1475)/C1475)</f>
        <v>-1.3761467889908778E-3</v>
      </c>
      <c r="G1475" s="32">
        <v>4586.3</v>
      </c>
      <c r="H1475" s="10">
        <v>1</v>
      </c>
      <c r="I1475" s="11" cm="1">
        <f t="array" ref="I1475">IF(D1475="","",(G1475*C1475)*0.00075)</f>
        <v>7.4986005000000011</v>
      </c>
      <c r="J1475" s="11" cm="1">
        <f t="array" ref="J1475">IF(D1475="","",(G1475*D1475)*0.00075)</f>
        <v>7.4882813250000009</v>
      </c>
      <c r="K1475" s="33" cm="1">
        <f t="array" ref="K1475">IF(D1475="","",J1475+I1475)</f>
        <v>14.986881825000001</v>
      </c>
      <c r="L1475" s="33" cm="1">
        <f t="array" ref="L1475">IF(D1475=0,0,(D1475-C1475)*G1475)</f>
        <v>-13.758900000000523</v>
      </c>
      <c r="M1475" s="12">
        <v>10004.404618675</v>
      </c>
      <c r="N1475" s="34" cm="1">
        <f t="array" ref="N1475">IFERROR((K1475-J1475)/J1475,"–")</f>
        <v>1.0013780431786863</v>
      </c>
      <c r="O1475" s="33" cm="1">
        <f t="array" ref="O1475">IF(D1475=0,0,L1475-K1475)</f>
        <v>-28.745781825000524</v>
      </c>
      <c r="P1475" s="11"/>
      <c r="Q1475" s="35"/>
    </row>
    <row r="1476" spans="1:17" ht="22.5" customHeight="1">
      <c r="A1476" s="16" t="s">
        <v>213</v>
      </c>
      <c r="B1476" s="43">
        <v>44581</v>
      </c>
      <c r="C1476" s="37">
        <v>7.21</v>
      </c>
      <c r="D1476" s="37">
        <v>8.18</v>
      </c>
      <c r="E1476" s="19" cm="1">
        <f t="array" ref="E1476">IF(D1476="","",D1476-C1476)</f>
        <v>0.96999999999999975</v>
      </c>
      <c r="F1476" s="20" cm="1">
        <f t="array" ref="F1476">IF(D1476=0,"",(D1476-C1476)/C1476)</f>
        <v>0.13453536754507625</v>
      </c>
      <c r="G1476" s="21">
        <v>277.39</v>
      </c>
      <c r="H1476" s="22">
        <v>1</v>
      </c>
      <c r="I1476" s="23" cm="1">
        <f t="array" ref="I1476">IF(D1476="","",(G1476*C1476)*0.00075)</f>
        <v>1.4999864250000001</v>
      </c>
      <c r="J1476" s="23" cm="1">
        <f t="array" ref="J1476">IF(D1476="","",(G1476*D1476)*0.00075)</f>
        <v>1.7017876499999998</v>
      </c>
      <c r="K1476" s="24" cm="1">
        <f t="array" ref="K1476">IF(D1476="","",J1476+I1476)</f>
        <v>3.2017740749999999</v>
      </c>
      <c r="L1476" s="24" cm="1">
        <f t="array" ref="L1476">IF(D1476=0,0,(D1476-C1476)*G1476)</f>
        <v>269.06829999999991</v>
      </c>
      <c r="M1476" s="25">
        <v>1729.2118123499999</v>
      </c>
      <c r="N1476" s="26" cm="1">
        <f t="array" ref="N1476">IFERROR((K1476-J1476)/J1476,"–")</f>
        <v>0.88141809290953566</v>
      </c>
      <c r="O1476" s="24" cm="1">
        <f t="array" ref="O1476">IF(D1476=0,0,L1476-K1476)</f>
        <v>265.86652592499991</v>
      </c>
      <c r="P1476" s="23"/>
      <c r="Q1476" s="27"/>
    </row>
    <row r="1477" spans="1:17" ht="22.5" customHeight="1">
      <c r="A1477" s="16" t="s">
        <v>213</v>
      </c>
      <c r="B1477" s="42">
        <v>44582</v>
      </c>
      <c r="C1477" s="36">
        <v>7.7750000000000004</v>
      </c>
      <c r="D1477" s="36">
        <v>7.79</v>
      </c>
      <c r="E1477" s="30" cm="1">
        <f t="array" ref="E1477">IF(D1477="","",D1477-C1477)</f>
        <v>1.499999999999968E-2</v>
      </c>
      <c r="F1477" s="31" cm="1">
        <f t="array" ref="F1477">IF(D1477=0,"",(D1477-C1477)/C1477)</f>
        <v>1.9292604501607304E-3</v>
      </c>
      <c r="G1477" s="32">
        <v>244.05</v>
      </c>
      <c r="H1477" s="10">
        <v>1</v>
      </c>
      <c r="I1477" s="11" cm="1">
        <f t="array" ref="I1477">IF(D1477="","",(G1477*C1477)*0.00075)</f>
        <v>1.4231165625000002</v>
      </c>
      <c r="J1477" s="11" cm="1">
        <f t="array" ref="J1477">IF(D1477="","",(G1477*D1477)*0.00075)</f>
        <v>1.4258621250000001</v>
      </c>
      <c r="K1477" s="33" cm="1">
        <f t="array" ref="K1477">IF(D1477="","",J1477+I1477)</f>
        <v>2.8489786875000003</v>
      </c>
      <c r="L1477" s="33" cm="1">
        <f t="array" ref="L1477">IF(D1477=0,0,(D1477-C1477)*G1477)</f>
        <v>3.660749999999922</v>
      </c>
      <c r="M1477" s="12">
        <v>1892.4021378750001</v>
      </c>
      <c r="N1477" s="34" cm="1">
        <f t="array" ref="N1477">IFERROR((K1477-J1477)/J1477,"–")</f>
        <v>0.99807445442875486</v>
      </c>
      <c r="O1477" s="33" cm="1">
        <f t="array" ref="O1477">IF(D1477=0,0,L1477-K1477)</f>
        <v>0.81177131249992174</v>
      </c>
      <c r="P1477" s="11"/>
      <c r="Q1477" s="35"/>
    </row>
    <row r="1478" spans="1:17" ht="22.5" customHeight="1">
      <c r="A1478" s="16" t="s">
        <v>213</v>
      </c>
      <c r="B1478" s="43">
        <v>44582</v>
      </c>
      <c r="C1478" s="37">
        <v>7.7750000000000004</v>
      </c>
      <c r="D1478" s="37">
        <v>7.7808999999999999</v>
      </c>
      <c r="E1478" s="19" cm="1">
        <f t="array" ref="E1478">IF(D1478="","",D1478-C1478)</f>
        <v>5.8999999999995723E-3</v>
      </c>
      <c r="F1478" s="20" cm="1">
        <f t="array" ref="F1478">IF(D1478=0,"",(D1478-C1478)/C1478)</f>
        <v>7.5884244372984846E-4</v>
      </c>
      <c r="G1478" s="21">
        <v>1042.04</v>
      </c>
      <c r="H1478" s="22">
        <v>1</v>
      </c>
      <c r="I1478" s="23" cm="1">
        <f t="array" ref="I1478">IF(D1478="","",(G1478*C1478)*0.00075)</f>
        <v>6.0763957499999997</v>
      </c>
      <c r="J1478" s="23" cm="1">
        <f t="array" ref="J1478">IF(D1478="","",(G1478*D1478)*0.00075)</f>
        <v>6.0810067769999998</v>
      </c>
      <c r="K1478" s="24" cm="1">
        <f t="array" ref="K1478">IF(D1478="","",J1478+I1478)</f>
        <v>12.157402526999999</v>
      </c>
      <c r="L1478" s="24" cm="1">
        <f t="array" ref="L1478">IF(D1478=0,0,(D1478-C1478)*G1478)</f>
        <v>6.1480359999995544</v>
      </c>
      <c r="M1478" s="25">
        <v>8089.6319572230004</v>
      </c>
      <c r="N1478" s="26" cm="1">
        <f t="array" ref="N1478">IFERROR((K1478-J1478)/J1478,"–")</f>
        <v>0.99924173296148244</v>
      </c>
      <c r="O1478" s="24" cm="1">
        <f t="array" ref="O1478">IF(D1478=0,0,L1478-K1478)</f>
        <v>-6.0093665270004442</v>
      </c>
      <c r="P1478" s="23"/>
      <c r="Q1478" s="27"/>
    </row>
    <row r="1479" spans="1:17" ht="22.5" customHeight="1">
      <c r="A1479" s="16" t="s">
        <v>138</v>
      </c>
      <c r="B1479" s="42">
        <v>44583</v>
      </c>
      <c r="C1479" s="36">
        <v>6.25</v>
      </c>
      <c r="D1479" s="36">
        <v>6.5</v>
      </c>
      <c r="E1479" s="30" cm="1">
        <f t="array" ref="E1479">IF(D1479="","",D1479-C1479)</f>
        <v>0.25</v>
      </c>
      <c r="F1479" s="31" cm="1">
        <f t="array" ref="F1479">IF(D1479=0,"",(D1479-C1479)/C1479)</f>
        <v>0.04</v>
      </c>
      <c r="G1479" s="32">
        <v>1000</v>
      </c>
      <c r="H1479" s="10">
        <v>1</v>
      </c>
      <c r="I1479" s="11" cm="1">
        <f t="array" ref="I1479">IF(D1479="","",(G1479*C1479)*0.00075)</f>
        <v>4.6875</v>
      </c>
      <c r="J1479" s="11" cm="1">
        <f t="array" ref="J1479">IF(D1479="","",(G1479*D1479)*0.00075)</f>
        <v>4.875</v>
      </c>
      <c r="K1479" s="33" cm="1">
        <f t="array" ref="K1479">IF(D1479="","",J1479+I1479)</f>
        <v>9.5625</v>
      </c>
      <c r="L1479" s="33" cm="1">
        <f t="array" ref="L1479">IF(D1479=0,0,(D1479-C1479)*G1479)</f>
        <v>250</v>
      </c>
      <c r="M1479" s="12">
        <v>5995.125</v>
      </c>
      <c r="N1479" s="34" cm="1">
        <f t="array" ref="N1479">IFERROR((K1479-J1479)/J1479,"–")</f>
        <v>0.96153846153846156</v>
      </c>
      <c r="O1479" s="33" cm="1">
        <f t="array" ref="O1479">IF(D1479=0,0,L1479-K1479)</f>
        <v>240.4375</v>
      </c>
      <c r="P1479" s="11"/>
      <c r="Q1479" s="35"/>
    </row>
    <row r="1480" spans="1:17" ht="22.5" customHeight="1">
      <c r="A1480" s="16" t="s">
        <v>199</v>
      </c>
      <c r="B1480" s="43">
        <v>44585</v>
      </c>
      <c r="C1480" s="37">
        <v>45.96</v>
      </c>
      <c r="D1480" s="37">
        <v>45.59</v>
      </c>
      <c r="E1480" s="19" cm="1">
        <f t="array" ref="E1480">IF(D1480="","",D1480-C1480)</f>
        <v>-0.36999999999999744</v>
      </c>
      <c r="F1480" s="20" cm="1">
        <f t="array" ref="F1480">IF(D1480=0,"",(D1480-C1480)/C1480)</f>
        <v>-8.0504786771104751E-3</v>
      </c>
      <c r="G1480" s="21">
        <v>60.16</v>
      </c>
      <c r="H1480" s="22">
        <v>1</v>
      </c>
      <c r="I1480" s="23" cm="1">
        <f t="array" ref="I1480">IF(D1480="","",(G1480*C1480)*0.00075)</f>
        <v>2.0737152000000001</v>
      </c>
      <c r="J1480" s="23" cm="1">
        <f t="array" ref="J1480">IF(D1480="","",(G1480*D1480)*0.00075)</f>
        <v>2.0570208000000001</v>
      </c>
      <c r="K1480" s="24" cm="1">
        <f t="array" ref="K1480">IF(D1480="","",J1480+I1480)</f>
        <v>4.1307360000000006</v>
      </c>
      <c r="L1480" s="24" cm="1">
        <f t="array" ref="L1480">IF(D1480=0,0,(D1480-C1480)*G1480)</f>
        <v>-22.259199999999844</v>
      </c>
      <c r="M1480" s="25">
        <v>2785.1557791999999</v>
      </c>
      <c r="N1480" s="26" cm="1">
        <f t="array" ref="N1480">IFERROR((K1480-J1480)/J1480,"–")</f>
        <v>1.0081158148716827</v>
      </c>
      <c r="O1480" s="24" cm="1">
        <f t="array" ref="O1480">IF(D1480=0,0,L1480-K1480)</f>
        <v>-26.389935999999842</v>
      </c>
      <c r="P1480" s="23"/>
      <c r="Q1480" s="27"/>
    </row>
    <row r="1481" spans="1:17" ht="22.5" customHeight="1">
      <c r="A1481" s="16" t="s">
        <v>85</v>
      </c>
      <c r="B1481" s="42">
        <v>44585</v>
      </c>
      <c r="C1481" s="36">
        <v>1.1508</v>
      </c>
      <c r="D1481" s="36">
        <v>1.2634000000000001</v>
      </c>
      <c r="E1481" s="30" cm="1">
        <f t="array" ref="E1481">IF(D1481="","",D1481-C1481)</f>
        <v>0.11260000000000003</v>
      </c>
      <c r="F1481" s="31" cm="1">
        <f t="array" ref="F1481">IF(D1481=0,"",(D1481-C1481)/C1481)</f>
        <v>9.7844977407021222E-2</v>
      </c>
      <c r="G1481" s="32">
        <v>17377.900000000001</v>
      </c>
      <c r="H1481" s="10">
        <v>1</v>
      </c>
      <c r="I1481" s="11" cm="1">
        <f t="array" ref="I1481">IF(D1481="","",(G1481*C1481)*0.00075)</f>
        <v>14.998865490000004</v>
      </c>
      <c r="J1481" s="11" cm="1">
        <f t="array" ref="J1481">IF(D1481="","",(G1481*D1481)*0.00075)</f>
        <v>16.466429145000003</v>
      </c>
      <c r="K1481" s="33" cm="1">
        <f t="array" ref="K1481">IF(D1481="","",J1481+I1481)</f>
        <v>31.465294635000006</v>
      </c>
      <c r="L1481" s="33" cm="1">
        <f t="array" ref="L1481">IF(D1481=0,0,(D1481-C1481)*G1481)</f>
        <v>1956.7515400000007</v>
      </c>
      <c r="M1481" s="12">
        <v>18025.269350855</v>
      </c>
      <c r="N1481" s="34" cm="1">
        <f t="array" ref="N1481">IFERROR((K1481-J1481)/J1481,"–")</f>
        <v>0.91087541554535389</v>
      </c>
      <c r="O1481" s="33" cm="1">
        <f t="array" ref="O1481">IF(D1481=0,0,L1481-K1481)</f>
        <v>1925.2862453650007</v>
      </c>
      <c r="P1481" s="11"/>
      <c r="Q1481" s="35"/>
    </row>
    <row r="1482" spans="1:17" ht="22.5" customHeight="1">
      <c r="A1482" s="16" t="s">
        <v>281</v>
      </c>
      <c r="B1482" s="43">
        <v>44590</v>
      </c>
      <c r="C1482" s="37">
        <v>35.462499999999999</v>
      </c>
      <c r="D1482" s="37">
        <v>35.51</v>
      </c>
      <c r="E1482" s="19" cm="1">
        <f t="array" ref="E1482">IF(D1482="","",D1482-C1482)</f>
        <v>4.7499999999999432E-2</v>
      </c>
      <c r="F1482" s="20" cm="1">
        <f t="array" ref="F1482">IF(D1482=0,"",(D1482-C1482)/C1482)</f>
        <v>1.339443073669353E-3</v>
      </c>
      <c r="G1482" s="21">
        <v>563.97</v>
      </c>
      <c r="H1482" s="22">
        <v>1</v>
      </c>
      <c r="I1482" s="23" cm="1">
        <f t="array" ref="I1482">IF(D1482="","",(G1482*C1482)*0.00075)</f>
        <v>14.99983959375</v>
      </c>
      <c r="J1482" s="23" cm="1">
        <f t="array" ref="J1482">IF(D1482="","",(G1482*D1482)*0.00075)</f>
        <v>15.019931025000002</v>
      </c>
      <c r="K1482" s="24" cm="1">
        <f t="array" ref="K1482">IF(D1482="","",J1482+I1482)</f>
        <v>30.019770618750002</v>
      </c>
      <c r="L1482" s="24" cm="1">
        <f t="array" ref="L1482">IF(D1482=0,0,(D1482-C1482)*G1482)</f>
        <v>26.788574999999682</v>
      </c>
      <c r="M1482" s="25">
        <v>19957.977618975001</v>
      </c>
      <c r="N1482" s="26" cm="1">
        <f t="array" ref="N1482">IFERROR((K1482-J1482)/J1482,"–")</f>
        <v>0.99866234863418746</v>
      </c>
      <c r="O1482" s="24" cm="1">
        <f t="array" ref="O1482">IF(D1482=0,0,L1482-K1482)</f>
        <v>-3.2311956187503199</v>
      </c>
      <c r="P1482" s="23"/>
      <c r="Q1482" s="27"/>
    </row>
    <row r="1483" spans="1:17" ht="22.5" customHeight="1">
      <c r="A1483" s="16" t="s">
        <v>134</v>
      </c>
      <c r="B1483" s="42">
        <v>44591</v>
      </c>
      <c r="C1483" s="36">
        <v>2.3039000000000001</v>
      </c>
      <c r="D1483" s="36">
        <v>2.3010000000000002</v>
      </c>
      <c r="E1483" s="30" cm="1">
        <f t="array" ref="E1483">IF(D1483="","",D1483-C1483)</f>
        <v>-2.8999999999999027E-3</v>
      </c>
      <c r="F1483" s="31" cm="1">
        <f t="array" ref="F1483">IF(D1483=0,"",(D1483-C1483)/C1483)</f>
        <v>-1.258735188159166E-3</v>
      </c>
      <c r="G1483" s="32">
        <v>8680.7000000000007</v>
      </c>
      <c r="H1483" s="10">
        <v>1</v>
      </c>
      <c r="I1483" s="11" cm="1">
        <f t="array" ref="I1483">IF(D1483="","",(G1483*C1483)*0.00075)</f>
        <v>14.999598547500003</v>
      </c>
      <c r="J1483" s="11" cm="1">
        <f t="array" ref="J1483">IF(D1483="","",(G1483*D1483)*0.00075)</f>
        <v>14.980718025000002</v>
      </c>
      <c r="K1483" s="33" cm="1">
        <f t="array" ref="K1483">IF(D1483="","",J1483+I1483)</f>
        <v>29.980316572500005</v>
      </c>
      <c r="L1483" s="33" cm="1">
        <f t="array" ref="L1483">IF(D1483=0,0,(D1483-C1483)*G1483)</f>
        <v>-25.174029999999156</v>
      </c>
      <c r="M1483" s="12">
        <v>20009.658041974999</v>
      </c>
      <c r="N1483" s="34" cm="1">
        <f t="array" ref="N1483">IFERROR((K1483-J1483)/J1483,"–")</f>
        <v>1.0012603215993048</v>
      </c>
      <c r="O1483" s="33" cm="1">
        <f t="array" ref="O1483">IF(D1483=0,0,L1483-K1483)</f>
        <v>-55.154346572499165</v>
      </c>
      <c r="P1483" s="11"/>
      <c r="Q1483" s="35"/>
    </row>
    <row r="1484" spans="1:17" ht="22.5" customHeight="1">
      <c r="A1484" s="16" t="s">
        <v>49</v>
      </c>
      <c r="B1484" s="43">
        <v>44591</v>
      </c>
      <c r="C1484" s="37">
        <v>14.048999999999999</v>
      </c>
      <c r="D1484" s="37">
        <v>14.907999999999999</v>
      </c>
      <c r="E1484" s="19" cm="1">
        <f t="array" ref="E1484">IF(D1484="","",D1484-C1484)</f>
        <v>0.85899999999999999</v>
      </c>
      <c r="F1484" s="20" cm="1">
        <f t="array" ref="F1484">IF(D1484=0,"",(D1484-C1484)/C1484)</f>
        <v>6.1143141860630648E-2</v>
      </c>
      <c r="G1484" s="21">
        <v>300</v>
      </c>
      <c r="H1484" s="22">
        <v>1</v>
      </c>
      <c r="I1484" s="23" cm="1">
        <f t="array" ref="I1484">IF(D1484="","",(G1484*C1484)*0.00075)</f>
        <v>3.161025</v>
      </c>
      <c r="J1484" s="23" cm="1">
        <f t="array" ref="J1484">IF(D1484="","",(G1484*D1484)*0.00075)</f>
        <v>3.3542999999999998</v>
      </c>
      <c r="K1484" s="24" cm="1">
        <f t="array" ref="K1484">IF(D1484="","",J1484+I1484)</f>
        <v>6.5153249999999998</v>
      </c>
      <c r="L1484" s="24" cm="1">
        <f t="array" ref="L1484">IF(D1484=0,0,(D1484-C1484)*G1484)</f>
        <v>257.7</v>
      </c>
      <c r="M1484" s="25">
        <v>3953.6457</v>
      </c>
      <c r="N1484" s="26" cm="1">
        <f t="array" ref="N1484">IFERROR((K1484-J1484)/J1484,"–")</f>
        <v>0.94237993023879796</v>
      </c>
      <c r="O1484" s="24" cm="1">
        <f t="array" ref="O1484">IF(D1484=0,0,L1484-K1484)</f>
        <v>251.184675</v>
      </c>
      <c r="P1484" s="23"/>
      <c r="Q1484" s="27"/>
    </row>
    <row r="1485" spans="1:17" ht="22.5" customHeight="1">
      <c r="A1485" s="16" t="s">
        <v>261</v>
      </c>
      <c r="B1485" s="42">
        <v>44591</v>
      </c>
      <c r="C1485" s="36">
        <v>9.359</v>
      </c>
      <c r="D1485" s="36">
        <v>9.9168000000000003</v>
      </c>
      <c r="E1485" s="30" cm="1">
        <f t="array" ref="E1485">IF(D1485="","",D1485-C1485)</f>
        <v>0.5578000000000003</v>
      </c>
      <c r="F1485" s="31" cm="1">
        <f t="array" ref="F1485">IF(D1485=0,"",(D1485-C1485)/C1485)</f>
        <v>5.9600384656480425E-2</v>
      </c>
      <c r="G1485" s="32">
        <v>250</v>
      </c>
      <c r="H1485" s="10">
        <v>1</v>
      </c>
      <c r="I1485" s="11" cm="1">
        <f t="array" ref="I1485">IF(D1485="","",(G1485*C1485)*0.00075)</f>
        <v>1.7548125000000001</v>
      </c>
      <c r="J1485" s="11" cm="1">
        <f t="array" ref="J1485">IF(D1485="","",(G1485*D1485)*0.00075)</f>
        <v>1.8594000000000002</v>
      </c>
      <c r="K1485" s="33" cm="1">
        <f t="array" ref="K1485">IF(D1485="","",J1485+I1485)</f>
        <v>3.6142125000000003</v>
      </c>
      <c r="L1485" s="33" cm="1">
        <f t="array" ref="L1485">IF(D1485=0,0,(D1485-C1485)*G1485)</f>
        <v>139.45000000000007</v>
      </c>
      <c r="M1485" s="12">
        <v>2198.4405999999999</v>
      </c>
      <c r="N1485" s="34" cm="1">
        <f t="array" ref="N1485">IFERROR((K1485-J1485)/J1485,"–")</f>
        <v>0.9437520167796063</v>
      </c>
      <c r="O1485" s="33" cm="1">
        <f t="array" ref="O1485">IF(D1485=0,0,L1485-K1485)</f>
        <v>135.83578750000007</v>
      </c>
      <c r="P1485" s="11"/>
      <c r="Q1485" s="35"/>
    </row>
    <row r="1486" spans="1:17" ht="22.5" customHeight="1">
      <c r="A1486" s="16" t="s">
        <v>173</v>
      </c>
      <c r="B1486" s="43">
        <v>44591</v>
      </c>
      <c r="C1486" s="37">
        <v>4.0858999999999996</v>
      </c>
      <c r="D1486" s="37">
        <v>4.24</v>
      </c>
      <c r="E1486" s="19" cm="1">
        <f t="array" ref="E1486">IF(D1486="","",D1486-C1486)</f>
        <v>0.15410000000000057</v>
      </c>
      <c r="F1486" s="20" cm="1">
        <f t="array" ref="F1486">IF(D1486=0,"",(D1486-C1486)/C1486)</f>
        <v>3.7715068895469932E-2</v>
      </c>
      <c r="G1486" s="21">
        <v>500</v>
      </c>
      <c r="H1486" s="22">
        <v>1</v>
      </c>
      <c r="I1486" s="23" cm="1">
        <f t="array" ref="I1486">IF(D1486="","",(G1486*C1486)*0.00075)</f>
        <v>1.5322125</v>
      </c>
      <c r="J1486" s="23" cm="1">
        <f t="array" ref="J1486">IF(D1486="","",(G1486*D1486)*0.00075)</f>
        <v>1.59</v>
      </c>
      <c r="K1486" s="24" cm="1">
        <f t="array" ref="K1486">IF(D1486="","",J1486+I1486)</f>
        <v>3.1222124999999998</v>
      </c>
      <c r="L1486" s="24" cm="1">
        <f t="array" ref="L1486">IF(D1486=0,0,(D1486-C1486)*G1486)</f>
        <v>77.050000000000281</v>
      </c>
      <c r="M1486" s="25">
        <v>1964.31</v>
      </c>
      <c r="N1486" s="26" cm="1">
        <f t="array" ref="N1486">IFERROR((K1486-J1486)/J1486,"–")</f>
        <v>0.96365566037735828</v>
      </c>
      <c r="O1486" s="24" cm="1">
        <f t="array" ref="O1486">IF(D1486=0,0,L1486-K1486)</f>
        <v>73.927787500000278</v>
      </c>
      <c r="P1486" s="23"/>
      <c r="Q1486" s="27"/>
    </row>
    <row r="1487" spans="1:17" ht="22.5" customHeight="1">
      <c r="A1487" s="16" t="s">
        <v>49</v>
      </c>
      <c r="B1487" s="42">
        <v>44592</v>
      </c>
      <c r="C1487" s="36">
        <v>14.45</v>
      </c>
      <c r="D1487" s="36">
        <v>14.907999999999999</v>
      </c>
      <c r="E1487" s="30" cm="1">
        <f t="array" ref="E1487">IF(D1487="","",D1487-C1487)</f>
        <v>0.45800000000000018</v>
      </c>
      <c r="F1487" s="31" cm="1">
        <f t="array" ref="F1487">IF(D1487=0,"",(D1487-C1487)/C1487)</f>
        <v>3.1695501730103819E-2</v>
      </c>
      <c r="G1487" s="32">
        <v>400</v>
      </c>
      <c r="H1487" s="10">
        <v>1</v>
      </c>
      <c r="I1487" s="11" cm="1">
        <f t="array" ref="I1487">IF(D1487="","",(G1487*C1487)*0.00075)</f>
        <v>4.335</v>
      </c>
      <c r="J1487" s="11" cm="1">
        <f t="array" ref="J1487">IF(D1487="","",(G1487*D1487)*0.00075)</f>
        <v>4.4724000000000004</v>
      </c>
      <c r="K1487" s="33" cm="1">
        <f t="array" ref="K1487">IF(D1487="","",J1487+I1487)</f>
        <v>8.8074000000000012</v>
      </c>
      <c r="L1487" s="33" cm="1">
        <f t="array" ref="L1487">IF(D1487=0,0,(D1487-C1487)*G1487)</f>
        <v>183.20000000000007</v>
      </c>
      <c r="M1487" s="12">
        <v>5592.3275999999996</v>
      </c>
      <c r="N1487" s="34" cm="1">
        <f t="array" ref="N1487">IFERROR((K1487-J1487)/J1487,"–")</f>
        <v>0.9692782398712102</v>
      </c>
      <c r="O1487" s="33" cm="1">
        <f t="array" ref="O1487">IF(D1487=0,0,L1487-K1487)</f>
        <v>174.39260000000007</v>
      </c>
      <c r="P1487" s="11"/>
      <c r="Q1487" s="35"/>
    </row>
    <row r="1488" spans="1:17" ht="22.5" customHeight="1">
      <c r="A1488" s="16" t="s">
        <v>264</v>
      </c>
      <c r="B1488" s="43">
        <v>44592</v>
      </c>
      <c r="C1488" s="37">
        <v>3.03</v>
      </c>
      <c r="D1488" s="37">
        <v>2.75</v>
      </c>
      <c r="E1488" s="19" cm="1">
        <f t="array" ref="E1488">IF(D1488="","",D1488-C1488)</f>
        <v>-0.2799999999999998</v>
      </c>
      <c r="F1488" s="20" cm="1">
        <f t="array" ref="F1488">IF(D1488=0,"",(D1488-C1488)/C1488)</f>
        <v>-9.2409240924092348E-2</v>
      </c>
      <c r="G1488" s="21">
        <v>6600.4</v>
      </c>
      <c r="H1488" s="22">
        <v>1</v>
      </c>
      <c r="I1488" s="23" cm="1">
        <f t="array" ref="I1488">IF(D1488="","",(G1488*C1488)*0.00075)</f>
        <v>14.999408999999996</v>
      </c>
      <c r="J1488" s="23" cm="1">
        <f t="array" ref="J1488">IF(D1488="","",(G1488*D1488)*0.00075)</f>
        <v>13.613325</v>
      </c>
      <c r="K1488" s="24" cm="1">
        <f t="array" ref="K1488">IF(D1488="","",J1488+I1488)</f>
        <v>28.612733999999996</v>
      </c>
      <c r="L1488" s="24" cm="1">
        <f t="array" ref="L1488">IF(D1488=0,0,(D1488-C1488)*G1488)</f>
        <v>-1848.1119999999987</v>
      </c>
      <c r="M1488" s="25">
        <v>21833.710674999998</v>
      </c>
      <c r="N1488" s="26" cm="1">
        <f t="array" ref="N1488">IFERROR((K1488-J1488)/J1488,"–")</f>
        <v>1.1018181818181816</v>
      </c>
      <c r="O1488" s="24" cm="1">
        <f t="array" ref="O1488">IF(D1488=0,0,L1488-K1488)</f>
        <v>-1876.7247339999988</v>
      </c>
      <c r="P1488" s="44" t="s">
        <v>435</v>
      </c>
      <c r="Q1488" s="27"/>
    </row>
    <row r="1489" spans="1:17" ht="22.5" customHeight="1">
      <c r="A1489" s="16" t="s">
        <v>261</v>
      </c>
      <c r="B1489" s="42">
        <v>44592</v>
      </c>
      <c r="C1489" s="36">
        <v>9.5939999999999994</v>
      </c>
      <c r="D1489" s="36">
        <v>9.4288000000000007</v>
      </c>
      <c r="E1489" s="30" cm="1">
        <f t="array" ref="E1489">IF(D1489="","",D1489-C1489)</f>
        <v>-0.16519999999999868</v>
      </c>
      <c r="F1489" s="31" cm="1">
        <f t="array" ref="F1489">IF(D1489=0,"",(D1489-C1489)/C1489)</f>
        <v>-1.7219095267875618E-2</v>
      </c>
      <c r="G1489" s="32">
        <v>250</v>
      </c>
      <c r="H1489" s="10">
        <v>1</v>
      </c>
      <c r="I1489" s="11" cm="1">
        <f t="array" ref="I1489">IF(D1489="","",(G1489*C1489)*0.00075)</f>
        <v>1.798875</v>
      </c>
      <c r="J1489" s="11" cm="1">
        <f t="array" ref="J1489">IF(D1489="","",(G1489*D1489)*0.00075)</f>
        <v>1.7679000000000002</v>
      </c>
      <c r="K1489" s="33" cm="1">
        <f t="array" ref="K1489">IF(D1489="","",J1489+I1489)</f>
        <v>3.5667750000000003</v>
      </c>
      <c r="L1489" s="33" cm="1">
        <f t="array" ref="L1489">IF(D1489=0,0,(D1489-C1489)*G1489)</f>
        <v>-41.29999999999967</v>
      </c>
      <c r="M1489" s="12">
        <v>2438.0320999999999</v>
      </c>
      <c r="N1489" s="34" cm="1">
        <f t="array" ref="N1489">IFERROR((K1489-J1489)/J1489,"–")</f>
        <v>1.0175207873748513</v>
      </c>
      <c r="O1489" s="33" cm="1">
        <f t="array" ref="O1489">IF(D1489=0,0,L1489-K1489)</f>
        <v>-44.86677499999967</v>
      </c>
      <c r="P1489" s="11" cm="1">
        <f t="array" ref="P1489">SUM(O1427:O1489)</f>
        <v>-1007.1412470974936</v>
      </c>
      <c r="Q1489" s="35"/>
    </row>
    <row r="1490" spans="1:17" ht="22.5" customHeight="1">
      <c r="A1490" s="7"/>
      <c r="B1490" s="40"/>
      <c r="C1490" s="37"/>
      <c r="D1490" s="37"/>
      <c r="E1490" s="40" t="str" cm="1">
        <f t="array" ref="E1490">IF(D1490="","",D1490-C1490)</f>
        <v/>
      </c>
      <c r="F1490" s="40" t="str" cm="1">
        <f t="array" ref="F1490">IF(D1490=0,"",(D1490-C1490)/C1490)</f>
        <v/>
      </c>
      <c r="G1490" s="21"/>
      <c r="H1490" s="22">
        <v>1</v>
      </c>
      <c r="I1490" s="40" t="str" cm="1">
        <f t="array" ref="I1490">IF(D1490="","",(G1490*C1490)*0.00075)</f>
        <v/>
      </c>
      <c r="J1490" s="40" t="str" cm="1">
        <f t="array" ref="J1490">IF(D1490="","",(G1490*D1490)*0.00075)</f>
        <v/>
      </c>
      <c r="K1490" s="40" t="str" cm="1">
        <f t="array" ref="K1490">IF(D1490="","",J1490+I1490)</f>
        <v/>
      </c>
      <c r="L1490" s="24" cm="1">
        <f t="array" ref="L1490">IF(D1490=0,0,(D1490-C1490)*G1490)</f>
        <v>0</v>
      </c>
      <c r="M1490" s="46" t="s">
        <v>13</v>
      </c>
      <c r="N1490" s="47" t="str" cm="1">
        <f t="array" ref="N1490">IFERROR((K1490-J1490)/J1490,"–")</f>
        <v>–</v>
      </c>
      <c r="O1490" s="24" cm="1">
        <f t="array" ref="O1490">IF(D1490=0,0,L1490-K1490)</f>
        <v>0</v>
      </c>
      <c r="P1490" s="23"/>
      <c r="Q1490" s="27"/>
    </row>
    <row r="1491" spans="1:17" ht="22.5" customHeight="1">
      <c r="A1491" s="16" t="s">
        <v>199</v>
      </c>
      <c r="B1491" s="28">
        <v>44593</v>
      </c>
      <c r="C1491" s="36">
        <v>47.35</v>
      </c>
      <c r="D1491" s="36">
        <v>53</v>
      </c>
      <c r="E1491" s="30" cm="1">
        <f t="array" ref="E1491">IF(D1491="","",D1491-C1491)</f>
        <v>5.6499999999999986</v>
      </c>
      <c r="F1491" s="31" cm="1">
        <f t="array" ref="F1491">IF(D1491=0,"",(D1491-C1491)/C1491)</f>
        <v>0.11932418162618792</v>
      </c>
      <c r="G1491" s="32">
        <v>100</v>
      </c>
      <c r="H1491" s="10">
        <v>1</v>
      </c>
      <c r="I1491" s="11" cm="1">
        <f t="array" ref="I1491">IF(D1491="","",(G1491*C1491)*0.00075)</f>
        <v>3.55125</v>
      </c>
      <c r="J1491" s="11" cm="1">
        <f t="array" ref="J1491">IF(D1491="","",(G1491*D1491)*0.00075)</f>
        <v>3.9750000000000001</v>
      </c>
      <c r="K1491" s="33" cm="1">
        <f t="array" ref="K1491">IF(D1491="","",J1491+I1491)</f>
        <v>7.5262500000000001</v>
      </c>
      <c r="L1491" s="33" cm="1">
        <f t="array" ref="L1491">IF(D1491=0,0,(D1491-C1491)*G1491)</f>
        <v>564.99999999999989</v>
      </c>
      <c r="M1491" s="12">
        <v>4166.0249999999996</v>
      </c>
      <c r="N1491" s="34" cm="1">
        <f t="array" ref="N1491">IFERROR((K1491-J1491)/J1491,"–")</f>
        <v>0.89339622641509431</v>
      </c>
      <c r="O1491" s="33" cm="1">
        <f t="array" ref="O1491">IF(D1491=0,0,L1491-K1491)</f>
        <v>557.47374999999988</v>
      </c>
      <c r="P1491" s="11"/>
      <c r="Q1491" s="35"/>
    </row>
    <row r="1492" spans="1:17" ht="22.5" customHeight="1">
      <c r="A1492" s="16" t="s">
        <v>284</v>
      </c>
      <c r="B1492" s="17">
        <v>44594</v>
      </c>
      <c r="C1492" s="37">
        <v>4.3490000000000001E-2</v>
      </c>
      <c r="D1492" s="37">
        <v>4.4299999999999999E-2</v>
      </c>
      <c r="E1492" s="19" cm="1">
        <f t="array" ref="E1492">IF(D1492="","",D1492-C1492)</f>
        <v>8.0999999999999822E-4</v>
      </c>
      <c r="F1492" s="20" cm="1">
        <f t="array" ref="F1492">IF(D1492=0,"",(D1492-C1492)/C1492)</f>
        <v>1.8624971257760362E-2</v>
      </c>
      <c r="G1492" s="21">
        <v>137934.29999999999</v>
      </c>
      <c r="H1492" s="22">
        <v>1</v>
      </c>
      <c r="I1492" s="23" cm="1">
        <f t="array" ref="I1492">IF(D1492="","",(G1492*C1492)*0.00075)</f>
        <v>4.4990720302499998</v>
      </c>
      <c r="J1492" s="23" cm="1">
        <f t="array" ref="J1492">IF(D1492="","",(G1492*D1492)*0.00075)</f>
        <v>4.5828671174999993</v>
      </c>
      <c r="K1492" s="24" cm="1">
        <f t="array" ref="K1492">IF(D1492="","",J1492+I1492)</f>
        <v>9.0819391477499991</v>
      </c>
      <c r="L1492" s="24" cm="1">
        <f t="array" ref="L1492">IF(D1492=0,0,(D1492-C1492)*G1492)</f>
        <v>111.72678299999974</v>
      </c>
      <c r="M1492" s="25">
        <v>5882.4530568825003</v>
      </c>
      <c r="N1492" s="26" cm="1">
        <f t="array" ref="N1492">IFERROR((K1492-J1492)/J1492,"–")</f>
        <v>0.98171557562076761</v>
      </c>
      <c r="O1492" s="24" cm="1">
        <f t="array" ref="O1492">IF(D1492=0,0,L1492-K1492)</f>
        <v>102.64484385224975</v>
      </c>
      <c r="P1492" s="23"/>
      <c r="Q1492" s="27"/>
    </row>
    <row r="1493" spans="1:17" ht="22.5" customHeight="1">
      <c r="A1493" s="16" t="s">
        <v>63</v>
      </c>
      <c r="B1493" s="28">
        <v>44594</v>
      </c>
      <c r="C1493" s="36">
        <v>0.13320000000000001</v>
      </c>
      <c r="D1493" s="36">
        <v>0.13339999999999999</v>
      </c>
      <c r="E1493" s="30" cm="1">
        <f t="array" ref="E1493">IF(D1493="","",D1493-C1493)</f>
        <v>1.9999999999997797E-4</v>
      </c>
      <c r="F1493" s="31" cm="1">
        <f t="array" ref="F1493">IF(D1493=0,"",(D1493-C1493)/C1493)</f>
        <v>1.501501501501336E-3</v>
      </c>
      <c r="G1493" s="32">
        <v>30029</v>
      </c>
      <c r="H1493" s="10">
        <v>1</v>
      </c>
      <c r="I1493" s="11" cm="1">
        <f t="array" ref="I1493">IF(D1493="","",(G1493*C1493)*0.00075)</f>
        <v>2.9998971000000001</v>
      </c>
      <c r="J1493" s="11" cm="1">
        <f t="array" ref="J1493">IF(D1493="","",(G1493*D1493)*0.00075)</f>
        <v>3.00440145</v>
      </c>
      <c r="K1493" s="33" cm="1">
        <f t="array" ref="K1493">IF(D1493="","",J1493+I1493)</f>
        <v>6.0042985499999997</v>
      </c>
      <c r="L1493" s="33" cm="1">
        <f t="array" ref="L1493">IF(D1493=0,0,(D1493-C1493)*G1493)</f>
        <v>6.0057999999993381</v>
      </c>
      <c r="M1493" s="12">
        <v>3990.85259855</v>
      </c>
      <c r="N1493" s="34" cm="1">
        <f t="array" ref="N1493">IFERROR((K1493-J1493)/J1493,"–")</f>
        <v>0.99850074962518731</v>
      </c>
      <c r="O1493" s="33" cm="1">
        <f t="array" ref="O1493">IF(D1493=0,0,L1493-K1493)</f>
        <v>1.5014499993384334E-3</v>
      </c>
      <c r="P1493" s="11"/>
      <c r="Q1493" s="35"/>
    </row>
    <row r="1494" spans="1:17" ht="22.5" customHeight="1">
      <c r="A1494" s="16" t="s">
        <v>285</v>
      </c>
      <c r="B1494" s="17">
        <v>44595</v>
      </c>
      <c r="C1494" s="37">
        <v>3.3290000000000002</v>
      </c>
      <c r="D1494" s="37">
        <v>3.3439999999999999</v>
      </c>
      <c r="E1494" s="19" cm="1">
        <f t="array" ref="E1494">IF(D1494="","",D1494-C1494)</f>
        <v>1.499999999999968E-2</v>
      </c>
      <c r="F1494" s="20" cm="1">
        <f t="array" ref="F1494">IF(D1494=0,"",(D1494-C1494)/C1494)</f>
        <v>4.5058576148992733E-3</v>
      </c>
      <c r="G1494" s="21">
        <v>3003.26</v>
      </c>
      <c r="H1494" s="22">
        <v>1</v>
      </c>
      <c r="I1494" s="23" cm="1">
        <f t="array" ref="I1494">IF(D1494="","",(G1494*C1494)*0.00075)</f>
        <v>7.4983894050000011</v>
      </c>
      <c r="J1494" s="23" cm="1">
        <f t="array" ref="J1494">IF(D1494="","",(G1494*D1494)*0.00075)</f>
        <v>7.5321760800000002</v>
      </c>
      <c r="K1494" s="24" cm="1">
        <f t="array" ref="K1494">IF(D1494="","",J1494+I1494)</f>
        <v>15.030565485</v>
      </c>
      <c r="L1494" s="24" cm="1">
        <f t="array" ref="L1494">IF(D1494=0,0,(D1494-C1494)*G1494)</f>
        <v>45.048899999999044</v>
      </c>
      <c r="M1494" s="25">
        <v>9945.2714639200003</v>
      </c>
      <c r="N1494" s="26" cm="1">
        <f t="array" ref="N1494">IFERROR((K1494-J1494)/J1494,"–")</f>
        <v>0.99551435406698563</v>
      </c>
      <c r="O1494" s="24" cm="1">
        <f t="array" ref="O1494">IF(D1494=0,0,L1494-K1494)</f>
        <v>30.018334514999044</v>
      </c>
      <c r="P1494" s="23"/>
      <c r="Q1494" s="27"/>
    </row>
    <row r="1495" spans="1:17" ht="22.5" customHeight="1">
      <c r="A1495" s="16" t="s">
        <v>105</v>
      </c>
      <c r="B1495" s="28">
        <v>44595</v>
      </c>
      <c r="C1495" s="36">
        <v>0.3125</v>
      </c>
      <c r="D1495" s="36">
        <v>0.31059999999999999</v>
      </c>
      <c r="E1495" s="30" cm="1">
        <f t="array" ref="E1495">IF(D1495="","",D1495-C1495)</f>
        <v>-1.9000000000000128E-3</v>
      </c>
      <c r="F1495" s="31" cm="1">
        <f t="array" ref="F1495">IF(D1495=0,"",(D1495-C1495)/C1495)</f>
        <v>-6.0800000000000411E-3</v>
      </c>
      <c r="G1495" s="32">
        <v>19196</v>
      </c>
      <c r="H1495" s="10">
        <v>1</v>
      </c>
      <c r="I1495" s="11" cm="1">
        <f t="array" ref="I1495">IF(D1495="","",(G1495*C1495)*0.00075)</f>
        <v>4.4990625</v>
      </c>
      <c r="J1495" s="11" cm="1">
        <f t="array" ref="J1495">IF(D1495="","",(G1495*D1495)*0.00075)</f>
        <v>4.4717081999999992</v>
      </c>
      <c r="K1495" s="33" cm="1">
        <f t="array" ref="K1495">IF(D1495="","",J1495+I1495)</f>
        <v>8.9707706999999992</v>
      </c>
      <c r="L1495" s="33" cm="1">
        <f t="array" ref="L1495">IF(D1495=0,0,(D1495-C1495)*G1495)</f>
        <v>-36.472400000000249</v>
      </c>
      <c r="M1495" s="12">
        <v>6030.7506917999999</v>
      </c>
      <c r="N1495" s="34" cm="1">
        <f t="array" ref="N1495">IFERROR((K1495-J1495)/J1495,"–")</f>
        <v>1.0061171925305861</v>
      </c>
      <c r="O1495" s="33" cm="1">
        <f t="array" ref="O1495">IF(D1495=0,0,L1495-K1495)</f>
        <v>-45.443170700000252</v>
      </c>
      <c r="P1495" s="11"/>
      <c r="Q1495" s="35"/>
    </row>
    <row r="1496" spans="1:17" ht="22.5" customHeight="1">
      <c r="A1496" s="16" t="s">
        <v>233</v>
      </c>
      <c r="B1496" s="17">
        <v>44595</v>
      </c>
      <c r="C1496" s="37">
        <v>1.4886999999999999</v>
      </c>
      <c r="D1496" s="37">
        <v>1.4797</v>
      </c>
      <c r="E1496" s="19" cm="1">
        <f t="array" ref="E1496">IF(D1496="","",D1496-C1496)</f>
        <v>-8.999999999999897E-3</v>
      </c>
      <c r="F1496" s="20" cm="1">
        <f t="array" ref="F1496">IF(D1496=0,"",(D1496-C1496)/C1496)</f>
        <v>-6.0455430912876315E-3</v>
      </c>
      <c r="G1496" s="21">
        <v>4030.1</v>
      </c>
      <c r="H1496" s="22">
        <v>1</v>
      </c>
      <c r="I1496" s="23" cm="1">
        <f t="array" ref="I1496">IF(D1496="","",(G1496*C1496)*0.00075)</f>
        <v>4.4997074024999995</v>
      </c>
      <c r="J1496" s="23" cm="1">
        <f t="array" ref="J1496">IF(D1496="","",(G1496*D1496)*0.00075)</f>
        <v>4.4725042275</v>
      </c>
      <c r="K1496" s="24" cm="1">
        <f t="array" ref="K1496">IF(D1496="","",J1496+I1496)</f>
        <v>8.9722116300000003</v>
      </c>
      <c r="L1496" s="24" cm="1">
        <f t="array" ref="L1496">IF(D1496=0,0,(D1496-C1496)*G1496)</f>
        <v>-36.270899999999585</v>
      </c>
      <c r="M1496" s="25">
        <v>6031.4082657725003</v>
      </c>
      <c r="N1496" s="26" cm="1">
        <f t="array" ref="N1496">IFERROR((K1496-J1496)/J1496,"–")</f>
        <v>1.0060823139825641</v>
      </c>
      <c r="O1496" s="24" cm="1">
        <f t="array" ref="O1496">IF(D1496=0,0,L1496-K1496)</f>
        <v>-45.243111629999589</v>
      </c>
      <c r="P1496" s="23"/>
      <c r="Q1496" s="27"/>
    </row>
    <row r="1497" spans="1:17" ht="22.5" customHeight="1">
      <c r="A1497" s="16" t="s">
        <v>79</v>
      </c>
      <c r="B1497" s="28">
        <v>44596</v>
      </c>
      <c r="C1497" s="36">
        <v>425.56</v>
      </c>
      <c r="D1497" s="36">
        <v>428.77</v>
      </c>
      <c r="E1497" s="30" cm="1">
        <f t="array" ref="E1497">IF(D1497="","",D1497-C1497)</f>
        <v>3.2099999999999795</v>
      </c>
      <c r="F1497" s="31" cm="1">
        <f t="array" ref="F1497">IF(D1497=0,"",(D1497-C1497)/C1497)</f>
        <v>7.5430021618572689E-3</v>
      </c>
      <c r="G1497" s="32">
        <v>14.099</v>
      </c>
      <c r="H1497" s="10">
        <v>1</v>
      </c>
      <c r="I1497" s="11" cm="1">
        <f t="array" ref="I1497">IF(D1497="","",(G1497*C1497)*0.00075)</f>
        <v>4.4999778299999997</v>
      </c>
      <c r="J1497" s="11" cm="1">
        <f t="array" ref="J1497">IF(D1497="","",(G1497*D1497)*0.00075)</f>
        <v>4.5339211724999995</v>
      </c>
      <c r="K1497" s="33" cm="1">
        <f t="array" ref="K1497">IF(D1497="","",J1497+I1497)</f>
        <v>9.0338990025000001</v>
      </c>
      <c r="L1497" s="33" cm="1">
        <f t="array" ref="L1497">IF(D1497=0,0,(D1497-C1497)*G1497)</f>
        <v>45.257789999999709</v>
      </c>
      <c r="M1497" s="12">
        <v>5950.1787288275</v>
      </c>
      <c r="N1497" s="34" cm="1">
        <f t="array" ref="N1497">IFERROR((K1497-J1497)/J1497,"–")</f>
        <v>0.99251346875947499</v>
      </c>
      <c r="O1497" s="33" cm="1">
        <f t="array" ref="O1497">IF(D1497=0,0,L1497-K1497)</f>
        <v>36.223890997499709</v>
      </c>
      <c r="P1497" s="11"/>
      <c r="Q1497" s="35"/>
    </row>
    <row r="1498" spans="1:17" ht="22.5" customHeight="1">
      <c r="A1498" s="16" t="s">
        <v>153</v>
      </c>
      <c r="B1498" s="17">
        <v>44596</v>
      </c>
      <c r="C1498" s="37">
        <v>0.1323</v>
      </c>
      <c r="D1498" s="37">
        <v>0.13070000000000001</v>
      </c>
      <c r="E1498" s="19" cm="1">
        <f t="array" ref="E1498">IF(D1498="","",D1498-C1498)</f>
        <v>-1.5999999999999903E-3</v>
      </c>
      <c r="F1498" s="20" cm="1">
        <f t="array" ref="F1498">IF(D1498=0,"",(D1498-C1498)/C1498)</f>
        <v>-1.2093726379440593E-2</v>
      </c>
      <c r="G1498" s="21">
        <v>60440</v>
      </c>
      <c r="H1498" s="22">
        <v>1</v>
      </c>
      <c r="I1498" s="23" cm="1">
        <f t="array" ref="I1498">IF(D1498="","",(G1498*C1498)*0.00075)</f>
        <v>5.9971590000000008</v>
      </c>
      <c r="J1498" s="23" cm="1">
        <f t="array" ref="J1498">IF(D1498="","",(G1498*D1498)*0.00075)</f>
        <v>5.9246310000000006</v>
      </c>
      <c r="K1498" s="24" cm="1">
        <f t="array" ref="K1498">IF(D1498="","",J1498+I1498)</f>
        <v>11.921790000000001</v>
      </c>
      <c r="L1498" s="24" cm="1">
        <f t="array" ref="L1498">IF(D1498=0,0,(D1498-C1498)*G1498)</f>
        <v>-96.703999999999411</v>
      </c>
      <c r="M1498" s="25">
        <v>8086.9913690000003</v>
      </c>
      <c r="N1498" s="26" cm="1">
        <f t="array" ref="N1498">IFERROR((K1498-J1498)/J1498,"–")</f>
        <v>1.0122417750573833</v>
      </c>
      <c r="O1498" s="24" cm="1">
        <f t="array" ref="O1498">IF(D1498=0,0,L1498-K1498)</f>
        <v>-108.62578999999941</v>
      </c>
      <c r="P1498" s="23"/>
      <c r="Q1498" s="27"/>
    </row>
    <row r="1499" spans="1:17" ht="22.5" customHeight="1">
      <c r="A1499" s="16" t="s">
        <v>185</v>
      </c>
      <c r="B1499" s="28">
        <v>44596</v>
      </c>
      <c r="C1499" s="36">
        <v>1.62</v>
      </c>
      <c r="D1499" s="36">
        <v>1.63</v>
      </c>
      <c r="E1499" s="30" cm="1">
        <f t="array" ref="E1499">IF(D1499="","",D1499-C1499)</f>
        <v>9.9999999999997868E-3</v>
      </c>
      <c r="F1499" s="31" cm="1">
        <f t="array" ref="F1499">IF(D1499=0,"",(D1499-C1499)/C1499)</f>
        <v>6.1728395061727073E-3</v>
      </c>
      <c r="G1499" s="32">
        <v>2468.9</v>
      </c>
      <c r="H1499" s="10">
        <v>1</v>
      </c>
      <c r="I1499" s="11" cm="1">
        <f t="array" ref="I1499">IF(D1499="","",(G1499*C1499)*0.00075)</f>
        <v>2.9997135000000004</v>
      </c>
      <c r="J1499" s="11" cm="1">
        <f t="array" ref="J1499">IF(D1499="","",(G1499*D1499)*0.00075)</f>
        <v>3.0182302499999998</v>
      </c>
      <c r="K1499" s="33" cm="1">
        <f t="array" ref="K1499">IF(D1499="","",J1499+I1499)</f>
        <v>6.0179437500000006</v>
      </c>
      <c r="L1499" s="33" cm="1">
        <f t="array" ref="L1499">IF(D1499=0,0,(D1499-C1499)*G1499)</f>
        <v>24.688999999999474</v>
      </c>
      <c r="M1499" s="12">
        <v>3971.9107697499999</v>
      </c>
      <c r="N1499" s="34" cm="1">
        <f t="array" ref="N1499">IFERROR((K1499-J1499)/J1499,"–")</f>
        <v>0.99386503067484699</v>
      </c>
      <c r="O1499" s="33" cm="1">
        <f t="array" ref="O1499">IF(D1499=0,0,L1499-K1499)</f>
        <v>18.671056249999474</v>
      </c>
      <c r="P1499" s="11"/>
      <c r="Q1499" s="35"/>
    </row>
    <row r="1500" spans="1:17" ht="22.5" customHeight="1">
      <c r="A1500" s="16" t="s">
        <v>125</v>
      </c>
      <c r="B1500" s="17">
        <v>44596</v>
      </c>
      <c r="C1500" s="37">
        <v>3.69</v>
      </c>
      <c r="D1500" s="37">
        <v>3.85</v>
      </c>
      <c r="E1500" s="19" cm="1">
        <f t="array" ref="E1500">IF(D1500="","",D1500-C1500)</f>
        <v>0.16000000000000014</v>
      </c>
      <c r="F1500" s="20" cm="1">
        <f t="array" ref="F1500">IF(D1500=0,"",(D1500-C1500)/C1500)</f>
        <v>4.3360433604336085E-2</v>
      </c>
      <c r="G1500" s="21">
        <v>1625.9</v>
      </c>
      <c r="H1500" s="22">
        <v>1</v>
      </c>
      <c r="I1500" s="23" cm="1">
        <f t="array" ref="I1500">IF(D1500="","",(G1500*C1500)*0.00075)</f>
        <v>4.4996782499999997</v>
      </c>
      <c r="J1500" s="23" cm="1">
        <f t="array" ref="J1500">IF(D1500="","",(G1500*D1500)*0.00075)</f>
        <v>4.6947862499999999</v>
      </c>
      <c r="K1500" s="24" cm="1">
        <f t="array" ref="K1500">IF(D1500="","",J1500+I1500)</f>
        <v>9.1944644999999987</v>
      </c>
      <c r="L1500" s="24" cm="1">
        <f t="array" ref="L1500">IF(D1500=0,0,(D1500-C1500)*G1500)</f>
        <v>260.14400000000023</v>
      </c>
      <c r="M1500" s="25">
        <v>5734.7322137499996</v>
      </c>
      <c r="N1500" s="26" cm="1">
        <f t="array" ref="N1500">IFERROR((K1500-J1500)/J1500,"–")</f>
        <v>0.95844155844155821</v>
      </c>
      <c r="O1500" s="24" cm="1">
        <f t="array" ref="O1500">IF(D1500=0,0,L1500-K1500)</f>
        <v>250.94953550000022</v>
      </c>
      <c r="P1500" s="23"/>
      <c r="Q1500" s="27"/>
    </row>
    <row r="1501" spans="1:17" ht="22.5" customHeight="1">
      <c r="A1501" s="16" t="s">
        <v>108</v>
      </c>
      <c r="B1501" s="28">
        <v>44596</v>
      </c>
      <c r="C1501" s="36">
        <v>11.632999999999999</v>
      </c>
      <c r="D1501" s="36">
        <v>11.743</v>
      </c>
      <c r="E1501" s="30" cm="1">
        <f t="array" ref="E1501">IF(D1501="","",D1501-C1501)</f>
        <v>0.11000000000000121</v>
      </c>
      <c r="F1501" s="31" cm="1">
        <f t="array" ref="F1501">IF(D1501=0,"",(D1501-C1501)/C1501)</f>
        <v>9.4558583340497906E-3</v>
      </c>
      <c r="G1501" s="32">
        <v>1031.4000000000001</v>
      </c>
      <c r="H1501" s="10">
        <v>1</v>
      </c>
      <c r="I1501" s="11" cm="1">
        <f t="array" ref="I1501">IF(D1501="","",(G1501*C1501)*0.00075)</f>
        <v>8.9987071499999995</v>
      </c>
      <c r="J1501" s="11" cm="1">
        <f t="array" ref="J1501">IF(D1501="","",(G1501*D1501)*0.00075)</f>
        <v>9.0837976500000011</v>
      </c>
      <c r="K1501" s="33" cm="1">
        <f t="array" ref="K1501">IF(D1501="","",J1501+I1501)</f>
        <v>18.082504800000002</v>
      </c>
      <c r="L1501" s="33" cm="1">
        <f t="array" ref="L1501">IF(D1501=0,0,(D1501-C1501)*G1501)</f>
        <v>113.45400000000126</v>
      </c>
      <c r="M1501" s="12">
        <v>11875.73840235</v>
      </c>
      <c r="N1501" s="34" cm="1">
        <f t="array" ref="N1501">IFERROR((K1501-J1501)/J1501,"–")</f>
        <v>0.99063271736353575</v>
      </c>
      <c r="O1501" s="33" cm="1">
        <f t="array" ref="O1501">IF(D1501=0,0,L1501-K1501)</f>
        <v>95.371495200001249</v>
      </c>
      <c r="P1501" s="11"/>
      <c r="Q1501" s="35"/>
    </row>
    <row r="1502" spans="1:17" ht="22.5" customHeight="1">
      <c r="A1502" s="16" t="s">
        <v>168</v>
      </c>
      <c r="B1502" s="17">
        <v>44596</v>
      </c>
      <c r="C1502" s="37">
        <v>1.8028999999999999</v>
      </c>
      <c r="D1502" s="37">
        <v>1.82</v>
      </c>
      <c r="E1502" s="19" cm="1">
        <f t="array" ref="E1502">IF(D1502="","",D1502-C1502)</f>
        <v>1.7100000000000115E-2</v>
      </c>
      <c r="F1502" s="20" cm="1">
        <f t="array" ref="F1502">IF(D1502=0,"",(D1502-C1502)/C1502)</f>
        <v>9.4847190637307194E-3</v>
      </c>
      <c r="G1502" s="21">
        <v>9983.9</v>
      </c>
      <c r="H1502" s="22">
        <v>1</v>
      </c>
      <c r="I1502" s="23" cm="1">
        <f t="array" ref="I1502">IF(D1502="","",(G1502*C1502)*0.00075)</f>
        <v>13.499979982499999</v>
      </c>
      <c r="J1502" s="23" cm="1">
        <f t="array" ref="J1502">IF(D1502="","",(G1502*D1502)*0.00075)</f>
        <v>13.628023500000001</v>
      </c>
      <c r="K1502" s="24" cm="1">
        <f t="array" ref="K1502">IF(D1502="","",J1502+I1502)</f>
        <v>27.128003482499999</v>
      </c>
      <c r="L1502" s="24" cm="1">
        <f t="array" ref="L1502">IF(D1502=0,0,(D1502-C1502)*G1502)</f>
        <v>170.72469000000115</v>
      </c>
      <c r="M1502" s="25">
        <v>17815.620596500001</v>
      </c>
      <c r="N1502" s="26" cm="1">
        <f t="array" ref="N1502">IFERROR((K1502-J1502)/J1502,"–")</f>
        <v>0.99060439560439528</v>
      </c>
      <c r="O1502" s="24" cm="1">
        <f t="array" ref="O1502">IF(D1502=0,0,L1502-K1502)</f>
        <v>143.59668651750115</v>
      </c>
      <c r="P1502" s="23"/>
      <c r="Q1502" s="27"/>
    </row>
    <row r="1503" spans="1:17" ht="22.5" customHeight="1">
      <c r="A1503" s="16" t="s">
        <v>284</v>
      </c>
      <c r="B1503" s="28">
        <v>44596</v>
      </c>
      <c r="C1503" s="36">
        <v>4.2349999999999999E-2</v>
      </c>
      <c r="D1503" s="36">
        <v>4.1640000000000003E-2</v>
      </c>
      <c r="E1503" s="30" cm="1">
        <f t="array" ref="E1503">IF(D1503="","",D1503-C1503)</f>
        <v>-7.0999999999999536E-4</v>
      </c>
      <c r="F1503" s="31" cm="1">
        <f t="array" ref="F1503">IF(D1503=0,"",(D1503-C1503)/C1503)</f>
        <v>-1.6765053128689384E-2</v>
      </c>
      <c r="G1503" s="32">
        <v>708238.4</v>
      </c>
      <c r="H1503" s="10">
        <v>1</v>
      </c>
      <c r="I1503" s="11" cm="1">
        <f t="array" ref="I1503">IF(D1503="","",(G1503*C1503)*0.00075)</f>
        <v>22.495422180000002</v>
      </c>
      <c r="J1503" s="11" cm="1">
        <f t="array" ref="J1503">IF(D1503="","",(G1503*D1503)*0.00075)</f>
        <v>22.118285232000005</v>
      </c>
      <c r="K1503" s="33" cm="1">
        <f t="array" ref="K1503">IF(D1503="","",J1503+I1503)</f>
        <v>44.613707412000011</v>
      </c>
      <c r="L1503" s="33" cm="1">
        <f t="array" ref="L1503">IF(D1503=0,0,(D1503-C1503)*G1503)</f>
        <v>-502.84926399999671</v>
      </c>
      <c r="M1503" s="12">
        <v>30474.627218768001</v>
      </c>
      <c r="N1503" s="34" cm="1">
        <f t="array" ref="N1503">IFERROR((K1503-J1503)/J1503,"–")</f>
        <v>1.0170509125840539</v>
      </c>
      <c r="O1503" s="33" cm="1">
        <f t="array" ref="O1503">IF(D1503=0,0,L1503-K1503)</f>
        <v>-547.4629714119967</v>
      </c>
      <c r="P1503" s="11"/>
      <c r="Q1503" s="35"/>
    </row>
    <row r="1504" spans="1:17" ht="22.5" customHeight="1">
      <c r="A1504" s="16" t="s">
        <v>144</v>
      </c>
      <c r="B1504" s="17">
        <v>44597</v>
      </c>
      <c r="C1504" s="37">
        <v>2.9152000000000001E-2</v>
      </c>
      <c r="D1504" s="37">
        <v>2.8819999999999998E-2</v>
      </c>
      <c r="E1504" s="19" cm="1">
        <f t="array" ref="E1504">IF(D1504="","",D1504-C1504)</f>
        <v>-3.3200000000000243E-4</v>
      </c>
      <c r="F1504" s="20" cm="1">
        <f t="array" ref="F1504">IF(D1504=0,"",(D1504-C1504)/C1504)</f>
        <v>-1.1388583973655407E-2</v>
      </c>
      <c r="G1504" s="21">
        <v>1029029</v>
      </c>
      <c r="H1504" s="22">
        <v>1</v>
      </c>
      <c r="I1504" s="23" cm="1">
        <f t="array" ref="I1504">IF(D1504="","",(G1504*C1504)*0.00075)</f>
        <v>22.498690056000001</v>
      </c>
      <c r="J1504" s="23" cm="1">
        <f t="array" ref="J1504">IF(D1504="","",(G1504*D1504)*0.00075)</f>
        <v>22.242461835</v>
      </c>
      <c r="K1504" s="24" cm="1">
        <f t="array" ref="K1504">IF(D1504="","",J1504+I1504)</f>
        <v>44.741151891000001</v>
      </c>
      <c r="L1504" s="24" cm="1">
        <f t="array" ref="L1504">IF(D1504=0,0,(D1504-C1504)*G1504)</f>
        <v>-341.63762800000251</v>
      </c>
      <c r="M1504" s="25">
        <v>30317.648574164999</v>
      </c>
      <c r="N1504" s="26" cm="1">
        <f t="array" ref="N1504">IFERROR((K1504-J1504)/J1504,"–")</f>
        <v>1.0115197779319918</v>
      </c>
      <c r="O1504" s="24" cm="1">
        <f t="array" ref="O1504">IF(D1504=0,0,L1504-K1504)</f>
        <v>-386.37877989100252</v>
      </c>
      <c r="P1504" s="23"/>
      <c r="Q1504" s="27"/>
    </row>
    <row r="1505" spans="1:17" ht="22.5" customHeight="1">
      <c r="A1505" s="16" t="s">
        <v>286</v>
      </c>
      <c r="B1505" s="28">
        <v>44597</v>
      </c>
      <c r="C1505" s="36">
        <v>2.8940000000000001</v>
      </c>
      <c r="D1505" s="36">
        <v>2.8959999999999999</v>
      </c>
      <c r="E1505" s="30" cm="1">
        <f t="array" ref="E1505">IF(D1505="","",D1505-C1505)</f>
        <v>1.9999999999997797E-3</v>
      </c>
      <c r="F1505" s="31" cm="1">
        <f t="array" ref="F1505">IF(D1505=0,"",(D1505-C1505)/C1505)</f>
        <v>6.9108500345534888E-4</v>
      </c>
      <c r="G1505" s="32">
        <v>5181.8</v>
      </c>
      <c r="H1505" s="10">
        <v>1</v>
      </c>
      <c r="I1505" s="11" cm="1">
        <f t="array" ref="I1505">IF(D1505="","",(G1505*C1505)*0.00075)</f>
        <v>11.247096900000001</v>
      </c>
      <c r="J1505" s="11" cm="1">
        <f t="array" ref="J1505">IF(D1505="","",(G1505*D1505)*0.00075)</f>
        <v>11.254869600000001</v>
      </c>
      <c r="K1505" s="33" cm="1">
        <f t="array" ref="K1505">IF(D1505="","",J1505+I1505)</f>
        <v>22.501966500000002</v>
      </c>
      <c r="L1505" s="33" cm="1">
        <f t="array" ref="L1505">IF(D1505=0,0,(D1505-C1505)*G1505)</f>
        <v>10.36359999999886</v>
      </c>
      <c r="M1505" s="12">
        <v>14974.510730399999</v>
      </c>
      <c r="N1505" s="34" cm="1">
        <f t="array" ref="N1505">IFERROR((K1505-J1505)/J1505,"–")</f>
        <v>0.99930939226519333</v>
      </c>
      <c r="O1505" s="33" cm="1">
        <f t="array" ref="O1505">IF(D1505=0,0,L1505-K1505)</f>
        <v>-12.138366500001142</v>
      </c>
      <c r="P1505" s="11"/>
      <c r="Q1505" s="35"/>
    </row>
    <row r="1506" spans="1:17" ht="22.5" customHeight="1">
      <c r="A1506" s="16" t="s">
        <v>173</v>
      </c>
      <c r="B1506" s="17">
        <v>44597</v>
      </c>
      <c r="C1506" s="37">
        <v>4.5970000000000004</v>
      </c>
      <c r="D1506" s="37">
        <v>4.6740000000000004</v>
      </c>
      <c r="E1506" s="19" cm="1">
        <f t="array" ref="E1506">IF(D1506="","",D1506-C1506)</f>
        <v>7.6999999999999957E-2</v>
      </c>
      <c r="F1506" s="20" cm="1">
        <f t="array" ref="F1506">IF(D1506=0,"",(D1506-C1506)/C1506)</f>
        <v>1.6750054383293442E-2</v>
      </c>
      <c r="G1506" s="21">
        <v>800</v>
      </c>
      <c r="H1506" s="22">
        <v>1</v>
      </c>
      <c r="I1506" s="23" cm="1">
        <f t="array" ref="I1506">IF(D1506="","",(G1506*C1506)*0.00075)</f>
        <v>2.7582000000000004</v>
      </c>
      <c r="J1506" s="23" cm="1">
        <f t="array" ref="J1506">IF(D1506="","",(G1506*D1506)*0.00075)</f>
        <v>2.8044000000000002</v>
      </c>
      <c r="K1506" s="24" cm="1">
        <f t="array" ref="K1506">IF(D1506="","",J1506+I1506)</f>
        <v>5.5626000000000007</v>
      </c>
      <c r="L1506" s="24" cm="1">
        <f t="array" ref="L1506">IF(D1506=0,0,(D1506-C1506)*G1506)</f>
        <v>61.599999999999966</v>
      </c>
      <c r="M1506" s="25">
        <v>3613.1956</v>
      </c>
      <c r="N1506" s="26" cm="1">
        <f t="array" ref="N1506">IFERROR((K1506-J1506)/J1506,"–")</f>
        <v>0.98352588789045792</v>
      </c>
      <c r="O1506" s="24" cm="1">
        <f t="array" ref="O1506">IF(D1506=0,0,L1506-K1506)</f>
        <v>56.037399999999963</v>
      </c>
      <c r="P1506" s="23"/>
      <c r="Q1506" s="27"/>
    </row>
    <row r="1507" spans="1:17" ht="22.5" customHeight="1">
      <c r="A1507" s="16" t="s">
        <v>173</v>
      </c>
      <c r="B1507" s="28">
        <v>44597</v>
      </c>
      <c r="C1507" s="36">
        <v>4.5199999999999996</v>
      </c>
      <c r="D1507" s="36">
        <v>4.6740000000000004</v>
      </c>
      <c r="E1507" s="30" cm="1">
        <f t="array" ref="E1507">IF(D1507="","",D1507-C1507)</f>
        <v>0.1540000000000008</v>
      </c>
      <c r="F1507" s="31" cm="1">
        <f t="array" ref="F1507">IF(D1507=0,"",(D1507-C1507)/C1507)</f>
        <v>3.4070796460177175E-2</v>
      </c>
      <c r="G1507" s="32">
        <v>137.5</v>
      </c>
      <c r="H1507" s="10">
        <v>1</v>
      </c>
      <c r="I1507" s="11" cm="1">
        <f t="array" ref="I1507">IF(D1507="","",(G1507*C1507)*0.00075)</f>
        <v>0.4661249999999999</v>
      </c>
      <c r="J1507" s="11" cm="1">
        <f t="array" ref="J1507">IF(D1507="","",(G1507*D1507)*0.00075)</f>
        <v>0.48200625000000008</v>
      </c>
      <c r="K1507" s="33" cm="1">
        <f t="array" ref="K1507">IF(D1507="","",J1507+I1507)</f>
        <v>0.94813124999999998</v>
      </c>
      <c r="L1507" s="33" cm="1">
        <f t="array" ref="L1507">IF(D1507=0,0,(D1507-C1507)*G1507)</f>
        <v>21.175000000000111</v>
      </c>
      <c r="M1507" s="12">
        <v>599.84299375000001</v>
      </c>
      <c r="N1507" s="34" cm="1">
        <f t="array" ref="N1507">IFERROR((K1507-J1507)/J1507,"–")</f>
        <v>0.96705177578091539</v>
      </c>
      <c r="O1507" s="33" cm="1">
        <f t="array" ref="O1507">IF(D1507=0,0,L1507-K1507)</f>
        <v>20.226868750000111</v>
      </c>
      <c r="P1507" s="11"/>
      <c r="Q1507" s="35"/>
    </row>
    <row r="1508" spans="1:17" ht="22.5" customHeight="1">
      <c r="A1508" s="16" t="s">
        <v>438</v>
      </c>
      <c r="B1508" s="17">
        <v>44597</v>
      </c>
      <c r="C1508" s="37">
        <v>1</v>
      </c>
      <c r="D1508" s="37">
        <v>101</v>
      </c>
      <c r="E1508" s="19" cm="1">
        <f t="array" ref="E1508">IF(D1508="","",D1508-C1508)</f>
        <v>100</v>
      </c>
      <c r="F1508" s="20" cm="1">
        <f t="array" ref="F1508">IF(D1508=0,"",(D1508-C1508)/C1508)</f>
        <v>100</v>
      </c>
      <c r="G1508" s="21">
        <v>1</v>
      </c>
      <c r="H1508" s="22">
        <v>1</v>
      </c>
      <c r="I1508" s="23" cm="1">
        <f t="array" ref="I1508">IF(D1508="","",(G1508*C1508)*0.00075)</f>
        <v>7.5000000000000002E-4</v>
      </c>
      <c r="J1508" s="23" cm="1">
        <f t="array" ref="J1508">IF(D1508="","",(G1508*D1508)*0.00075)</f>
        <v>7.5749999999999998E-2</v>
      </c>
      <c r="K1508" s="24" cm="1">
        <f t="array" ref="K1508">IF(D1508="","",J1508+I1508)</f>
        <v>7.6499999999999999E-2</v>
      </c>
      <c r="L1508" s="24" cm="1">
        <f t="array" ref="L1508">IF(D1508=0,0,(D1508-C1508)*G1508)</f>
        <v>100</v>
      </c>
      <c r="M1508" s="25">
        <v>-99.075749999999999</v>
      </c>
      <c r="N1508" s="26" cm="1">
        <f t="array" ref="N1508">IFERROR((K1508-J1508)/J1508,"–")</f>
        <v>9.9009900990099098E-3</v>
      </c>
      <c r="O1508" s="24" cm="1">
        <f t="array" ref="O1508">IF(D1508=0,0,L1508-K1508)</f>
        <v>99.923500000000004</v>
      </c>
      <c r="P1508" s="23"/>
      <c r="Q1508" s="27"/>
    </row>
    <row r="1509" spans="1:17" ht="22.5" customHeight="1">
      <c r="A1509" s="16" t="s">
        <v>88</v>
      </c>
      <c r="B1509" s="28">
        <v>44597</v>
      </c>
      <c r="C1509" s="36">
        <v>7.5079999999999994E-2</v>
      </c>
      <c r="D1509" s="36">
        <v>7.5590000000000004E-2</v>
      </c>
      <c r="E1509" s="30" cm="1">
        <f t="array" ref="E1509">IF(D1509="","",D1509-C1509)</f>
        <v>5.1000000000001044E-4</v>
      </c>
      <c r="F1509" s="31" cm="1">
        <f t="array" ref="F1509">IF(D1509=0,"",(D1509-C1509)/C1509)</f>
        <v>6.7927543953118074E-3</v>
      </c>
      <c r="G1509" s="32">
        <v>199778.8</v>
      </c>
      <c r="H1509" s="10">
        <v>1</v>
      </c>
      <c r="I1509" s="11" cm="1">
        <f t="array" ref="I1509">IF(D1509="","",(G1509*C1509)*0.00075)</f>
        <v>11.249544227999998</v>
      </c>
      <c r="J1509" s="11" cm="1">
        <f t="array" ref="J1509">IF(D1509="","",(G1509*D1509)*0.00075)</f>
        <v>11.325959619000001</v>
      </c>
      <c r="K1509" s="33" cm="1">
        <f t="array" ref="K1509">IF(D1509="","",J1509+I1509)</f>
        <v>22.575503847</v>
      </c>
      <c r="L1509" s="33" cm="1">
        <f t="array" ref="L1509">IF(D1509=0,0,(D1509-C1509)*G1509)</f>
        <v>101.88718800000208</v>
      </c>
      <c r="M1509" s="12">
        <v>14886.179156381</v>
      </c>
      <c r="N1509" s="34" cm="1">
        <f t="array" ref="N1509">IFERROR((K1509-J1509)/J1509,"–")</f>
        <v>0.99325307580367761</v>
      </c>
      <c r="O1509" s="33" cm="1">
        <f t="array" ref="O1509">IF(D1509=0,0,L1509-K1509)</f>
        <v>79.311684153002091</v>
      </c>
      <c r="P1509" s="11"/>
      <c r="Q1509" s="35"/>
    </row>
    <row r="1510" spans="1:17" ht="22.5" customHeight="1">
      <c r="A1510" s="16" t="s">
        <v>87</v>
      </c>
      <c r="B1510" s="17">
        <v>44598</v>
      </c>
      <c r="C1510" s="37">
        <v>0.80479999999999996</v>
      </c>
      <c r="D1510" s="37">
        <v>0.79430000000000001</v>
      </c>
      <c r="E1510" s="19" cm="1">
        <f t="array" ref="E1510">IF(D1510="","",D1510-C1510)</f>
        <v>-1.0499999999999954E-2</v>
      </c>
      <c r="F1510" s="20" cm="1">
        <f t="array" ref="F1510">IF(D1510=0,"",(D1510-C1510)/C1510)</f>
        <v>-1.3046719681908492E-2</v>
      </c>
      <c r="G1510" s="21">
        <v>12424</v>
      </c>
      <c r="H1510" s="22">
        <v>1</v>
      </c>
      <c r="I1510" s="23" cm="1">
        <f t="array" ref="I1510">IF(D1510="","",(G1510*C1510)*0.00075)</f>
        <v>7.4991263999999997</v>
      </c>
      <c r="J1510" s="23" cm="1">
        <f t="array" ref="J1510">IF(D1510="","",(G1510*D1510)*0.00075)</f>
        <v>7.4012874000000002</v>
      </c>
      <c r="K1510" s="24" cm="1">
        <f t="array" ref="K1510">IF(D1510="","",J1510+I1510)</f>
        <v>14.900413799999999</v>
      </c>
      <c r="L1510" s="24" cm="1">
        <f t="array" ref="L1510">IF(D1510=0,0,(D1510-C1510)*G1510)</f>
        <v>-130.45199999999943</v>
      </c>
      <c r="M1510" s="25">
        <v>10121.885912600001</v>
      </c>
      <c r="N1510" s="26" cm="1">
        <f t="array" ref="N1510">IFERROR((K1510-J1510)/J1510,"–")</f>
        <v>1.0132191867052749</v>
      </c>
      <c r="O1510" s="24" cm="1">
        <f t="array" ref="O1510">IF(D1510=0,0,L1510-K1510)</f>
        <v>-145.35241379999943</v>
      </c>
      <c r="P1510" s="23"/>
      <c r="Q1510" s="27"/>
    </row>
    <row r="1511" spans="1:17" ht="22.5" customHeight="1">
      <c r="A1511" s="16" t="s">
        <v>287</v>
      </c>
      <c r="B1511" s="28">
        <v>44598</v>
      </c>
      <c r="C1511" s="36">
        <v>0.25285000000000002</v>
      </c>
      <c r="D1511" s="36">
        <v>0.2525</v>
      </c>
      <c r="E1511" s="30" cm="1">
        <f t="array" ref="E1511">IF(D1511="","",D1511-C1511)</f>
        <v>-3.5000000000001696E-4</v>
      </c>
      <c r="F1511" s="31" cm="1">
        <f t="array" ref="F1511">IF(D1511=0,"",(D1511-C1511)/C1511)</f>
        <v>-1.3842198932173895E-3</v>
      </c>
      <c r="G1511" s="32">
        <v>59321</v>
      </c>
      <c r="H1511" s="10">
        <v>1</v>
      </c>
      <c r="I1511" s="11" cm="1">
        <f t="array" ref="I1511">IF(D1511="","",(G1511*C1511)*0.00075)</f>
        <v>11.2494861375</v>
      </c>
      <c r="J1511" s="11" cm="1">
        <f t="array" ref="J1511">IF(D1511="","",(G1511*D1511)*0.00075)</f>
        <v>11.233914374999999</v>
      </c>
      <c r="K1511" s="33" cm="1">
        <f t="array" ref="K1511">IF(D1511="","",J1511+I1511)</f>
        <v>22.483400512499998</v>
      </c>
      <c r="L1511" s="33" cm="1">
        <f t="array" ref="L1511">IF(D1511=0,0,(D1511-C1511)*G1511)</f>
        <v>-20.762350000001007</v>
      </c>
      <c r="M1511" s="12">
        <v>15008.843285625</v>
      </c>
      <c r="N1511" s="34" cm="1">
        <f t="array" ref="N1511">IFERROR((K1511-J1511)/J1511,"–")</f>
        <v>1.0013861386138612</v>
      </c>
      <c r="O1511" s="33" cm="1">
        <f t="array" ref="O1511">IF(D1511=0,0,L1511-K1511)</f>
        <v>-43.245750512501004</v>
      </c>
      <c r="P1511" s="11"/>
      <c r="Q1511" s="35"/>
    </row>
    <row r="1512" spans="1:17" ht="22.5" customHeight="1">
      <c r="A1512" s="16" t="s">
        <v>213</v>
      </c>
      <c r="B1512" s="17">
        <v>44598</v>
      </c>
      <c r="C1512" s="37">
        <v>7.1228999999999996</v>
      </c>
      <c r="D1512" s="37">
        <v>7.2</v>
      </c>
      <c r="E1512" s="19" cm="1">
        <f t="array" ref="E1512">IF(D1512="","",D1512-C1512)</f>
        <v>7.7100000000000612E-2</v>
      </c>
      <c r="F1512" s="20" cm="1">
        <f t="array" ref="F1512">IF(D1512=0,"",(D1512-C1512)/C1512)</f>
        <v>1.0824242934759806E-2</v>
      </c>
      <c r="G1512" s="21">
        <v>4211.76</v>
      </c>
      <c r="H1512" s="22">
        <v>1</v>
      </c>
      <c r="I1512" s="23" cm="1">
        <f t="array" ref="I1512">IF(D1512="","",(G1512*C1512)*0.00075)</f>
        <v>22.499958978000002</v>
      </c>
      <c r="J1512" s="23" cm="1">
        <f t="array" ref="J1512">IF(D1512="","",(G1512*D1512)*0.00075)</f>
        <v>22.743504000000001</v>
      </c>
      <c r="K1512" s="24" cm="1">
        <f t="array" ref="K1512">IF(D1512="","",J1512+I1512)</f>
        <v>45.243462978000004</v>
      </c>
      <c r="L1512" s="24" cm="1">
        <f t="array" ref="L1512">IF(D1512=0,0,(D1512-C1512)*G1512)</f>
        <v>324.72669600000262</v>
      </c>
      <c r="M1512" s="25">
        <v>29652.475104000001</v>
      </c>
      <c r="N1512" s="26" cm="1">
        <f t="array" ref="N1512">IFERROR((K1512-J1512)/J1512,"–")</f>
        <v>0.98929166666666668</v>
      </c>
      <c r="O1512" s="24" cm="1">
        <f t="array" ref="O1512">IF(D1512=0,0,L1512-K1512)</f>
        <v>279.48323302200259</v>
      </c>
      <c r="P1512" s="23"/>
      <c r="Q1512" s="27"/>
    </row>
    <row r="1513" spans="1:17" ht="22.5" customHeight="1">
      <c r="A1513" s="16" t="s">
        <v>49</v>
      </c>
      <c r="B1513" s="28">
        <v>44598</v>
      </c>
      <c r="C1513" s="36">
        <v>15.9</v>
      </c>
      <c r="D1513" s="36">
        <v>16.95</v>
      </c>
      <c r="E1513" s="30" cm="1">
        <f t="array" ref="E1513">IF(D1513="","",D1513-C1513)</f>
        <v>1.0499999999999989</v>
      </c>
      <c r="F1513" s="31" cm="1">
        <f t="array" ref="F1513">IF(D1513=0,"",(D1513-C1513)/C1513)</f>
        <v>6.6037735849056534E-2</v>
      </c>
      <c r="G1513" s="32">
        <v>200</v>
      </c>
      <c r="H1513" s="10">
        <v>1</v>
      </c>
      <c r="I1513" s="11" cm="1">
        <f t="array" ref="I1513">IF(D1513="","",(G1513*C1513)*0.00075)</f>
        <v>2.3850000000000002</v>
      </c>
      <c r="J1513" s="11" cm="1">
        <f t="array" ref="J1513">IF(D1513="","",(G1513*D1513)*0.00075)</f>
        <v>2.5425</v>
      </c>
      <c r="K1513" s="33" cm="1">
        <f t="array" ref="K1513">IF(D1513="","",J1513+I1513)</f>
        <v>4.9275000000000002</v>
      </c>
      <c r="L1513" s="33" cm="1">
        <f t="array" ref="L1513">IF(D1513=0,0,(D1513-C1513)*G1513)</f>
        <v>209.99999999999977</v>
      </c>
      <c r="M1513" s="12">
        <v>2967.4575</v>
      </c>
      <c r="N1513" s="34" cm="1">
        <f t="array" ref="N1513">IFERROR((K1513-J1513)/J1513,"–")</f>
        <v>0.93805309734513287</v>
      </c>
      <c r="O1513" s="33" cm="1">
        <f t="array" ref="O1513">IF(D1513=0,0,L1513-K1513)</f>
        <v>205.07249999999976</v>
      </c>
      <c r="P1513" s="11"/>
      <c r="Q1513" s="35"/>
    </row>
    <row r="1514" spans="1:17" ht="22.5" customHeight="1">
      <c r="A1514" s="16" t="s">
        <v>438</v>
      </c>
      <c r="B1514" s="17">
        <v>44599</v>
      </c>
      <c r="C1514" s="37">
        <v>251</v>
      </c>
      <c r="D1514" s="37">
        <v>1</v>
      </c>
      <c r="E1514" s="19" cm="1">
        <f t="array" ref="E1514">IF(D1514="","",D1514-C1514)</f>
        <v>-250</v>
      </c>
      <c r="F1514" s="20" cm="1">
        <f t="array" ref="F1514">IF(D1514=0,"",(D1514-C1514)/C1514)</f>
        <v>-0.99601593625498008</v>
      </c>
      <c r="G1514" s="21">
        <v>1</v>
      </c>
      <c r="H1514" s="22">
        <v>1</v>
      </c>
      <c r="I1514" s="23" cm="1">
        <f t="array" ref="I1514">IF(D1514="","",(G1514*C1514)*0.00075)</f>
        <v>0.18825</v>
      </c>
      <c r="J1514" s="23" cm="1">
        <f t="array" ref="J1514">IF(D1514="","",(G1514*D1514)*0.00075)</f>
        <v>7.5000000000000002E-4</v>
      </c>
      <c r="K1514" s="24" cm="1">
        <f t="array" ref="K1514">IF(D1514="","",J1514+I1514)</f>
        <v>0.189</v>
      </c>
      <c r="L1514" s="24" cm="1">
        <f t="array" ref="L1514">IF(D1514=0,0,(D1514-C1514)*G1514)</f>
        <v>-250</v>
      </c>
      <c r="M1514" s="25">
        <v>500.99925000000002</v>
      </c>
      <c r="N1514" s="26" cm="1">
        <f t="array" ref="N1514">IFERROR((K1514-J1514)/J1514,"–")</f>
        <v>251</v>
      </c>
      <c r="O1514" s="24" cm="1">
        <f t="array" ref="O1514">IF(D1514=0,0,L1514-K1514)</f>
        <v>-250.18899999999999</v>
      </c>
      <c r="P1514" s="23"/>
      <c r="Q1514" s="27"/>
    </row>
    <row r="1515" spans="1:17" ht="22.5" customHeight="1">
      <c r="A1515" s="16" t="s">
        <v>49</v>
      </c>
      <c r="B1515" s="28">
        <v>44599</v>
      </c>
      <c r="C1515" s="36">
        <v>16.25</v>
      </c>
      <c r="D1515" s="36">
        <v>16.95</v>
      </c>
      <c r="E1515" s="30" cm="1">
        <f t="array" ref="E1515">IF(D1515="","",D1515-C1515)</f>
        <v>0.69999999999999929</v>
      </c>
      <c r="F1515" s="31" cm="1">
        <f t="array" ref="F1515">IF(D1515=0,"",(D1515-C1515)/C1515)</f>
        <v>4.3076923076923034E-2</v>
      </c>
      <c r="G1515" s="32">
        <v>200</v>
      </c>
      <c r="H1515" s="10">
        <v>1</v>
      </c>
      <c r="I1515" s="11" cm="1">
        <f t="array" ref="I1515">IF(D1515="","",(G1515*C1515)*0.00075)</f>
        <v>2.4375</v>
      </c>
      <c r="J1515" s="11" cm="1">
        <f t="array" ref="J1515">IF(D1515="","",(G1515*D1515)*0.00075)</f>
        <v>2.5425</v>
      </c>
      <c r="K1515" s="33" cm="1">
        <f t="array" ref="K1515">IF(D1515="","",J1515+I1515)</f>
        <v>4.9800000000000004</v>
      </c>
      <c r="L1515" s="33" cm="1">
        <f t="array" ref="L1515">IF(D1515=0,0,(D1515-C1515)*G1515)</f>
        <v>139.99999999999986</v>
      </c>
      <c r="M1515" s="12">
        <v>3107.4575</v>
      </c>
      <c r="N1515" s="34" cm="1">
        <f t="array" ref="N1515">IFERROR((K1515-J1515)/J1515,"–")</f>
        <v>0.95870206489675536</v>
      </c>
      <c r="O1515" s="33" cm="1">
        <f t="array" ref="O1515">IF(D1515=0,0,L1515-K1515)</f>
        <v>135.01999999999987</v>
      </c>
      <c r="P1515" s="11"/>
      <c r="Q1515" s="35"/>
    </row>
    <row r="1516" spans="1:17" ht="22.5" customHeight="1">
      <c r="A1516" s="16" t="s">
        <v>49</v>
      </c>
      <c r="B1516" s="17">
        <v>44599</v>
      </c>
      <c r="C1516" s="37">
        <v>16.3</v>
      </c>
      <c r="D1516" s="37">
        <v>16.95</v>
      </c>
      <c r="E1516" s="19" cm="1">
        <f t="array" ref="E1516">IF(D1516="","",D1516-C1516)</f>
        <v>0.64999999999999858</v>
      </c>
      <c r="F1516" s="20" cm="1">
        <f t="array" ref="F1516">IF(D1516=0,"",(D1516-C1516)/C1516)</f>
        <v>3.9877300613496841E-2</v>
      </c>
      <c r="G1516" s="21">
        <v>100</v>
      </c>
      <c r="H1516" s="22">
        <v>1</v>
      </c>
      <c r="I1516" s="23" cm="1">
        <f t="array" ref="I1516">IF(D1516="","",(G1516*C1516)*0.00075)</f>
        <v>1.2224999999999999</v>
      </c>
      <c r="J1516" s="23" cm="1">
        <f t="array" ref="J1516">IF(D1516="","",(G1516*D1516)*0.00075)</f>
        <v>1.27125</v>
      </c>
      <c r="K1516" s="24" cm="1">
        <f t="array" ref="K1516">IF(D1516="","",J1516+I1516)</f>
        <v>2.4937499999999999</v>
      </c>
      <c r="L1516" s="24" cm="1">
        <f t="array" ref="L1516">IF(D1516=0,0,(D1516-C1516)*G1516)</f>
        <v>64.999999999999858</v>
      </c>
      <c r="M1516" s="25">
        <v>1563.72875</v>
      </c>
      <c r="N1516" s="26" cm="1">
        <f t="array" ref="N1516">IFERROR((K1516-J1516)/J1516,"–")</f>
        <v>0.9616519174041297</v>
      </c>
      <c r="O1516" s="24" cm="1">
        <f t="array" ref="O1516">IF(D1516=0,0,L1516-K1516)</f>
        <v>62.506249999999859</v>
      </c>
      <c r="P1516" s="23"/>
      <c r="Q1516" s="27"/>
    </row>
    <row r="1517" spans="1:17" ht="22.5" customHeight="1">
      <c r="A1517" s="16" t="s">
        <v>33</v>
      </c>
      <c r="B1517" s="28">
        <v>44599</v>
      </c>
      <c r="C1517" s="36">
        <v>3.745E-4</v>
      </c>
      <c r="D1517" s="36">
        <v>3.7579999999999997E-4</v>
      </c>
      <c r="E1517" s="30" cm="1">
        <f t="array" ref="E1517">IF(D1517="","",D1517-C1517)</f>
        <v>1.2999999999999774E-6</v>
      </c>
      <c r="F1517" s="31" cm="1">
        <f t="array" ref="F1517">IF(D1517=0,"",(D1517-C1517)/C1517)</f>
        <v>3.4712950600800465E-3</v>
      </c>
      <c r="G1517" s="32">
        <v>48064492</v>
      </c>
      <c r="H1517" s="10">
        <v>1</v>
      </c>
      <c r="I1517" s="11" cm="1">
        <f t="array" ref="I1517">IF(D1517="","",(G1517*C1517)*0.00075)</f>
        <v>13.500114190500001</v>
      </c>
      <c r="J1517" s="11" cm="1">
        <f t="array" ref="J1517">IF(D1517="","",(G1517*D1517)*0.00075)</f>
        <v>13.546977070199999</v>
      </c>
      <c r="K1517" s="33" cm="1">
        <f t="array" ref="K1517">IF(D1517="","",J1517+I1517)</f>
        <v>27.0470912607</v>
      </c>
      <c r="L1517" s="33" cm="1">
        <f t="array" ref="L1517">IF(D1517=0,0,(D1517-C1517)*G1517)</f>
        <v>62.483839599998916</v>
      </c>
      <c r="M1517" s="12">
        <v>17924.121437329799</v>
      </c>
      <c r="N1517" s="34" cm="1">
        <f t="array" ref="N1517">IFERROR((K1517-J1517)/J1517,"–")</f>
        <v>0.99654071314529025</v>
      </c>
      <c r="O1517" s="33" cm="1">
        <f t="array" ref="O1517">IF(D1517=0,0,L1517-K1517)</f>
        <v>35.436748339298916</v>
      </c>
      <c r="P1517" s="11"/>
      <c r="Q1517" s="35"/>
    </row>
    <row r="1518" spans="1:17" ht="22.5" customHeight="1">
      <c r="A1518" s="16" t="s">
        <v>288</v>
      </c>
      <c r="B1518" s="17">
        <v>44599</v>
      </c>
      <c r="C1518" s="37">
        <v>0.54278999999999999</v>
      </c>
      <c r="D1518" s="37">
        <v>0.54300000000000004</v>
      </c>
      <c r="E1518" s="19" cm="1">
        <f t="array" ref="E1518">IF(D1518="","",D1518-C1518)</f>
        <v>2.1000000000004349E-4</v>
      </c>
      <c r="F1518" s="20" cm="1">
        <f t="array" ref="F1518">IF(D1518=0,"",(D1518-C1518)/C1518)</f>
        <v>3.8688995744218479E-4</v>
      </c>
      <c r="G1518" s="21">
        <v>9211</v>
      </c>
      <c r="H1518" s="22">
        <v>1</v>
      </c>
      <c r="I1518" s="23" cm="1">
        <f t="array" ref="I1518">IF(D1518="","",(G1518*C1518)*0.00075)</f>
        <v>3.7497290175</v>
      </c>
      <c r="J1518" s="23" cm="1">
        <f t="array" ref="J1518">IF(D1518="","",(G1518*D1518)*0.00075)</f>
        <v>3.7511797500000004</v>
      </c>
      <c r="K1518" s="24" cm="1">
        <f t="array" ref="K1518">IF(D1518="","",J1518+I1518)</f>
        <v>7.5009087675000004</v>
      </c>
      <c r="L1518" s="24" cm="1">
        <f t="array" ref="L1518">IF(D1518=0,0,(D1518-C1518)*G1518)</f>
        <v>1.9343100000004005</v>
      </c>
      <c r="M1518" s="25">
        <v>4993.95320025</v>
      </c>
      <c r="N1518" s="26" cm="1">
        <f t="array" ref="N1518">IFERROR((K1518-J1518)/J1518,"–")</f>
        <v>0.99961325966850822</v>
      </c>
      <c r="O1518" s="24" cm="1">
        <f t="array" ref="O1518">IF(D1518=0,0,L1518-K1518)</f>
        <v>-5.5665987674995998</v>
      </c>
      <c r="P1518" s="23"/>
      <c r="Q1518" s="27"/>
    </row>
    <row r="1519" spans="1:17" ht="22.5" customHeight="1">
      <c r="A1519" s="16" t="s">
        <v>30</v>
      </c>
      <c r="B1519" s="28">
        <v>44599</v>
      </c>
      <c r="C1519" s="36">
        <v>42835.040000000001</v>
      </c>
      <c r="D1519" s="36">
        <v>42838.47</v>
      </c>
      <c r="E1519" s="30" cm="1">
        <f t="array" ref="E1519">IF(D1519="","",D1519-C1519)</f>
        <v>3.430000000000291</v>
      </c>
      <c r="F1519" s="31" cm="1">
        <f t="array" ref="F1519">IF(D1519=0,"",(D1519-C1519)/C1519)</f>
        <v>8.0074630489437873E-5</v>
      </c>
      <c r="G1519" s="32">
        <v>0.70035999999999998</v>
      </c>
      <c r="H1519" s="10">
        <v>1</v>
      </c>
      <c r="I1519" s="11" cm="1">
        <f t="array" ref="I1519">IF(D1519="","",(G1519*C1519)*0.00075)</f>
        <v>22.499961460800002</v>
      </c>
      <c r="J1519" s="11" cm="1">
        <f t="array" ref="J1519">IF(D1519="","",(G1519*D1519)*0.00075)</f>
        <v>22.501763136899999</v>
      </c>
      <c r="K1519" s="33" cm="1">
        <f t="array" ref="K1519">IF(D1519="","",J1519+I1519)</f>
        <v>45.001724597700004</v>
      </c>
      <c r="L1519" s="33" cm="1">
        <f t="array" ref="L1519">IF(D1519=0,0,(D1519-C1519)*G1519)</f>
        <v>2.4022348000002038</v>
      </c>
      <c r="M1519" s="12">
        <v>29975.044616463099</v>
      </c>
      <c r="N1519" s="34" cm="1">
        <f t="array" ref="N1519">IFERROR((K1519-J1519)/J1519,"–")</f>
        <v>0.99991993178094385</v>
      </c>
      <c r="O1519" s="33" cm="1">
        <f t="array" ref="O1519">IF(D1519=0,0,L1519-K1519)</f>
        <v>-42.599489797699803</v>
      </c>
      <c r="P1519" s="11"/>
      <c r="Q1519" s="35"/>
    </row>
    <row r="1520" spans="1:17" ht="22.5" customHeight="1">
      <c r="A1520" s="16" t="s">
        <v>31</v>
      </c>
      <c r="B1520" s="17">
        <v>44600</v>
      </c>
      <c r="C1520" s="37">
        <v>17.88</v>
      </c>
      <c r="D1520" s="37">
        <v>17.91</v>
      </c>
      <c r="E1520" s="19" cm="1">
        <f t="array" ref="E1520">IF(D1520="","",D1520-C1520)</f>
        <v>3.0000000000001137E-2</v>
      </c>
      <c r="F1520" s="20" cm="1">
        <f t="array" ref="F1520">IF(D1520=0,"",(D1520-C1520)/C1520)</f>
        <v>1.6778523489933523E-3</v>
      </c>
      <c r="G1520" s="21">
        <v>1118.03</v>
      </c>
      <c r="H1520" s="22">
        <v>1</v>
      </c>
      <c r="I1520" s="23" cm="1">
        <f t="array" ref="I1520">IF(D1520="","",(G1520*C1520)*0.00075)</f>
        <v>14.992782299999998</v>
      </c>
      <c r="J1520" s="23" cm="1">
        <f t="array" ref="J1520">IF(D1520="","",(G1520*D1520)*0.00075)</f>
        <v>15.017937975000001</v>
      </c>
      <c r="K1520" s="24" cm="1">
        <f t="array" ref="K1520">IF(D1520="","",J1520+I1520)</f>
        <v>30.010720274999997</v>
      </c>
      <c r="L1520" s="24" cm="1">
        <f t="array" ref="L1520">IF(D1520=0,0,(D1520-C1520)*G1520)</f>
        <v>33.540900000001272</v>
      </c>
      <c r="M1520" s="25">
        <v>19941.817562025</v>
      </c>
      <c r="N1520" s="26" cm="1">
        <f t="array" ref="N1520">IFERROR((K1520-J1520)/J1520,"–")</f>
        <v>0.99832495812395283</v>
      </c>
      <c r="O1520" s="24" cm="1">
        <f t="array" ref="O1520">IF(D1520=0,0,L1520-K1520)</f>
        <v>3.5301797250012754</v>
      </c>
      <c r="P1520" s="23"/>
      <c r="Q1520" s="27"/>
    </row>
    <row r="1521" spans="1:17" ht="22.5" customHeight="1">
      <c r="A1521" s="16" t="s">
        <v>276</v>
      </c>
      <c r="B1521" s="28">
        <v>44600</v>
      </c>
      <c r="C1521" s="36">
        <v>3.4950000000000001</v>
      </c>
      <c r="D1521" s="36">
        <v>3.5</v>
      </c>
      <c r="E1521" s="30" cm="1">
        <f t="array" ref="E1521">IF(D1521="","",D1521-C1521)</f>
        <v>4.9999999999998934E-3</v>
      </c>
      <c r="F1521" s="31" cm="1">
        <f t="array" ref="F1521">IF(D1521=0,"",(D1521-C1521)/C1521)</f>
        <v>1.4306151645207133E-3</v>
      </c>
      <c r="G1521" s="32">
        <v>56.41</v>
      </c>
      <c r="H1521" s="10">
        <v>1</v>
      </c>
      <c r="I1521" s="11" cm="1">
        <f t="array" ref="I1521">IF(D1521="","",(G1521*C1521)*0.00075)</f>
        <v>0.1478647125</v>
      </c>
      <c r="J1521" s="11" cm="1">
        <f t="array" ref="J1521">IF(D1521="","",(G1521*D1521)*0.00075)</f>
        <v>0.14807624999999999</v>
      </c>
      <c r="K1521" s="33" cm="1">
        <f t="array" ref="K1521">IF(D1521="","",J1521+I1521)</f>
        <v>0.29594096250000002</v>
      </c>
      <c r="L1521" s="33" cm="1">
        <f t="array" ref="L1521">IF(D1521=0,0,(D1521-C1521)*G1521)</f>
        <v>0.28204999999999397</v>
      </c>
      <c r="M1521" s="12">
        <v>196.72282375</v>
      </c>
      <c r="N1521" s="34" cm="1">
        <f t="array" ref="N1521">IFERROR((K1521-J1521)/J1521,"–")</f>
        <v>0.99857142857142878</v>
      </c>
      <c r="O1521" s="33" cm="1">
        <f t="array" ref="O1521">IF(D1521=0,0,L1521-K1521)</f>
        <v>-1.3890962500006043E-2</v>
      </c>
      <c r="P1521" s="11"/>
      <c r="Q1521" s="35"/>
    </row>
    <row r="1522" spans="1:17" ht="22.5" customHeight="1">
      <c r="A1522" s="16" t="s">
        <v>276</v>
      </c>
      <c r="B1522" s="17">
        <v>44600</v>
      </c>
      <c r="C1522" s="37">
        <v>3.4950000000000001</v>
      </c>
      <c r="D1522" s="37">
        <v>3.47</v>
      </c>
      <c r="E1522" s="19" cm="1">
        <f t="array" ref="E1522">IF(D1522="","",D1522-C1522)</f>
        <v>-2.4999999999999911E-2</v>
      </c>
      <c r="F1522" s="20" cm="1">
        <f t="array" ref="F1522">IF(D1522=0,"",(D1522-C1522)/C1522)</f>
        <v>-7.1530758226036936E-3</v>
      </c>
      <c r="G1522" s="21">
        <v>948.07</v>
      </c>
      <c r="H1522" s="22">
        <v>1</v>
      </c>
      <c r="I1522" s="23" cm="1">
        <f t="array" ref="I1522">IF(D1522="","",(G1522*C1522)*0.00075)</f>
        <v>2.4851284875000004</v>
      </c>
      <c r="J1522" s="23" cm="1">
        <f t="array" ref="J1522">IF(D1522="","",(G1522*D1522)*0.00075)</f>
        <v>2.4673521750000003</v>
      </c>
      <c r="K1522" s="24" cm="1">
        <f t="array" ref="K1522">IF(D1522="","",J1522+I1522)</f>
        <v>4.9524806625000011</v>
      </c>
      <c r="L1522" s="24" cm="1">
        <f t="array" ref="L1522">IF(D1522=0,0,(D1522-C1522)*G1522)</f>
        <v>-23.701749999999915</v>
      </c>
      <c r="M1522" s="25">
        <v>3334.7390478249999</v>
      </c>
      <c r="N1522" s="26" cm="1">
        <f t="array" ref="N1522">IFERROR((K1522-J1522)/J1522,"–")</f>
        <v>1.0072046109510089</v>
      </c>
      <c r="O1522" s="24" cm="1">
        <f t="array" ref="O1522">IF(D1522=0,0,L1522-K1522)</f>
        <v>-28.654230662499916</v>
      </c>
      <c r="P1522" s="23"/>
      <c r="Q1522" s="27"/>
    </row>
    <row r="1523" spans="1:17" ht="22.5" customHeight="1">
      <c r="A1523" s="16" t="s">
        <v>276</v>
      </c>
      <c r="B1523" s="28">
        <v>44600</v>
      </c>
      <c r="C1523" s="36">
        <v>3.4950000000000001</v>
      </c>
      <c r="D1523" s="36">
        <v>3.46</v>
      </c>
      <c r="E1523" s="30" cm="1">
        <f t="array" ref="E1523">IF(D1523="","",D1523-C1523)</f>
        <v>-3.5000000000000142E-2</v>
      </c>
      <c r="F1523" s="31" cm="1">
        <f t="array" ref="F1523">IF(D1523=0,"",(D1523-C1523)/C1523)</f>
        <v>-1.0014306151645247E-2</v>
      </c>
      <c r="G1523" s="32">
        <v>425.86</v>
      </c>
      <c r="H1523" s="10">
        <v>1</v>
      </c>
      <c r="I1523" s="11" cm="1">
        <f t="array" ref="I1523">IF(D1523="","",(G1523*C1523)*0.00075)</f>
        <v>1.1162855250000001</v>
      </c>
      <c r="J1523" s="11" cm="1">
        <f t="array" ref="J1523">IF(D1523="","",(G1523*D1523)*0.00075)</f>
        <v>1.1051067000000001</v>
      </c>
      <c r="K1523" s="33" cm="1">
        <f t="array" ref="K1523">IF(D1523="","",J1523+I1523)</f>
        <v>2.2213922250000002</v>
      </c>
      <c r="L1523" s="33" cm="1">
        <f t="array" ref="L1523">IF(D1523=0,0,(D1523-C1523)*G1523)</f>
        <v>-14.905100000000061</v>
      </c>
      <c r="M1523" s="12">
        <v>1502.1806933</v>
      </c>
      <c r="N1523" s="34" cm="1">
        <f t="array" ref="N1523">IFERROR((K1523-J1523)/J1523,"–")</f>
        <v>1.0101156069364161</v>
      </c>
      <c r="O1523" s="33" cm="1">
        <f t="array" ref="O1523">IF(D1523=0,0,L1523-K1523)</f>
        <v>-17.12649222500006</v>
      </c>
      <c r="P1523" s="11"/>
      <c r="Q1523" s="35"/>
    </row>
    <row r="1524" spans="1:17" ht="22.5" customHeight="1">
      <c r="A1524" s="16" t="s">
        <v>220</v>
      </c>
      <c r="B1524" s="17">
        <v>44600</v>
      </c>
      <c r="C1524" s="37">
        <v>4.3899999999999997</v>
      </c>
      <c r="D1524" s="37">
        <v>4.415</v>
      </c>
      <c r="E1524" s="19" cm="1">
        <f t="array" ref="E1524">IF(D1524="","",D1524-C1524)</f>
        <v>2.5000000000000355E-2</v>
      </c>
      <c r="F1524" s="20" cm="1">
        <f t="array" ref="F1524">IF(D1524=0,"",(D1524-C1524)/C1524)</f>
        <v>5.6947608200456391E-3</v>
      </c>
      <c r="G1524" s="21">
        <v>3416.7</v>
      </c>
      <c r="H1524" s="22">
        <v>1</v>
      </c>
      <c r="I1524" s="23" cm="1">
        <f t="array" ref="I1524">IF(D1524="","",(G1524*C1524)*0.00075)</f>
        <v>11.249484749999999</v>
      </c>
      <c r="J1524" s="23" cm="1">
        <f t="array" ref="J1524">IF(D1524="","",(G1524*D1524)*0.00075)</f>
        <v>11.313547874999999</v>
      </c>
      <c r="K1524" s="24" cm="1">
        <f t="array" ref="K1524">IF(D1524="","",J1524+I1524)</f>
        <v>22.563032624999998</v>
      </c>
      <c r="L1524" s="24" cm="1">
        <f t="array" ref="L1524">IF(D1524=0,0,(D1524-C1524)*G1524)</f>
        <v>85.417500000001212</v>
      </c>
      <c r="M1524" s="25">
        <v>14902.581952125</v>
      </c>
      <c r="N1524" s="26" cm="1">
        <f t="array" ref="N1524">IFERROR((K1524-J1524)/J1524,"–")</f>
        <v>0.99433748584371451</v>
      </c>
      <c r="O1524" s="24" cm="1">
        <f t="array" ref="O1524">IF(D1524=0,0,L1524-K1524)</f>
        <v>62.854467375001214</v>
      </c>
      <c r="P1524" s="23"/>
      <c r="Q1524" s="27"/>
    </row>
    <row r="1525" spans="1:17" ht="22.5" customHeight="1">
      <c r="A1525" s="16" t="s">
        <v>49</v>
      </c>
      <c r="B1525" s="28">
        <v>44600</v>
      </c>
      <c r="C1525" s="36">
        <v>17.100000000000001</v>
      </c>
      <c r="D1525" s="36">
        <v>17.558</v>
      </c>
      <c r="E1525" s="30" cm="1">
        <f t="array" ref="E1525">IF(D1525="","",D1525-C1525)</f>
        <v>0.45799999999999841</v>
      </c>
      <c r="F1525" s="31" cm="1">
        <f t="array" ref="F1525">IF(D1525=0,"",(D1525-C1525)/C1525)</f>
        <v>2.6783625730994055E-2</v>
      </c>
      <c r="G1525" s="32">
        <v>155.55000000000001</v>
      </c>
      <c r="H1525" s="10">
        <v>1</v>
      </c>
      <c r="I1525" s="11" cm="1">
        <f t="array" ref="I1525">IF(D1525="","",(G1525*C1525)*0.00075)</f>
        <v>1.9949287500000001</v>
      </c>
      <c r="J1525" s="11" cm="1">
        <f t="array" ref="J1525">IF(D1525="","",(G1525*D1525)*0.00075)</f>
        <v>2.048360175</v>
      </c>
      <c r="K1525" s="33" cm="1">
        <f t="array" ref="K1525">IF(D1525="","",J1525+I1525)</f>
        <v>4.0432889250000006</v>
      </c>
      <c r="L1525" s="33" cm="1">
        <f t="array" ref="L1525">IF(D1525=0,0,(D1525-C1525)*G1525)</f>
        <v>71.24189999999976</v>
      </c>
      <c r="M1525" s="12">
        <v>2586.614739825</v>
      </c>
      <c r="N1525" s="34" cm="1">
        <f t="array" ref="N1525">IFERROR((K1525-J1525)/J1525,"–")</f>
        <v>0.97391502449026113</v>
      </c>
      <c r="O1525" s="33" cm="1">
        <f t="array" ref="O1525">IF(D1525=0,0,L1525-K1525)</f>
        <v>67.198611074999761</v>
      </c>
      <c r="P1525" s="11"/>
      <c r="Q1525" s="35"/>
    </row>
    <row r="1526" spans="1:17" ht="22.5" customHeight="1">
      <c r="A1526" s="16" t="s">
        <v>49</v>
      </c>
      <c r="B1526" s="17">
        <v>44600</v>
      </c>
      <c r="C1526" s="37">
        <v>17.149999999999999</v>
      </c>
      <c r="D1526" s="37">
        <v>17.558</v>
      </c>
      <c r="E1526" s="19" cm="1">
        <f t="array" ref="E1526">IF(D1526="","",D1526-C1526)</f>
        <v>0.40800000000000125</v>
      </c>
      <c r="F1526" s="20" cm="1">
        <f t="array" ref="F1526">IF(D1526=0,"",(D1526-C1526)/C1526)</f>
        <v>2.3790087463556927E-2</v>
      </c>
      <c r="G1526" s="21">
        <v>20.2</v>
      </c>
      <c r="H1526" s="22">
        <v>1</v>
      </c>
      <c r="I1526" s="23" cm="1">
        <f t="array" ref="I1526">IF(D1526="","",(G1526*C1526)*0.00075)</f>
        <v>0.25982249999999996</v>
      </c>
      <c r="J1526" s="23" cm="1">
        <f t="array" ref="J1526">IF(D1526="","",(G1526*D1526)*0.00075)</f>
        <v>0.26600370000000001</v>
      </c>
      <c r="K1526" s="24" cm="1">
        <f t="array" ref="K1526">IF(D1526="","",J1526+I1526)</f>
        <v>0.52582620000000002</v>
      </c>
      <c r="L1526" s="24" cm="1">
        <f t="array" ref="L1526">IF(D1526=0,0,(D1526-C1526)*G1526)</f>
        <v>8.2416000000000249</v>
      </c>
      <c r="M1526" s="25">
        <v>337.9223963</v>
      </c>
      <c r="N1526" s="26" cm="1">
        <f t="array" ref="N1526">IFERROR((K1526-J1526)/J1526,"–")</f>
        <v>0.97676272924023233</v>
      </c>
      <c r="O1526" s="24" cm="1">
        <f t="array" ref="O1526">IF(D1526=0,0,L1526-K1526)</f>
        <v>7.7157738000000249</v>
      </c>
      <c r="P1526" s="23"/>
      <c r="Q1526" s="27"/>
    </row>
    <row r="1527" spans="1:17" ht="22.5" customHeight="1">
      <c r="A1527" s="16" t="s">
        <v>49</v>
      </c>
      <c r="B1527" s="28">
        <v>44600</v>
      </c>
      <c r="C1527" s="36">
        <v>17.45</v>
      </c>
      <c r="D1527" s="36">
        <v>17.1784</v>
      </c>
      <c r="E1527" s="30" cm="1">
        <f t="array" ref="E1527">IF(D1527="","",D1527-C1527)</f>
        <v>-0.2715999999999994</v>
      </c>
      <c r="F1527" s="31" cm="1">
        <f t="array" ref="F1527">IF(D1527=0,"",(D1527-C1527)/C1527)</f>
        <v>-1.5564469914040081E-2</v>
      </c>
      <c r="G1527" s="32">
        <v>100</v>
      </c>
      <c r="H1527" s="10">
        <v>1</v>
      </c>
      <c r="I1527" s="11" cm="1">
        <f t="array" ref="I1527">IF(D1527="","",(G1527*C1527)*0.00075)</f>
        <v>1.3087500000000001</v>
      </c>
      <c r="J1527" s="11" cm="1">
        <f t="array" ref="J1527">IF(D1527="","",(G1527*D1527)*0.00075)</f>
        <v>1.2883799999999999</v>
      </c>
      <c r="K1527" s="33" cm="1">
        <f t="array" ref="K1527">IF(D1527="","",J1527+I1527)</f>
        <v>2.5971299999999999</v>
      </c>
      <c r="L1527" s="33" cm="1">
        <f t="array" ref="L1527">IF(D1527=0,0,(D1527-C1527)*G1527)</f>
        <v>-27.15999999999994</v>
      </c>
      <c r="M1527" s="12">
        <v>1770.8716199999999</v>
      </c>
      <c r="N1527" s="34" cm="1">
        <f t="array" ref="N1527">IFERROR((K1527-J1527)/J1527,"–")</f>
        <v>1.0158105527872214</v>
      </c>
      <c r="O1527" s="33" cm="1">
        <f t="array" ref="O1527">IF(D1527=0,0,L1527-K1527)</f>
        <v>-29.75712999999994</v>
      </c>
      <c r="P1527" s="11"/>
      <c r="Q1527" s="35"/>
    </row>
    <row r="1528" spans="1:17" ht="22.5" customHeight="1">
      <c r="A1528" s="16" t="s">
        <v>49</v>
      </c>
      <c r="B1528" s="17">
        <v>44601</v>
      </c>
      <c r="C1528" s="37">
        <v>18.5</v>
      </c>
      <c r="D1528" s="37">
        <v>17.1784</v>
      </c>
      <c r="E1528" s="19" cm="1">
        <f t="array" ref="E1528">IF(D1528="","",D1528-C1528)</f>
        <v>-1.3216000000000001</v>
      </c>
      <c r="F1528" s="20" cm="1">
        <f t="array" ref="F1528">IF(D1528=0,"",(D1528-C1528)/C1528)</f>
        <v>-7.1437837837837845E-2</v>
      </c>
      <c r="G1528" s="21">
        <v>20</v>
      </c>
      <c r="H1528" s="22">
        <v>1</v>
      </c>
      <c r="I1528" s="23" cm="1">
        <f t="array" ref="I1528">IF(D1528="","",(G1528*C1528)*0.00075)</f>
        <v>0.27750000000000002</v>
      </c>
      <c r="J1528" s="23" cm="1">
        <f t="array" ref="J1528">IF(D1528="","",(G1528*D1528)*0.00075)</f>
        <v>0.25767600000000002</v>
      </c>
      <c r="K1528" s="24" cm="1">
        <f t="array" ref="K1528">IF(D1528="","",J1528+I1528)</f>
        <v>0.5351760000000001</v>
      </c>
      <c r="L1528" s="24" cm="1">
        <f t="array" ref="L1528">IF(D1528=0,0,(D1528-C1528)*G1528)</f>
        <v>-26.432000000000002</v>
      </c>
      <c r="M1528" s="25">
        <v>396.17432400000001</v>
      </c>
      <c r="N1528" s="26" cm="1">
        <f t="array" ref="N1528">IFERROR((K1528-J1528)/J1528,"–")</f>
        <v>1.0769338238718393</v>
      </c>
      <c r="O1528" s="24" cm="1">
        <f t="array" ref="O1528">IF(D1528=0,0,L1528-K1528)</f>
        <v>-26.967176000000002</v>
      </c>
      <c r="P1528" s="23"/>
      <c r="Q1528" s="27"/>
    </row>
    <row r="1529" spans="1:17" ht="22.5" customHeight="1">
      <c r="A1529" s="16" t="s">
        <v>49</v>
      </c>
      <c r="B1529" s="28">
        <v>44601</v>
      </c>
      <c r="C1529" s="36">
        <v>18.5</v>
      </c>
      <c r="D1529" s="36">
        <v>17.558</v>
      </c>
      <c r="E1529" s="30" cm="1">
        <f t="array" ref="E1529">IF(D1529="","",D1529-C1529)</f>
        <v>-0.94200000000000017</v>
      </c>
      <c r="F1529" s="31" cm="1">
        <f t="array" ref="F1529">IF(D1529=0,"",(D1529-C1529)/C1529)</f>
        <v>-5.0918918918918928E-2</v>
      </c>
      <c r="G1529" s="32">
        <v>30</v>
      </c>
      <c r="H1529" s="10">
        <v>1</v>
      </c>
      <c r="I1529" s="11" cm="1">
        <f t="array" ref="I1529">IF(D1529="","",(G1529*C1529)*0.00075)</f>
        <v>0.41625000000000001</v>
      </c>
      <c r="J1529" s="11" cm="1">
        <f t="array" ref="J1529">IF(D1529="","",(G1529*D1529)*0.00075)</f>
        <v>0.39505499999999999</v>
      </c>
      <c r="K1529" s="33" cm="1">
        <f t="array" ref="K1529">IF(D1529="","",J1529+I1529)</f>
        <v>0.81130499999999994</v>
      </c>
      <c r="L1529" s="33" cm="1">
        <f t="array" ref="L1529">IF(D1529=0,0,(D1529-C1529)*G1529)</f>
        <v>-28.260000000000005</v>
      </c>
      <c r="M1529" s="12">
        <v>582.86494500000003</v>
      </c>
      <c r="N1529" s="34" cm="1">
        <f t="array" ref="N1529">IFERROR((K1529-J1529)/J1529,"–")</f>
        <v>1.0536507574894634</v>
      </c>
      <c r="O1529" s="33" cm="1">
        <f t="array" ref="O1529">IF(D1529=0,0,L1529-K1529)</f>
        <v>-29.071305000000006</v>
      </c>
      <c r="P1529" s="11"/>
      <c r="Q1529" s="50"/>
    </row>
    <row r="1530" spans="1:17" ht="22.5" customHeight="1">
      <c r="A1530" s="16" t="s">
        <v>49</v>
      </c>
      <c r="B1530" s="17">
        <v>44601</v>
      </c>
      <c r="C1530" s="37">
        <v>18.45</v>
      </c>
      <c r="D1530" s="37">
        <v>17.558</v>
      </c>
      <c r="E1530" s="19" cm="1">
        <f t="array" ref="E1530">IF(D1530="","",D1530-C1530)</f>
        <v>-0.89199999999999946</v>
      </c>
      <c r="F1530" s="20" cm="1">
        <f t="array" ref="F1530">IF(D1530=0,"",(D1530-C1530)/C1530)</f>
        <v>-4.8346883468834659E-2</v>
      </c>
      <c r="G1530" s="21">
        <v>149.80000000000001</v>
      </c>
      <c r="H1530" s="22">
        <v>1</v>
      </c>
      <c r="I1530" s="23" cm="1">
        <f t="array" ref="I1530">IF(D1530="","",(G1530*C1530)*0.00075)</f>
        <v>2.0728575</v>
      </c>
      <c r="J1530" s="23" cm="1">
        <f t="array" ref="J1530">IF(D1530="","",(G1530*D1530)*0.00075)</f>
        <v>1.9726413</v>
      </c>
      <c r="K1530" s="24" cm="1">
        <f t="array" ref="K1530">IF(D1530="","",J1530+I1530)</f>
        <v>4.0454987999999998</v>
      </c>
      <c r="L1530" s="24" cm="1">
        <f t="array" ref="L1530">IF(D1530=0,0,(D1530-C1530)*G1530)</f>
        <v>-133.62159999999992</v>
      </c>
      <c r="M1530" s="25">
        <v>2895.4589587</v>
      </c>
      <c r="N1530" s="26" cm="1">
        <f t="array" ref="N1530">IFERROR((K1530-J1530)/J1530,"–")</f>
        <v>1.0508030527394918</v>
      </c>
      <c r="O1530" s="24" cm="1">
        <f t="array" ref="O1530">IF(D1530=0,0,L1530-K1530)</f>
        <v>-137.66709879999991</v>
      </c>
      <c r="P1530" s="23"/>
      <c r="Q1530" s="27"/>
    </row>
    <row r="1531" spans="1:17" ht="22.5" customHeight="1">
      <c r="A1531" s="16" t="s">
        <v>289</v>
      </c>
      <c r="B1531" s="28">
        <v>44601</v>
      </c>
      <c r="C1531" s="36">
        <v>7.2824</v>
      </c>
      <c r="D1531" s="36">
        <v>7.2220000000000004</v>
      </c>
      <c r="E1531" s="30" cm="1">
        <f t="array" ref="E1531">IF(D1531="","",D1531-C1531)</f>
        <v>-6.0399999999999565E-2</v>
      </c>
      <c r="F1531" s="31" cm="1">
        <f t="array" ref="F1531">IF(D1531=0,"",(D1531-C1531)/C1531)</f>
        <v>-8.2939690212017417E-3</v>
      </c>
      <c r="G1531" s="32">
        <v>2059.87</v>
      </c>
      <c r="H1531" s="10">
        <v>1</v>
      </c>
      <c r="I1531" s="11" cm="1">
        <f t="array" ref="I1531">IF(D1531="","",(G1531*C1531)*0.00075)</f>
        <v>11.250597966000001</v>
      </c>
      <c r="J1531" s="11" cm="1">
        <f t="array" ref="J1531">IF(D1531="","",(G1531*D1531)*0.00075)</f>
        <v>11.157285855</v>
      </c>
      <c r="K1531" s="33" cm="1">
        <f t="array" ref="K1531">IF(D1531="","",J1531+I1531)</f>
        <v>22.407883820999999</v>
      </c>
      <c r="L1531" s="33" cm="1">
        <f t="array" ref="L1531">IF(D1531=0,0,(D1531-C1531)*G1531)</f>
        <v>-124.4161479999991</v>
      </c>
      <c r="M1531" s="12">
        <v>15114.056150144999</v>
      </c>
      <c r="N1531" s="34" cm="1">
        <f t="array" ref="N1531">IFERROR((K1531-J1531)/J1531,"–")</f>
        <v>1.0083633342564386</v>
      </c>
      <c r="O1531" s="33" cm="1">
        <f t="array" ref="O1531">IF(D1531=0,0,L1531-K1531)</f>
        <v>-146.8240318209991</v>
      </c>
      <c r="P1531" s="11"/>
      <c r="Q1531" s="35"/>
    </row>
    <row r="1532" spans="1:17" ht="22.5" customHeight="1">
      <c r="A1532" s="16" t="s">
        <v>290</v>
      </c>
      <c r="B1532" s="17">
        <v>44601</v>
      </c>
      <c r="C1532" s="37">
        <v>2.3380000000000001</v>
      </c>
      <c r="D1532" s="37">
        <v>2.2999999999999998</v>
      </c>
      <c r="E1532" s="19" cm="1">
        <f t="array" ref="E1532">IF(D1532="","",D1532-C1532)</f>
        <v>-3.8000000000000256E-2</v>
      </c>
      <c r="F1532" s="20" cm="1">
        <f t="array" ref="F1532">IF(D1532=0,"",(D1532-C1532)/C1532)</f>
        <v>-1.6253207869974445E-2</v>
      </c>
      <c r="G1532" s="21">
        <v>6415.12</v>
      </c>
      <c r="H1532" s="22">
        <v>1</v>
      </c>
      <c r="I1532" s="23" cm="1">
        <f t="array" ref="I1532">IF(D1532="","",(G1532*C1532)*0.00075)</f>
        <v>11.24891292</v>
      </c>
      <c r="J1532" s="23" cm="1">
        <f t="array" ref="J1532">IF(D1532="","",(G1532*D1532)*0.00075)</f>
        <v>11.066081999999998</v>
      </c>
      <c r="K1532" s="24" cm="1">
        <f t="array" ref="K1532">IF(D1532="","",J1532+I1532)</f>
        <v>22.314994919999997</v>
      </c>
      <c r="L1532" s="24" cm="1">
        <f t="array" ref="L1532">IF(D1532=0,0,(D1532-C1532)*G1532)</f>
        <v>-243.77456000000163</v>
      </c>
      <c r="M1532" s="25">
        <v>15231.259038</v>
      </c>
      <c r="N1532" s="26" cm="1">
        <f t="array" ref="N1532">IFERROR((K1532-J1532)/J1532,"–")</f>
        <v>1.0165217391304349</v>
      </c>
      <c r="O1532" s="24" cm="1">
        <f t="array" ref="O1532">IF(D1532=0,0,L1532-K1532)</f>
        <v>-266.0895549200016</v>
      </c>
      <c r="P1532" s="23"/>
      <c r="Q1532" s="27"/>
    </row>
    <row r="1533" spans="1:17" ht="22.5" customHeight="1">
      <c r="A1533" s="16" t="s">
        <v>261</v>
      </c>
      <c r="B1533" s="28">
        <v>44601</v>
      </c>
      <c r="C1533" s="36">
        <v>240</v>
      </c>
      <c r="D1533" s="36">
        <v>5</v>
      </c>
      <c r="E1533" s="30" cm="1">
        <f t="array" ref="E1533">IF(D1533="","",D1533-C1533)</f>
        <v>-235</v>
      </c>
      <c r="F1533" s="31" cm="1">
        <f t="array" ref="F1533">IF(D1533=0,"",(D1533-C1533)/C1533)</f>
        <v>-0.97916666666666663</v>
      </c>
      <c r="G1533" s="32">
        <v>1</v>
      </c>
      <c r="H1533" s="10">
        <v>1</v>
      </c>
      <c r="I1533" s="11" cm="1">
        <f t="array" ref="I1533">IF(D1533="","",(G1533*C1533)*0.00075)</f>
        <v>0.18</v>
      </c>
      <c r="J1533" s="11" cm="1">
        <f t="array" ref="J1533">IF(D1533="","",(G1533*D1533)*0.00075)</f>
        <v>3.7499999999999999E-3</v>
      </c>
      <c r="K1533" s="33" cm="1">
        <f t="array" ref="K1533">IF(D1533="","",J1533+I1533)</f>
        <v>0.18375</v>
      </c>
      <c r="L1533" s="33" cm="1">
        <f t="array" ref="L1533">IF(D1533=0,0,(D1533-C1533)*G1533)</f>
        <v>-235</v>
      </c>
      <c r="M1533" s="12">
        <v>474.99624999999997</v>
      </c>
      <c r="N1533" s="34" cm="1">
        <f t="array" ref="N1533">IFERROR((K1533-J1533)/J1533,"–")</f>
        <v>48</v>
      </c>
      <c r="O1533" s="33" cm="1">
        <f t="array" ref="O1533">IF(D1533=0,0,L1533-K1533)</f>
        <v>-235.18375</v>
      </c>
      <c r="P1533" s="11"/>
      <c r="Q1533" s="35"/>
    </row>
    <row r="1534" spans="1:17" ht="22.5" customHeight="1">
      <c r="A1534" s="16" t="s">
        <v>121</v>
      </c>
      <c r="B1534" s="17">
        <v>44601</v>
      </c>
      <c r="C1534" s="37">
        <v>22.11</v>
      </c>
      <c r="D1534" s="37">
        <v>22.09</v>
      </c>
      <c r="E1534" s="19" cm="1">
        <f t="array" ref="E1534">IF(D1534="","",D1534-C1534)</f>
        <v>-1.9999999999999574E-2</v>
      </c>
      <c r="F1534" s="20" cm="1">
        <f t="array" ref="F1534">IF(D1534=0,"",(D1534-C1534)/C1534)</f>
        <v>-9.0456806874715393E-4</v>
      </c>
      <c r="G1534" s="21">
        <v>678.42</v>
      </c>
      <c r="H1534" s="22">
        <v>1</v>
      </c>
      <c r="I1534" s="23" cm="1">
        <f t="array" ref="I1534">IF(D1534="","",(G1534*C1534)*0.00075)</f>
        <v>11.24989965</v>
      </c>
      <c r="J1534" s="23" cm="1">
        <f t="array" ref="J1534">IF(D1534="","",(G1534*D1534)*0.00075)</f>
        <v>11.239723349999998</v>
      </c>
      <c r="K1534" s="24" cm="1">
        <f t="array" ref="K1534">IF(D1534="","",J1534+I1534)</f>
        <v>22.489622999999998</v>
      </c>
      <c r="L1534" s="24" cm="1">
        <f t="array" ref="L1534">IF(D1534=0,0,(D1534-C1534)*G1534)</f>
        <v>-13.568399999999709</v>
      </c>
      <c r="M1534" s="25">
        <v>15002.194876650001</v>
      </c>
      <c r="N1534" s="26" cm="1">
        <f t="array" ref="N1534">IFERROR((K1534-J1534)/J1534,"–")</f>
        <v>1.0009053870529652</v>
      </c>
      <c r="O1534" s="24" cm="1">
        <f t="array" ref="O1534">IF(D1534=0,0,L1534-K1534)</f>
        <v>-36.058022999999707</v>
      </c>
      <c r="P1534" s="23"/>
      <c r="Q1534" s="27"/>
    </row>
    <row r="1535" spans="1:17" ht="22.5" customHeight="1">
      <c r="A1535" s="16" t="s">
        <v>173</v>
      </c>
      <c r="B1535" s="28">
        <v>44601</v>
      </c>
      <c r="C1535" s="36">
        <v>525</v>
      </c>
      <c r="D1535" s="36">
        <v>5</v>
      </c>
      <c r="E1535" s="30" cm="1">
        <f t="array" ref="E1535">IF(D1535="","",D1535-C1535)</f>
        <v>-520</v>
      </c>
      <c r="F1535" s="31" cm="1">
        <f t="array" ref="F1535">IF(D1535=0,"",(D1535-C1535)/C1535)</f>
        <v>-0.99047619047619051</v>
      </c>
      <c r="G1535" s="32">
        <v>1</v>
      </c>
      <c r="H1535" s="10">
        <v>1</v>
      </c>
      <c r="I1535" s="11" cm="1">
        <f t="array" ref="I1535">IF(D1535="","",(G1535*C1535)*0.00075)</f>
        <v>0.39374999999999999</v>
      </c>
      <c r="J1535" s="11" cm="1">
        <f t="array" ref="J1535">IF(D1535="","",(G1535*D1535)*0.00075)</f>
        <v>3.7499999999999999E-3</v>
      </c>
      <c r="K1535" s="33" cm="1">
        <f t="array" ref="K1535">IF(D1535="","",J1535+I1535)</f>
        <v>0.39749999999999996</v>
      </c>
      <c r="L1535" s="33" cm="1">
        <f t="array" ref="L1535">IF(D1535=0,0,(D1535-C1535)*G1535)</f>
        <v>-520</v>
      </c>
      <c r="M1535" s="12">
        <v>1044.9962499999999</v>
      </c>
      <c r="N1535" s="34" cm="1">
        <f t="array" ref="N1535">IFERROR((K1535-J1535)/J1535,"–")</f>
        <v>105</v>
      </c>
      <c r="O1535" s="33" cm="1">
        <f t="array" ref="O1535">IF(D1535=0,0,L1535-K1535)</f>
        <v>-520.39750000000004</v>
      </c>
      <c r="P1535" s="11"/>
      <c r="Q1535" s="35"/>
    </row>
    <row r="1536" spans="1:17" ht="22.5" customHeight="1">
      <c r="A1536" s="16" t="s">
        <v>27</v>
      </c>
      <c r="B1536" s="17">
        <v>44601</v>
      </c>
      <c r="C1536" s="37">
        <v>0.37340000000000001</v>
      </c>
      <c r="D1536" s="37">
        <v>0.37264999999999998</v>
      </c>
      <c r="E1536" s="19" cm="1">
        <f t="array" ref="E1536">IF(D1536="","",D1536-C1536)</f>
        <v>-7.5000000000002842E-4</v>
      </c>
      <c r="F1536" s="20" cm="1">
        <f t="array" ref="F1536">IF(D1536=0,"",(D1536-C1536)/C1536)</f>
        <v>-2.0085698982325343E-3</v>
      </c>
      <c r="G1536" s="21">
        <v>40167.800000000003</v>
      </c>
      <c r="H1536" s="22">
        <v>1</v>
      </c>
      <c r="I1536" s="23" cm="1">
        <f t="array" ref="I1536">IF(D1536="","",(G1536*C1536)*0.00075)</f>
        <v>11.248992390000002</v>
      </c>
      <c r="J1536" s="23" cm="1">
        <f t="array" ref="J1536">IF(D1536="","",(G1536*D1536)*0.00075)</f>
        <v>11.2263980025</v>
      </c>
      <c r="K1536" s="24" cm="1">
        <f t="array" ref="K1536">IF(D1536="","",J1536+I1536)</f>
        <v>22.475390392500003</v>
      </c>
      <c r="L1536" s="24" cm="1">
        <f t="array" ref="L1536">IF(D1536=0,0,(D1536-C1536)*G1536)</f>
        <v>-30.125850000001144</v>
      </c>
      <c r="M1536" s="25">
        <v>15017.555971997501</v>
      </c>
      <c r="N1536" s="26" cm="1">
        <f t="array" ref="N1536">IFERROR((K1536-J1536)/J1536,"–")</f>
        <v>1.0020126123708577</v>
      </c>
      <c r="O1536" s="24" cm="1">
        <f t="array" ref="O1536">IF(D1536=0,0,L1536-K1536)</f>
        <v>-52.601240392501147</v>
      </c>
      <c r="P1536" s="23"/>
      <c r="Q1536" s="27"/>
    </row>
    <row r="1537" spans="1:17" ht="22.5" customHeight="1">
      <c r="A1537" s="16" t="s">
        <v>166</v>
      </c>
      <c r="B1537" s="28">
        <v>44601</v>
      </c>
      <c r="C1537" s="36">
        <v>9.4899000000000004</v>
      </c>
      <c r="D1537" s="36">
        <v>9.4817</v>
      </c>
      <c r="E1537" s="30" cm="1">
        <f t="array" ref="E1537">IF(D1537="","",D1537-C1537)</f>
        <v>-8.2000000000004292E-3</v>
      </c>
      <c r="F1537" s="31" cm="1">
        <f t="array" ref="F1537">IF(D1537=0,"",(D1537-C1537)/C1537)</f>
        <v>-8.6407654453686858E-4</v>
      </c>
      <c r="G1537" s="32">
        <v>1580.6</v>
      </c>
      <c r="H1537" s="10">
        <v>1</v>
      </c>
      <c r="I1537" s="11" cm="1">
        <f t="array" ref="I1537">IF(D1537="","",(G1537*C1537)*0.00075)</f>
        <v>11.249801955000001</v>
      </c>
      <c r="J1537" s="11" cm="1">
        <f t="array" ref="J1537">IF(D1537="","",(G1537*D1537)*0.00075)</f>
        <v>11.240081264999999</v>
      </c>
      <c r="K1537" s="33" cm="1">
        <f t="array" ref="K1537">IF(D1537="","",J1537+I1537)</f>
        <v>22.489883219999999</v>
      </c>
      <c r="L1537" s="33" cm="1">
        <f t="array" ref="L1537">IF(D1537=0,0,(D1537-C1537)*G1537)</f>
        <v>-12.960920000000678</v>
      </c>
      <c r="M1537" s="12">
        <v>15001.456778735001</v>
      </c>
      <c r="N1537" s="34" cm="1">
        <f t="array" ref="N1537">IFERROR((K1537-J1537)/J1537,"–")</f>
        <v>1.0008648238185136</v>
      </c>
      <c r="O1537" s="33" cm="1">
        <f t="array" ref="O1537">IF(D1537=0,0,L1537-K1537)</f>
        <v>-35.45080322000068</v>
      </c>
      <c r="P1537" s="11"/>
      <c r="Q1537" s="35"/>
    </row>
    <row r="1538" spans="1:17" ht="22.5" customHeight="1">
      <c r="A1538" s="16" t="s">
        <v>27</v>
      </c>
      <c r="B1538" s="43">
        <v>44602</v>
      </c>
      <c r="C1538" s="37">
        <v>0.37340000000000001</v>
      </c>
      <c r="D1538" s="37">
        <v>0.37264999999999998</v>
      </c>
      <c r="E1538" s="19" cm="1">
        <f t="array" ref="E1538">IF(D1538="","",D1538-C1538)</f>
        <v>-7.5000000000002842E-4</v>
      </c>
      <c r="F1538" s="20" cm="1">
        <f t="array" ref="F1538">IF(D1538=0,"",(D1538-C1538)/C1538)</f>
        <v>-2.0085698982325343E-3</v>
      </c>
      <c r="G1538" s="21">
        <v>40167.800000000003</v>
      </c>
      <c r="H1538" s="22">
        <v>1</v>
      </c>
      <c r="I1538" s="23" cm="1">
        <f t="array" ref="I1538">IF(D1538="","",(G1538*C1538)*0.00075)</f>
        <v>11.248992390000002</v>
      </c>
      <c r="J1538" s="23" cm="1">
        <f t="array" ref="J1538">IF(D1538="","",(G1538*D1538)*0.00075)</f>
        <v>11.2263980025</v>
      </c>
      <c r="K1538" s="24" cm="1">
        <f t="array" ref="K1538">IF(D1538="","",J1538+I1538)</f>
        <v>22.475390392500003</v>
      </c>
      <c r="L1538" s="24" cm="1">
        <f t="array" ref="L1538">IF(D1538=0,0,(D1538-C1538)*G1538)</f>
        <v>-30.125850000001144</v>
      </c>
      <c r="M1538" s="25">
        <v>15017.555971997501</v>
      </c>
      <c r="N1538" s="26" cm="1">
        <f t="array" ref="N1538">IFERROR((K1538-J1538)/J1538,"–")</f>
        <v>1.0020126123708577</v>
      </c>
      <c r="O1538" s="24" cm="1">
        <f t="array" ref="O1538">IF(D1538=0,0,L1538-K1538)</f>
        <v>-52.601240392501147</v>
      </c>
      <c r="P1538" s="23"/>
      <c r="Q1538" s="27"/>
    </row>
    <row r="1539" spans="1:17" ht="22.5" customHeight="1">
      <c r="A1539" s="16" t="s">
        <v>140</v>
      </c>
      <c r="B1539" s="42">
        <v>44602</v>
      </c>
      <c r="C1539" s="36">
        <v>4.2910000000000004</v>
      </c>
      <c r="D1539" s="36">
        <v>4.2850000000000001</v>
      </c>
      <c r="E1539" s="30" cm="1">
        <f t="array" ref="E1539">IF(D1539="","",D1539-C1539)</f>
        <v>-6.0000000000002274E-3</v>
      </c>
      <c r="F1539" s="31" cm="1">
        <f t="array" ref="F1539">IF(D1539=0,"",(D1539-C1539)/C1539)</f>
        <v>-1.3982754602657253E-3</v>
      </c>
      <c r="G1539" s="32">
        <v>1000</v>
      </c>
      <c r="H1539" s="10">
        <v>1</v>
      </c>
      <c r="I1539" s="11" cm="1">
        <f t="array" ref="I1539">IF(D1539="","",(G1539*C1539)*0.00075)</f>
        <v>3.2182500000000003</v>
      </c>
      <c r="J1539" s="11" cm="1">
        <f t="array" ref="J1539">IF(D1539="","",(G1539*D1539)*0.00075)</f>
        <v>3.2137500000000001</v>
      </c>
      <c r="K1539" s="33" cm="1">
        <f t="array" ref="K1539">IF(D1539="","",J1539+I1539)</f>
        <v>6.4320000000000004</v>
      </c>
      <c r="L1539" s="33" cm="1">
        <f t="array" ref="L1539">IF(D1539=0,0,(D1539-C1539)*G1539)</f>
        <v>-6.0000000000002274</v>
      </c>
      <c r="M1539" s="12">
        <v>4293.7862500000001</v>
      </c>
      <c r="N1539" s="34" cm="1">
        <f t="array" ref="N1539">IFERROR((K1539-J1539)/J1539,"–")</f>
        <v>1.0014002333722287</v>
      </c>
      <c r="O1539" s="33" cm="1">
        <f t="array" ref="O1539">IF(D1539=0,0,L1539-K1539)</f>
        <v>-12.432000000000228</v>
      </c>
      <c r="P1539" s="11"/>
      <c r="Q1539" s="35"/>
    </row>
    <row r="1540" spans="1:17" ht="22.5" customHeight="1">
      <c r="A1540" s="16" t="s">
        <v>291</v>
      </c>
      <c r="B1540" s="43">
        <v>44602</v>
      </c>
      <c r="C1540" s="37">
        <v>0.73570000000000002</v>
      </c>
      <c r="D1540" s="37">
        <v>0.73850000000000005</v>
      </c>
      <c r="E1540" s="19" cm="1">
        <f t="array" ref="E1540">IF(D1540="","",D1540-C1540)</f>
        <v>2.8000000000000247E-3</v>
      </c>
      <c r="F1540" s="20" cm="1">
        <f t="array" ref="F1540">IF(D1540=0,"",(D1540-C1540)/C1540)</f>
        <v>3.8058991436727262E-3</v>
      </c>
      <c r="G1540" s="21">
        <v>6116</v>
      </c>
      <c r="H1540" s="22">
        <v>1</v>
      </c>
      <c r="I1540" s="23" cm="1">
        <f t="array" ref="I1540">IF(D1540="","",(G1540*C1540)*0.00075)</f>
        <v>3.3746559000000005</v>
      </c>
      <c r="J1540" s="23" cm="1">
        <f t="array" ref="J1540">IF(D1540="","",(G1540*D1540)*0.00075)</f>
        <v>3.3874995000000001</v>
      </c>
      <c r="K1540" s="24" cm="1">
        <f t="array" ref="K1540">IF(D1540="","",J1540+I1540)</f>
        <v>6.762155400000001</v>
      </c>
      <c r="L1540" s="24" cm="1">
        <f t="array" ref="L1540">IF(D1540=0,0,(D1540-C1540)*G1540)</f>
        <v>17.12480000000015</v>
      </c>
      <c r="M1540" s="25">
        <v>4479.0289005000004</v>
      </c>
      <c r="N1540" s="26" cm="1">
        <f t="array" ref="N1540">IFERROR((K1540-J1540)/J1540,"–")</f>
        <v>0.9962085308056875</v>
      </c>
      <c r="O1540" s="24" cm="1">
        <f t="array" ref="O1540">IF(D1540=0,0,L1540-K1540)</f>
        <v>10.362644600000149</v>
      </c>
      <c r="P1540" s="23"/>
      <c r="Q1540" s="27"/>
    </row>
    <row r="1541" spans="1:17" ht="22.5" customHeight="1">
      <c r="A1541" s="16" t="s">
        <v>207</v>
      </c>
      <c r="B1541" s="42">
        <v>44602</v>
      </c>
      <c r="C1541" s="36">
        <v>3.68</v>
      </c>
      <c r="D1541" s="36">
        <v>3.5150000000000001</v>
      </c>
      <c r="E1541" s="30" cm="1">
        <f t="array" ref="E1541">IF(D1541="","",D1541-C1541)</f>
        <v>-0.16500000000000004</v>
      </c>
      <c r="F1541" s="31" cm="1">
        <f t="array" ref="F1541">IF(D1541=0,"",(D1541-C1541)/C1541)</f>
        <v>-4.4836956521739135E-2</v>
      </c>
      <c r="G1541" s="32">
        <v>1000</v>
      </c>
      <c r="H1541" s="10">
        <v>1</v>
      </c>
      <c r="I1541" s="11" cm="1">
        <f t="array" ref="I1541">IF(D1541="","",(G1541*C1541)*0.00075)</f>
        <v>2.7600000000000002</v>
      </c>
      <c r="J1541" s="11" cm="1">
        <f t="array" ref="J1541">IF(D1541="","",(G1541*D1541)*0.00075)</f>
        <v>2.63625</v>
      </c>
      <c r="K1541" s="33" cm="1">
        <f t="array" ref="K1541">IF(D1541="","",J1541+I1541)</f>
        <v>5.3962500000000002</v>
      </c>
      <c r="L1541" s="33" cm="1">
        <f t="array" ref="L1541">IF(D1541=0,0,(D1541-C1541)*G1541)</f>
        <v>-165.00000000000003</v>
      </c>
      <c r="M1541" s="12">
        <v>3842.36375</v>
      </c>
      <c r="N1541" s="34" cm="1">
        <f t="array" ref="N1541">IFERROR((K1541-J1541)/J1541,"–")</f>
        <v>1.046941678520626</v>
      </c>
      <c r="O1541" s="33" cm="1">
        <f t="array" ref="O1541">IF(D1541=0,0,L1541-K1541)</f>
        <v>-170.39625000000004</v>
      </c>
      <c r="P1541" s="11"/>
      <c r="Q1541" s="35"/>
    </row>
    <row r="1542" spans="1:17" ht="22.5" customHeight="1">
      <c r="A1542" s="16" t="s">
        <v>30</v>
      </c>
      <c r="B1542" s="43">
        <v>44603</v>
      </c>
      <c r="C1542" s="37">
        <v>43672.52</v>
      </c>
      <c r="D1542" s="37">
        <v>43690.04</v>
      </c>
      <c r="E1542" s="19" cm="1">
        <f t="array" ref="E1542">IF(D1542="","",D1542-C1542)</f>
        <v>17.520000000004075</v>
      </c>
      <c r="F1542" s="20" cm="1">
        <f t="array" ref="F1542">IF(D1542=0,"",(D1542-C1542)/C1542)</f>
        <v>4.0116759921351173E-4</v>
      </c>
      <c r="G1542" s="21">
        <v>0.34345999999999999</v>
      </c>
      <c r="H1542" s="22">
        <v>1</v>
      </c>
      <c r="I1542" s="23" cm="1">
        <f t="array" ref="I1542">IF(D1542="","",(G1542*C1542)*0.00075)</f>
        <v>11.2498227894</v>
      </c>
      <c r="J1542" s="23" cm="1">
        <f t="array" ref="J1542">IF(D1542="","",(G1542*D1542)*0.00075)</f>
        <v>11.254335853800001</v>
      </c>
      <c r="K1542" s="24" cm="1">
        <f t="array" ref="K1542">IF(D1542="","",J1542+I1542)</f>
        <v>22.5041586432</v>
      </c>
      <c r="L1542" s="24" cm="1">
        <f t="array" ref="L1542">IF(D1542=0,0,(D1542-C1542)*G1542)</f>
        <v>6.0174192000013988</v>
      </c>
      <c r="M1542" s="25">
        <v>14982.4919641462</v>
      </c>
      <c r="N1542" s="26" cm="1">
        <f t="array" ref="N1542">IFERROR((K1542-J1542)/J1542,"–")</f>
        <v>0.99959899327169299</v>
      </c>
      <c r="O1542" s="24" cm="1">
        <f t="array" ref="O1542">IF(D1542=0,0,L1542-K1542)</f>
        <v>-16.486739443198601</v>
      </c>
      <c r="P1542" s="23"/>
      <c r="Q1542" s="27"/>
    </row>
    <row r="1543" spans="1:17" ht="22.5" customHeight="1">
      <c r="A1543" s="16" t="s">
        <v>64</v>
      </c>
      <c r="B1543" s="42">
        <v>44604</v>
      </c>
      <c r="C1543" s="36">
        <v>0.14449999999999999</v>
      </c>
      <c r="D1543" s="36">
        <v>0.1452</v>
      </c>
      <c r="E1543" s="30" cm="1">
        <f t="array" ref="E1543">IF(D1543="","",D1543-C1543)</f>
        <v>7.0000000000000617E-4</v>
      </c>
      <c r="F1543" s="31" cm="1">
        <f t="array" ref="F1543">IF(D1543=0,"",(D1543-C1543)/C1543)</f>
        <v>4.8442906574394894E-3</v>
      </c>
      <c r="G1543" s="32">
        <v>19723</v>
      </c>
      <c r="H1543" s="10">
        <v>1</v>
      </c>
      <c r="I1543" s="11" cm="1">
        <f t="array" ref="I1543">IF(D1543="","",(G1543*C1543)*0.00075)</f>
        <v>2.1374801249999997</v>
      </c>
      <c r="J1543" s="11" cm="1">
        <f t="array" ref="J1543">IF(D1543="","",(G1543*D1543)*0.00075)</f>
        <v>2.1478346999999998</v>
      </c>
      <c r="K1543" s="33" cm="1">
        <f t="array" ref="K1543">IF(D1543="","",J1543+I1543)</f>
        <v>4.2853148249999995</v>
      </c>
      <c r="L1543" s="33" cm="1">
        <f t="array" ref="L1543">IF(D1543=0,0,(D1543-C1543)*G1543)</f>
        <v>13.806100000000121</v>
      </c>
      <c r="M1543" s="12">
        <v>2834.0195653000001</v>
      </c>
      <c r="N1543" s="34" cm="1">
        <f t="array" ref="N1543">IFERROR((K1543-J1543)/J1543,"–")</f>
        <v>0.99517906336088158</v>
      </c>
      <c r="O1543" s="33" cm="1">
        <f t="array" ref="O1543">IF(D1543=0,0,L1543-K1543)</f>
        <v>9.5207851750001211</v>
      </c>
      <c r="P1543" s="11"/>
      <c r="Q1543" s="35"/>
    </row>
    <row r="1544" spans="1:17" ht="22.5" customHeight="1">
      <c r="A1544" s="16" t="s">
        <v>64</v>
      </c>
      <c r="B1544" s="43">
        <v>44605</v>
      </c>
      <c r="C1544" s="37">
        <v>0.14824999999999999</v>
      </c>
      <c r="D1544" s="37">
        <v>0.1492</v>
      </c>
      <c r="E1544" s="19" cm="1">
        <f t="array" ref="E1544">IF(D1544="","",D1544-C1544)</f>
        <v>9.5000000000000639E-4</v>
      </c>
      <c r="F1544" s="20" cm="1">
        <f t="array" ref="F1544">IF(D1544=0,"",(D1544-C1544)/C1544)</f>
        <v>6.4080944350759289E-3</v>
      </c>
      <c r="G1544" s="21">
        <v>182129</v>
      </c>
      <c r="H1544" s="22">
        <v>1</v>
      </c>
      <c r="I1544" s="23" cm="1">
        <f t="array" ref="I1544">IF(D1544="","",(G1544*C1544)*0.00075)</f>
        <v>20.250468187499997</v>
      </c>
      <c r="J1544" s="23" cm="1">
        <f t="array" ref="J1544">IF(D1544="","",(G1544*D1544)*0.00075)</f>
        <v>20.3802351</v>
      </c>
      <c r="K1544" s="24" cm="1">
        <f t="array" ref="K1544">IF(D1544="","",J1544+I1544)</f>
        <v>40.630703287499998</v>
      </c>
      <c r="L1544" s="24" cm="1">
        <f t="array" ref="L1544">IF(D1544=0,0,(D1544-C1544)*G1544)</f>
        <v>173.02255000000116</v>
      </c>
      <c r="M1544" s="25">
        <v>26807.221464900002</v>
      </c>
      <c r="N1544" s="26" cm="1">
        <f t="array" ref="N1544">IFERROR((K1544-J1544)/J1544,"–")</f>
        <v>0.99363270777479884</v>
      </c>
      <c r="O1544" s="24" cm="1">
        <f t="array" ref="O1544">IF(D1544=0,0,L1544-K1544)</f>
        <v>132.39184671250115</v>
      </c>
      <c r="P1544" s="23"/>
      <c r="Q1544" s="27"/>
    </row>
    <row r="1545" spans="1:17" ht="22.5" customHeight="1">
      <c r="A1545" s="16" t="s">
        <v>276</v>
      </c>
      <c r="B1545" s="42">
        <v>44606</v>
      </c>
      <c r="C1545" s="36">
        <v>3.7584</v>
      </c>
      <c r="D1545" s="36">
        <v>3.89</v>
      </c>
      <c r="E1545" s="30" cm="1">
        <f t="array" ref="E1545">IF(D1545="","",D1545-C1545)</f>
        <v>0.13160000000000016</v>
      </c>
      <c r="F1545" s="31" cm="1">
        <f t="array" ref="F1545">IF(D1545=0,"",(D1545-C1545)/C1545)</f>
        <v>3.5014899957428736E-2</v>
      </c>
      <c r="G1545" s="32">
        <v>1000</v>
      </c>
      <c r="H1545" s="10">
        <v>1</v>
      </c>
      <c r="I1545" s="11" cm="1">
        <f t="array" ref="I1545">IF(D1545="","",(G1545*C1545)*0.00075)</f>
        <v>2.8188</v>
      </c>
      <c r="J1545" s="11" cm="1">
        <f t="array" ref="J1545">IF(D1545="","",(G1545*D1545)*0.00075)</f>
        <v>2.9175</v>
      </c>
      <c r="K1545" s="33" cm="1">
        <f t="array" ref="K1545">IF(D1545="","",J1545+I1545)</f>
        <v>5.7363</v>
      </c>
      <c r="L1545" s="33" cm="1">
        <f t="array" ref="L1545">IF(D1545=0,0,(D1545-C1545)*G1545)</f>
        <v>131.60000000000016</v>
      </c>
      <c r="M1545" s="12">
        <v>3623.8825000000002</v>
      </c>
      <c r="N1545" s="34" cm="1">
        <f t="array" ref="N1545">IFERROR((K1545-J1545)/J1545,"–")</f>
        <v>0.9661696658097686</v>
      </c>
      <c r="O1545" s="33" cm="1">
        <f t="array" ref="O1545">IF(D1545=0,0,L1545-K1545)</f>
        <v>125.86370000000016</v>
      </c>
      <c r="P1545" s="11"/>
      <c r="Q1545" s="35"/>
    </row>
    <row r="1546" spans="1:17" ht="22.5" customHeight="1">
      <c r="A1546" s="16" t="s">
        <v>89</v>
      </c>
      <c r="B1546" s="43">
        <v>44606</v>
      </c>
      <c r="C1546" s="37">
        <v>5.6759999999999998E-2</v>
      </c>
      <c r="D1546" s="37">
        <v>5.7180000000000002E-2</v>
      </c>
      <c r="E1546" s="19" cm="1">
        <f t="array" ref="E1546">IF(D1546="","",D1546-C1546)</f>
        <v>4.200000000000037E-4</v>
      </c>
      <c r="F1546" s="20" cm="1">
        <f t="array" ref="F1546">IF(D1546=0,"",(D1546-C1546)/C1546)</f>
        <v>7.3995771670190931E-3</v>
      </c>
      <c r="G1546" s="21">
        <v>352357.4</v>
      </c>
      <c r="H1546" s="22">
        <v>1</v>
      </c>
      <c r="I1546" s="23" cm="1">
        <f t="array" ref="I1546">IF(D1546="","",(G1546*C1546)*0.00075)</f>
        <v>14.999854518000001</v>
      </c>
      <c r="J1546" s="23" cm="1">
        <f t="array" ref="J1546">IF(D1546="","",(G1546*D1546)*0.00075)</f>
        <v>15.110847099000003</v>
      </c>
      <c r="K1546" s="24" cm="1">
        <f t="array" ref="K1546">IF(D1546="","",J1546+I1546)</f>
        <v>30.110701617000004</v>
      </c>
      <c r="L1546" s="24" cm="1">
        <f t="array" ref="L1546">IF(D1546=0,0,(D1546-C1546)*G1546)</f>
        <v>147.99010800000133</v>
      </c>
      <c r="M1546" s="25">
        <v>19836.705068900999</v>
      </c>
      <c r="N1546" s="26" cm="1">
        <f t="array" ref="N1546">IFERROR((K1546-J1546)/J1546,"–")</f>
        <v>0.99265477439664207</v>
      </c>
      <c r="O1546" s="24" cm="1">
        <f t="array" ref="O1546">IF(D1546=0,0,L1546-K1546)</f>
        <v>117.87940638300132</v>
      </c>
      <c r="P1546" s="23"/>
      <c r="Q1546" s="27"/>
    </row>
    <row r="1547" spans="1:17" ht="22.5" customHeight="1">
      <c r="A1547" s="16" t="s">
        <v>50</v>
      </c>
      <c r="B1547" s="42">
        <v>44606</v>
      </c>
      <c r="C1547" s="36">
        <v>7.4249999999999998</v>
      </c>
      <c r="D1547" s="36">
        <v>7.48</v>
      </c>
      <c r="E1547" s="30" cm="1">
        <f t="array" ref="E1547">IF(D1547="","",D1547-C1547)</f>
        <v>5.5000000000000604E-2</v>
      </c>
      <c r="F1547" s="31" cm="1">
        <f t="array" ref="F1547">IF(D1547=0,"",(D1547-C1547)/C1547)</f>
        <v>7.4074074074074892E-3</v>
      </c>
      <c r="G1547" s="32">
        <v>2693.52</v>
      </c>
      <c r="H1547" s="10">
        <v>1</v>
      </c>
      <c r="I1547" s="11" cm="1">
        <f t="array" ref="I1547">IF(D1547="","",(G1547*C1547)*0.00075)</f>
        <v>14.999539499999999</v>
      </c>
      <c r="J1547" s="11" cm="1">
        <f t="array" ref="J1547">IF(D1547="","",(G1547*D1547)*0.00075)</f>
        <v>15.110647200000001</v>
      </c>
      <c r="K1547" s="33" cm="1">
        <f t="array" ref="K1547">IF(D1547="","",J1547+I1547)</f>
        <v>30.1101867</v>
      </c>
      <c r="L1547" s="33" cm="1">
        <f t="array" ref="L1547">IF(D1547=0,0,(D1547-C1547)*G1547)</f>
        <v>148.14360000000161</v>
      </c>
      <c r="M1547" s="12">
        <v>19836.1317528</v>
      </c>
      <c r="N1547" s="34" cm="1">
        <f t="array" ref="N1547">IFERROR((K1547-J1547)/J1547,"–")</f>
        <v>0.99264705882352933</v>
      </c>
      <c r="O1547" s="33" cm="1">
        <f t="array" ref="O1547">IF(D1547=0,0,L1547-K1547)</f>
        <v>118.03341330000161</v>
      </c>
      <c r="P1547" s="11"/>
      <c r="Q1547" s="35"/>
    </row>
    <row r="1548" spans="1:17" ht="22.5" customHeight="1">
      <c r="A1548" s="16" t="s">
        <v>261</v>
      </c>
      <c r="B1548" s="43">
        <v>44606</v>
      </c>
      <c r="C1548" s="37">
        <v>11.35</v>
      </c>
      <c r="D1548" s="37">
        <v>11.4</v>
      </c>
      <c r="E1548" s="19" cm="1">
        <f t="array" ref="E1548">IF(D1548="","",D1548-C1548)</f>
        <v>5.0000000000000711E-2</v>
      </c>
      <c r="F1548" s="20" cm="1">
        <f t="array" ref="F1548">IF(D1548=0,"",(D1548-C1548)/C1548)</f>
        <v>4.4052863436123977E-3</v>
      </c>
      <c r="G1548" s="21">
        <v>450</v>
      </c>
      <c r="H1548" s="22">
        <v>1</v>
      </c>
      <c r="I1548" s="23" cm="1">
        <f t="array" ref="I1548">IF(D1548="","",(G1548*C1548)*0.00075)</f>
        <v>3.8306249999999999</v>
      </c>
      <c r="J1548" s="23" cm="1">
        <f t="array" ref="J1548">IF(D1548="","",(G1548*D1548)*0.00075)</f>
        <v>3.8475000000000001</v>
      </c>
      <c r="K1548" s="24" cm="1">
        <f t="array" ref="K1548">IF(D1548="","",J1548+I1548)</f>
        <v>7.6781249999999996</v>
      </c>
      <c r="L1548" s="24" cm="1">
        <f t="array" ref="L1548">IF(D1548=0,0,(D1548-C1548)*G1548)</f>
        <v>22.50000000000032</v>
      </c>
      <c r="M1548" s="25">
        <v>5081.1525000000001</v>
      </c>
      <c r="N1548" s="26" cm="1">
        <f t="array" ref="N1548">IFERROR((K1548-J1548)/J1548,"–")</f>
        <v>0.99561403508771917</v>
      </c>
      <c r="O1548" s="24" cm="1">
        <f t="array" ref="O1548">IF(D1548=0,0,L1548-K1548)</f>
        <v>14.82187500000032</v>
      </c>
      <c r="P1548" s="23"/>
      <c r="Q1548" s="27"/>
    </row>
    <row r="1549" spans="1:17" ht="22.5" customHeight="1">
      <c r="A1549" s="16" t="s">
        <v>292</v>
      </c>
      <c r="B1549" s="42">
        <v>44607</v>
      </c>
      <c r="C1549" s="36">
        <v>7.2620000000000004E-2</v>
      </c>
      <c r="D1549" s="36">
        <v>7.2900000000000006E-2</v>
      </c>
      <c r="E1549" s="30" cm="1">
        <f t="array" ref="E1549">IF(D1549="","",D1549-C1549)</f>
        <v>2.8000000000000247E-4</v>
      </c>
      <c r="F1549" s="31" cm="1">
        <f t="array" ref="F1549">IF(D1549=0,"",(D1549-C1549)/C1549)</f>
        <v>3.8556871385293646E-3</v>
      </c>
      <c r="G1549" s="32">
        <v>385560.1</v>
      </c>
      <c r="H1549" s="10">
        <v>1</v>
      </c>
      <c r="I1549" s="11" cm="1">
        <f t="array" ref="I1549">IF(D1549="","",(G1549*C1549)*0.00075)</f>
        <v>20.999530846500001</v>
      </c>
      <c r="J1549" s="11" cm="1">
        <f t="array" ref="J1549">IF(D1549="","",(G1549*D1549)*0.00075)</f>
        <v>21.080498467500004</v>
      </c>
      <c r="K1549" s="33" cm="1">
        <f t="array" ref="K1549">IF(D1549="","",J1549+I1549)</f>
        <v>42.080029314000001</v>
      </c>
      <c r="L1549" s="33" cm="1">
        <f t="array" ref="L1549">IF(D1549=0,0,(D1549-C1549)*G1549)</f>
        <v>107.95682800000094</v>
      </c>
      <c r="M1549" s="12">
        <v>27870.3371355325</v>
      </c>
      <c r="N1549" s="34" cm="1">
        <f t="array" ref="N1549">IFERROR((K1549-J1549)/J1549,"–")</f>
        <v>0.99615912208504775</v>
      </c>
      <c r="O1549" s="33" cm="1">
        <f t="array" ref="O1549">IF(D1549=0,0,L1549-K1549)</f>
        <v>65.876798686000939</v>
      </c>
      <c r="P1549" s="11"/>
      <c r="Q1549" s="35"/>
    </row>
    <row r="1550" spans="1:17" ht="22.5" customHeight="1">
      <c r="A1550" s="16" t="s">
        <v>49</v>
      </c>
      <c r="B1550" s="43">
        <v>44607</v>
      </c>
      <c r="C1550" s="37">
        <v>17.021000000000001</v>
      </c>
      <c r="D1550" s="37">
        <v>17.329999999999998</v>
      </c>
      <c r="E1550" s="19" cm="1">
        <f t="array" ref="E1550">IF(D1550="","",D1550-C1550)</f>
        <v>0.3089999999999975</v>
      </c>
      <c r="F1550" s="20" cm="1">
        <f t="array" ref="F1550">IF(D1550=0,"",(D1550-C1550)/C1550)</f>
        <v>1.8154045003231156E-2</v>
      </c>
      <c r="G1550" s="21">
        <v>1174.96</v>
      </c>
      <c r="H1550" s="22">
        <v>1</v>
      </c>
      <c r="I1550" s="23" cm="1">
        <f t="array" ref="I1550">IF(D1550="","",(G1550*C1550)*0.00075)</f>
        <v>14.999245620000002</v>
      </c>
      <c r="J1550" s="23" cm="1">
        <f t="array" ref="J1550">IF(D1550="","",(G1550*D1550)*0.00075)</f>
        <v>15.271542599999998</v>
      </c>
      <c r="K1550" s="24" cm="1">
        <f t="array" ref="K1550">IF(D1550="","",J1550+I1550)</f>
        <v>30.27078822</v>
      </c>
      <c r="L1550" s="24" cm="1">
        <f t="array" ref="L1550">IF(D1550=0,0,(D1550-C1550)*G1550)</f>
        <v>363.06263999999709</v>
      </c>
      <c r="M1550" s="25">
        <v>19620.659977399999</v>
      </c>
      <c r="N1550" s="26" cm="1">
        <f t="array" ref="N1550">IFERROR((K1550-J1550)/J1550,"–")</f>
        <v>0.98216964800923279</v>
      </c>
      <c r="O1550" s="24" cm="1">
        <f t="array" ref="O1550">IF(D1550=0,0,L1550-K1550)*0.75</f>
        <v>249.59388883499781</v>
      </c>
      <c r="P1550" s="23"/>
      <c r="Q1550" s="27"/>
    </row>
    <row r="1551" spans="1:17" ht="22.5" customHeight="1">
      <c r="A1551" s="16" t="s">
        <v>49</v>
      </c>
      <c r="B1551" s="42">
        <v>44607</v>
      </c>
      <c r="C1551" s="36">
        <v>17.7</v>
      </c>
      <c r="D1551" s="36">
        <v>17.704999999999998</v>
      </c>
      <c r="E1551" s="30" cm="1">
        <f t="array" ref="E1551">IF(D1551="","",D1551-C1551)</f>
        <v>4.9999999999990052E-3</v>
      </c>
      <c r="F1551" s="31" cm="1">
        <f t="array" ref="F1551">IF(D1551=0,"",(D1551-C1551)/C1551)</f>
        <v>2.8248587570615848E-4</v>
      </c>
      <c r="G1551" s="32">
        <v>716.31</v>
      </c>
      <c r="H1551" s="10">
        <v>1</v>
      </c>
      <c r="I1551" s="11" cm="1">
        <f t="array" ref="I1551">IF(D1551="","",(G1551*C1551)*0.00075)</f>
        <v>9.5090152499999991</v>
      </c>
      <c r="J1551" s="11" cm="1">
        <f t="array" ref="J1551">IF(D1551="","",(G1551*D1551)*0.00075)</f>
        <v>9.5117014124999972</v>
      </c>
      <c r="K1551" s="33" cm="1">
        <f t="array" ref="K1551">IF(D1551="","",J1551+I1551)</f>
        <v>19.020716662499996</v>
      </c>
      <c r="L1551" s="33" cm="1">
        <f t="array" ref="L1551">IF(D1551=0,0,(D1551-C1551)*G1551)</f>
        <v>3.5815499999992872</v>
      </c>
      <c r="M1551" s="12">
        <v>12665.5937485875</v>
      </c>
      <c r="N1551" s="34" cm="1">
        <f t="array" ref="N1551">IFERROR((K1551-J1551)/J1551,"–")</f>
        <v>0.99971759390002846</v>
      </c>
      <c r="O1551" s="33" cm="1">
        <f t="array" ref="O1551">IF(D1551=0,0,L1551-K1551)</f>
        <v>-15.439166662500709</v>
      </c>
      <c r="P1551" s="11"/>
      <c r="Q1551" s="35"/>
    </row>
    <row r="1552" spans="1:17" ht="22.5" customHeight="1">
      <c r="A1552" s="16" t="s">
        <v>49</v>
      </c>
      <c r="B1552" s="43">
        <v>44607</v>
      </c>
      <c r="C1552" s="37">
        <v>20</v>
      </c>
      <c r="D1552" s="37">
        <v>17.329999999999998</v>
      </c>
      <c r="E1552" s="19" cm="1">
        <f t="array" ref="E1552">IF(D1552="","",D1552-C1552)</f>
        <v>-2.6700000000000017</v>
      </c>
      <c r="F1552" s="20" cm="1">
        <f t="array" ref="F1552">IF(D1552=0,"",(D1552-C1552)/C1552)</f>
        <v>-0.13350000000000009</v>
      </c>
      <c r="G1552" s="21">
        <v>700</v>
      </c>
      <c r="H1552" s="22">
        <v>1</v>
      </c>
      <c r="I1552" s="23" cm="1">
        <f t="array" ref="I1552">IF(D1552="","",(G1552*C1552)*0.00075)</f>
        <v>10.5</v>
      </c>
      <c r="J1552" s="23" cm="1">
        <f t="array" ref="J1552">IF(D1552="","",(G1552*D1552)*0.00075)</f>
        <v>9.0982499999999984</v>
      </c>
      <c r="K1552" s="24" cm="1">
        <f t="array" ref="K1552">IF(D1552="","",J1552+I1552)</f>
        <v>19.59825</v>
      </c>
      <c r="L1552" s="24" cm="1">
        <f t="array" ref="L1552">IF(D1552=0,0,(D1552-C1552)*G1552)</f>
        <v>-1869.0000000000011</v>
      </c>
      <c r="M1552" s="25">
        <v>15859.901750000001</v>
      </c>
      <c r="N1552" s="26" cm="1">
        <f t="array" ref="N1552">IFERROR((K1552-J1552)/J1552,"–")</f>
        <v>1.1540680900173115</v>
      </c>
      <c r="O1552" s="24" cm="1">
        <f t="array" ref="O1552">IF(D1552=0,0,L1552-K1552)</f>
        <v>-1888.5982500000011</v>
      </c>
      <c r="P1552" s="23"/>
      <c r="Q1552" s="27"/>
    </row>
    <row r="1553" spans="1:17" ht="22.5" customHeight="1">
      <c r="A1553" s="16" t="s">
        <v>261</v>
      </c>
      <c r="B1553" s="42">
        <v>44607</v>
      </c>
      <c r="C1553" s="36">
        <v>11.2</v>
      </c>
      <c r="D1553" s="36">
        <v>11.15</v>
      </c>
      <c r="E1553" s="30" cm="1">
        <f t="array" ref="E1553">IF(D1553="","",D1553-C1553)</f>
        <v>-4.9999999999998934E-2</v>
      </c>
      <c r="F1553" s="31" cm="1">
        <f t="array" ref="F1553">IF(D1553=0,"",(D1553-C1553)/C1553)</f>
        <v>-4.4642857142856195E-3</v>
      </c>
      <c r="G1553" s="32">
        <v>750</v>
      </c>
      <c r="H1553" s="10">
        <v>1</v>
      </c>
      <c r="I1553" s="11" cm="1">
        <f t="array" ref="I1553">IF(D1553="","",(G1553*C1553)*0.00075)</f>
        <v>6.3</v>
      </c>
      <c r="J1553" s="11" cm="1">
        <f t="array" ref="J1553">IF(D1553="","",(G1553*D1553)*0.00075)</f>
        <v>6.2718750000000005</v>
      </c>
      <c r="K1553" s="33" cm="1">
        <f t="array" ref="K1553">IF(D1553="","",J1553+I1553)</f>
        <v>12.571875</v>
      </c>
      <c r="L1553" s="33" cm="1">
        <f t="array" ref="L1553">IF(D1553=0,0,(D1553-C1553)*G1553)</f>
        <v>-37.499999999999204</v>
      </c>
      <c r="M1553" s="12">
        <v>8431.2281249999996</v>
      </c>
      <c r="N1553" s="34" cm="1">
        <f t="array" ref="N1553">IFERROR((K1553-J1553)/J1553,"–")</f>
        <v>1.0044843049327352</v>
      </c>
      <c r="O1553" s="33" cm="1">
        <f t="array" ref="O1553">IF(D1553=0,0,L1553-K1553)</f>
        <v>-50.071874999999203</v>
      </c>
      <c r="P1553" s="11"/>
      <c r="Q1553" s="35"/>
    </row>
    <row r="1554" spans="1:17" ht="22.5" customHeight="1">
      <c r="A1554" s="16" t="s">
        <v>173</v>
      </c>
      <c r="B1554" s="43">
        <v>44607</v>
      </c>
      <c r="C1554" s="37">
        <v>4.72</v>
      </c>
      <c r="D1554" s="37">
        <v>4.71</v>
      </c>
      <c r="E1554" s="19" cm="1">
        <f t="array" ref="E1554">IF(D1554="","",D1554-C1554)</f>
        <v>-9.9999999999997868E-3</v>
      </c>
      <c r="F1554" s="20" cm="1">
        <f t="array" ref="F1554">IF(D1554=0,"",(D1554-C1554)/C1554)</f>
        <v>-2.1186440677965651E-3</v>
      </c>
      <c r="G1554" s="21">
        <v>650</v>
      </c>
      <c r="H1554" s="22">
        <v>1</v>
      </c>
      <c r="I1554" s="23" cm="1">
        <f t="array" ref="I1554">IF(D1554="","",(G1554*C1554)*0.00075)</f>
        <v>2.3010000000000002</v>
      </c>
      <c r="J1554" s="23" cm="1">
        <f t="array" ref="J1554">IF(D1554="","",(G1554*D1554)*0.00075)</f>
        <v>2.296125</v>
      </c>
      <c r="K1554" s="24" cm="1">
        <f t="array" ref="K1554">IF(D1554="","",J1554+I1554)</f>
        <v>4.5971250000000001</v>
      </c>
      <c r="L1554" s="24" cm="1">
        <f t="array" ref="L1554">IF(D1554=0,0,(D1554-C1554)*G1554)</f>
        <v>-6.4999999999998614</v>
      </c>
      <c r="M1554" s="25">
        <v>3072.2038750000002</v>
      </c>
      <c r="N1554" s="26" cm="1">
        <f t="array" ref="N1554">IFERROR((K1554-J1554)/J1554,"–")</f>
        <v>1.0021231422505308</v>
      </c>
      <c r="O1554" s="24" cm="1">
        <f t="array" ref="O1554">IF(D1554=0,0,L1554-K1554)</f>
        <v>-11.097124999999862</v>
      </c>
      <c r="P1554" s="23"/>
      <c r="Q1554" s="27"/>
    </row>
    <row r="1555" spans="1:17" ht="22.5" customHeight="1">
      <c r="A1555" s="16" t="s">
        <v>75</v>
      </c>
      <c r="B1555" s="42">
        <v>44608</v>
      </c>
      <c r="C1555" s="36">
        <v>0.24990000000000001</v>
      </c>
      <c r="D1555" s="36">
        <v>0.25240000000000001</v>
      </c>
      <c r="E1555" s="30" cm="1">
        <f t="array" ref="E1555">IF(D1555="","",D1555-C1555)</f>
        <v>2.5000000000000022E-3</v>
      </c>
      <c r="F1555" s="31" cm="1">
        <f t="array" ref="F1555">IF(D1555=0,"",(D1555-C1555)/C1555)</f>
        <v>1.0004001600640265E-2</v>
      </c>
      <c r="G1555" s="32">
        <v>20009</v>
      </c>
      <c r="H1555" s="10">
        <v>1</v>
      </c>
      <c r="I1555" s="11" cm="1">
        <f t="array" ref="I1555">IF(D1555="","",(G1555*C1555)*0.00075)</f>
        <v>3.7501868250000001</v>
      </c>
      <c r="J1555" s="11" cm="1">
        <f t="array" ref="J1555">IF(D1555="","",(G1555*D1555)*0.00075)</f>
        <v>3.7877037000000002</v>
      </c>
      <c r="K1555" s="33" cm="1">
        <f t="array" ref="K1555">IF(D1555="","",J1555+I1555)</f>
        <v>7.5378905249999999</v>
      </c>
      <c r="L1555" s="33" cm="1">
        <f t="array" ref="L1555">IF(D1555=0,0,(D1555-C1555)*G1555)</f>
        <v>50.022500000000043</v>
      </c>
      <c r="M1555" s="12">
        <v>4946.4388963000001</v>
      </c>
      <c r="N1555" s="34" cm="1">
        <f t="array" ref="N1555">IFERROR((K1555-J1555)/J1555,"–")</f>
        <v>0.9900950871632328</v>
      </c>
      <c r="O1555" s="33" cm="1">
        <f t="array" ref="O1555">IF(D1555=0,0,L1555-K1555)</f>
        <v>42.484609475000042</v>
      </c>
      <c r="P1555" s="11"/>
      <c r="Q1555" s="35"/>
    </row>
    <row r="1556" spans="1:17" ht="22.5" customHeight="1">
      <c r="A1556" s="16" t="s">
        <v>14</v>
      </c>
      <c r="B1556" s="43">
        <v>44608</v>
      </c>
      <c r="C1556" s="37">
        <v>1.107</v>
      </c>
      <c r="D1556" s="37">
        <v>1.123</v>
      </c>
      <c r="E1556" s="19" cm="1">
        <f t="array" ref="E1556">IF(D1556="","",D1556-C1556)</f>
        <v>1.6000000000000014E-2</v>
      </c>
      <c r="F1556" s="20" cm="1">
        <f t="array" ref="F1556">IF(D1556=0,"",(D1556-C1556)/C1556)</f>
        <v>1.4453477868112028E-2</v>
      </c>
      <c r="G1556" s="21">
        <v>10837.4</v>
      </c>
      <c r="H1556" s="22">
        <v>1</v>
      </c>
      <c r="I1556" s="23" cm="1">
        <f t="array" ref="I1556">IF(D1556="","",(G1556*C1556)*0.00075)</f>
        <v>8.9977513499999997</v>
      </c>
      <c r="J1556" s="23" cm="1">
        <f t="array" ref="J1556">IF(D1556="","",(G1556*D1556)*0.00075)</f>
        <v>9.1278001500000006</v>
      </c>
      <c r="K1556" s="24" cm="1">
        <f t="array" ref="K1556">IF(D1556="","",J1556+I1556)</f>
        <v>18.1255515</v>
      </c>
      <c r="L1556" s="24" cm="1">
        <f t="array" ref="L1556">IF(D1556=0,0,(D1556-C1556)*G1556)</f>
        <v>173.39840000000015</v>
      </c>
      <c r="M1556" s="25">
        <v>11814.47559985</v>
      </c>
      <c r="N1556" s="26" cm="1">
        <f t="array" ref="N1556">IFERROR((K1556-J1556)/J1556,"–")</f>
        <v>0.98575244879786272</v>
      </c>
      <c r="O1556" s="24" cm="1">
        <f t="array" ref="O1556">IF(D1556=0,0,L1556-K1556)</f>
        <v>155.27284850000015</v>
      </c>
      <c r="P1556" s="23"/>
      <c r="Q1556" s="27"/>
    </row>
    <row r="1557" spans="1:17" ht="22.5" customHeight="1">
      <c r="A1557" s="16" t="s">
        <v>287</v>
      </c>
      <c r="B1557" s="42">
        <v>44608</v>
      </c>
      <c r="C1557" s="36">
        <v>0.2944</v>
      </c>
      <c r="D1557" s="36">
        <v>0.28870000000000001</v>
      </c>
      <c r="E1557" s="30" cm="1">
        <f t="array" ref="E1557">IF(D1557="","",D1557-C1557)</f>
        <v>-5.6999999999999829E-3</v>
      </c>
      <c r="F1557" s="31" cm="1">
        <f t="array" ref="F1557">IF(D1557=0,"",(D1557-C1557)/C1557)</f>
        <v>-1.9361413043478205E-2</v>
      </c>
      <c r="G1557" s="32">
        <v>57739</v>
      </c>
      <c r="H1557" s="10">
        <v>1</v>
      </c>
      <c r="I1557" s="11" cm="1">
        <f t="array" ref="I1557">IF(D1557="","",(G1557*C1557)*0.00075)</f>
        <v>12.7487712</v>
      </c>
      <c r="J1557" s="11" cm="1">
        <f t="array" ref="J1557">IF(D1557="","",(G1557*D1557)*0.00075)</f>
        <v>12.501936975</v>
      </c>
      <c r="K1557" s="33" cm="1">
        <f t="array" ref="K1557">IF(D1557="","",J1557+I1557)</f>
        <v>25.250708175</v>
      </c>
      <c r="L1557" s="33" cm="1">
        <f t="array" ref="L1557">IF(D1557=0,0,(D1557-C1557)*G1557)</f>
        <v>-329.11229999999904</v>
      </c>
      <c r="M1557" s="12">
        <v>17314.971963025</v>
      </c>
      <c r="N1557" s="34" cm="1">
        <f t="array" ref="N1557">IFERROR((K1557-J1557)/J1557,"–")</f>
        <v>1.0197436785590579</v>
      </c>
      <c r="O1557" s="33" cm="1">
        <f t="array" ref="O1557">IF(D1557=0,0,L1557-K1557)</f>
        <v>-354.36300817499904</v>
      </c>
      <c r="P1557" s="11"/>
      <c r="Q1557" s="35"/>
    </row>
    <row r="1558" spans="1:17" ht="22.5" customHeight="1">
      <c r="A1558" s="16" t="s">
        <v>95</v>
      </c>
      <c r="B1558" s="43">
        <v>44608</v>
      </c>
      <c r="C1558" s="37">
        <v>0.14030000000000001</v>
      </c>
      <c r="D1558" s="37">
        <v>0.14085</v>
      </c>
      <c r="E1558" s="19" cm="1">
        <f t="array" ref="E1558">IF(D1558="","",D1558-C1558)</f>
        <v>5.4999999999999494E-4</v>
      </c>
      <c r="F1558" s="20" cm="1">
        <f t="array" ref="F1558">IF(D1558=0,"",(D1558-C1558)/C1558)</f>
        <v>3.9201710620099424E-3</v>
      </c>
      <c r="G1558" s="21">
        <v>106921</v>
      </c>
      <c r="H1558" s="22">
        <v>1</v>
      </c>
      <c r="I1558" s="23" cm="1">
        <f t="array" ref="I1558">IF(D1558="","",(G1558*C1558)*0.00075)</f>
        <v>11.250762225000001</v>
      </c>
      <c r="J1558" s="23" cm="1">
        <f t="array" ref="J1558">IF(D1558="","",(G1558*D1558)*0.00075)</f>
        <v>11.294867137500001</v>
      </c>
      <c r="K1558" s="24" cm="1">
        <f t="array" ref="K1558">IF(D1558="","",J1558+I1558)</f>
        <v>22.545629362500001</v>
      </c>
      <c r="L1558" s="24" cm="1">
        <f t="array" ref="L1558">IF(D1558=0,0,(D1558-C1558)*G1558)</f>
        <v>58.806549999999461</v>
      </c>
      <c r="M1558" s="25">
        <v>14930.9148828625</v>
      </c>
      <c r="N1558" s="26" cm="1">
        <f t="array" ref="N1558">IFERROR((K1558-J1558)/J1558,"–")</f>
        <v>0.99609513667021654</v>
      </c>
      <c r="O1558" s="24" cm="1">
        <f t="array" ref="O1558">IF(D1558=0,0,L1558-K1558)</f>
        <v>36.26092063749946</v>
      </c>
      <c r="P1558" s="23"/>
      <c r="Q1558" s="27"/>
    </row>
    <row r="1559" spans="1:17" ht="22.5" customHeight="1">
      <c r="A1559" s="16" t="s">
        <v>293</v>
      </c>
      <c r="B1559" s="42">
        <v>44608</v>
      </c>
      <c r="C1559" s="36">
        <v>3.22</v>
      </c>
      <c r="D1559" s="36">
        <v>3.22</v>
      </c>
      <c r="E1559" s="30" cm="1">
        <f t="array" ref="E1559">IF(D1559="","",D1559-C1559)</f>
        <v>0</v>
      </c>
      <c r="F1559" s="31" cm="1">
        <f t="array" ref="F1559">IF(D1559=0,"",(D1559-C1559)/C1559)</f>
        <v>0</v>
      </c>
      <c r="G1559" s="32">
        <v>3726</v>
      </c>
      <c r="H1559" s="10">
        <v>1</v>
      </c>
      <c r="I1559" s="11" cm="1">
        <f t="array" ref="I1559">IF(D1559="","",(G1559*C1559)*0.00075)</f>
        <v>8.9982900000000008</v>
      </c>
      <c r="J1559" s="11" cm="1">
        <f t="array" ref="J1559">IF(D1559="","",(G1559*D1559)*0.00075)</f>
        <v>8.9982900000000008</v>
      </c>
      <c r="K1559" s="33" cm="1">
        <f t="array" ref="K1559">IF(D1559="","",J1559+I1559)</f>
        <v>17.996580000000002</v>
      </c>
      <c r="L1559" s="33" cm="1">
        <f t="array" ref="L1559">IF(D1559=0,0,(D1559-C1559)*G1559)</f>
        <v>0</v>
      </c>
      <c r="M1559" s="12">
        <v>11988.72171</v>
      </c>
      <c r="N1559" s="34" cm="1">
        <f t="array" ref="N1559">IFERROR((K1559-J1559)/J1559,"–")</f>
        <v>1</v>
      </c>
      <c r="O1559" s="33" cm="1">
        <f t="array" ref="O1559">IF(D1559=0,0,L1559-K1559)</f>
        <v>-17.996580000000002</v>
      </c>
      <c r="P1559" s="11"/>
      <c r="Q1559" s="35"/>
    </row>
    <row r="1560" spans="1:17" ht="22.5" customHeight="1">
      <c r="A1560" s="16" t="s">
        <v>294</v>
      </c>
      <c r="B1560" s="43">
        <v>44608</v>
      </c>
      <c r="C1560" s="37">
        <v>682.51</v>
      </c>
      <c r="D1560" s="37">
        <v>680.52499999999998</v>
      </c>
      <c r="E1560" s="19" cm="1">
        <f t="array" ref="E1560">IF(D1560="","",D1560-C1560)</f>
        <v>-1.9850000000000136</v>
      </c>
      <c r="F1560" s="20" cm="1">
        <f t="array" ref="F1560">IF(D1560=0,"",(D1560-C1560)/C1560)</f>
        <v>-2.9083822947649318E-3</v>
      </c>
      <c r="G1560" s="21">
        <v>21.977</v>
      </c>
      <c r="H1560" s="22">
        <v>1</v>
      </c>
      <c r="I1560" s="23" cm="1">
        <f t="array" ref="I1560">IF(D1560="","",(G1560*C1560)*0.00075)</f>
        <v>11.2496417025</v>
      </c>
      <c r="J1560" s="23" cm="1">
        <f t="array" ref="J1560">IF(D1560="","",(G1560*D1560)*0.00075)</f>
        <v>11.21692344375</v>
      </c>
      <c r="K1560" s="24" cm="1">
        <f t="array" ref="K1560">IF(D1560="","",J1560+I1560)</f>
        <v>22.466565146249998</v>
      </c>
      <c r="L1560" s="24" cm="1">
        <f t="array" ref="L1560">IF(D1560=0,0,(D1560-C1560)*G1560)</f>
        <v>-43.624345000000304</v>
      </c>
      <c r="M1560" s="25">
        <v>15031.929691556301</v>
      </c>
      <c r="N1560" s="26" cm="1">
        <f t="array" ref="N1560">IFERROR((K1560-J1560)/J1560,"–")</f>
        <v>1.0029168656551926</v>
      </c>
      <c r="O1560" s="24" cm="1">
        <f t="array" ref="O1560">IF(D1560=0,0,L1560-K1560)</f>
        <v>-66.090910146250309</v>
      </c>
      <c r="P1560" s="23"/>
      <c r="Q1560" s="27"/>
    </row>
    <row r="1561" spans="1:17" ht="22.5" customHeight="1">
      <c r="A1561" s="16" t="s">
        <v>28</v>
      </c>
      <c r="B1561" s="42">
        <v>44608</v>
      </c>
      <c r="C1561" s="36">
        <v>0.60199999999999998</v>
      </c>
      <c r="D1561" s="36">
        <v>0.6</v>
      </c>
      <c r="E1561" s="30" cm="1">
        <f t="array" ref="E1561">IF(D1561="","",D1561-C1561)</f>
        <v>-2.0000000000000018E-3</v>
      </c>
      <c r="F1561" s="31" cm="1">
        <f t="array" ref="F1561">IF(D1561=0,"",(D1561-C1561)/C1561)</f>
        <v>-3.3222591362126277E-3</v>
      </c>
      <c r="G1561" s="32">
        <v>16599</v>
      </c>
      <c r="H1561" s="10">
        <v>1</v>
      </c>
      <c r="I1561" s="11" cm="1">
        <f t="array" ref="I1561">IF(D1561="","",(G1561*C1561)*0.00075)</f>
        <v>7.4944484999999998</v>
      </c>
      <c r="J1561" s="11" cm="1">
        <f t="array" ref="J1561">IF(D1561="","",(G1561*D1561)*0.00075)</f>
        <v>7.4695499999999999</v>
      </c>
      <c r="K1561" s="33" cm="1">
        <f t="array" ref="K1561">IF(D1561="","",J1561+I1561)</f>
        <v>14.963998499999999</v>
      </c>
      <c r="L1561" s="33" cm="1">
        <f t="array" ref="L1561">IF(D1561=0,0,(D1561-C1561)*G1561)</f>
        <v>-33.198000000000029</v>
      </c>
      <c r="M1561" s="12">
        <v>10018.32645</v>
      </c>
      <c r="N1561" s="34" cm="1">
        <f t="array" ref="N1561">IFERROR((K1561-J1561)/J1561,"–")</f>
        <v>1.0033333333333332</v>
      </c>
      <c r="O1561" s="33" cm="1">
        <f t="array" ref="O1561">IF(D1561=0,0,L1561-K1561)</f>
        <v>-48.161998500000024</v>
      </c>
      <c r="P1561" s="11"/>
      <c r="Q1561" s="35"/>
    </row>
    <row r="1562" spans="1:17" ht="22.5" customHeight="1">
      <c r="A1562" s="16" t="s">
        <v>147</v>
      </c>
      <c r="B1562" s="43">
        <v>44608</v>
      </c>
      <c r="C1562" s="37">
        <v>0.33119999999999999</v>
      </c>
      <c r="D1562" s="37">
        <v>0.32485000000000003</v>
      </c>
      <c r="E1562" s="19" cm="1">
        <f t="array" ref="E1562">IF(D1562="","",D1562-C1562)</f>
        <v>-6.3499999999999668E-3</v>
      </c>
      <c r="F1562" s="20" cm="1">
        <f t="array" ref="F1562">IF(D1562=0,"",(D1562-C1562)/C1562)</f>
        <v>-1.9172705314009563E-2</v>
      </c>
      <c r="G1562" s="21">
        <v>27171</v>
      </c>
      <c r="H1562" s="22">
        <v>1</v>
      </c>
      <c r="I1562" s="23" cm="1">
        <f t="array" ref="I1562">IF(D1562="","",(G1562*C1562)*0.00075)</f>
        <v>6.7492764000000003</v>
      </c>
      <c r="J1562" s="23" cm="1">
        <f t="array" ref="J1562">IF(D1562="","",(G1562*D1562)*0.00075)</f>
        <v>6.6198745125</v>
      </c>
      <c r="K1562" s="24" cm="1">
        <f t="array" ref="K1562">IF(D1562="","",J1562+I1562)</f>
        <v>13.3691509125</v>
      </c>
      <c r="L1562" s="24" cm="1">
        <f t="array" ref="L1562">IF(D1562=0,0,(D1562-C1562)*G1562)</f>
        <v>-172.5358499999991</v>
      </c>
      <c r="M1562" s="25">
        <v>9164.9511754875002</v>
      </c>
      <c r="N1562" s="26" cm="1">
        <f t="array" ref="N1562">IFERROR((K1562-J1562)/J1562,"–")</f>
        <v>1.0195474834539018</v>
      </c>
      <c r="O1562" s="24" cm="1">
        <f t="array" ref="O1562">IF(D1562=0,0,L1562-K1562)</f>
        <v>-185.9050009124991</v>
      </c>
      <c r="P1562" s="23"/>
      <c r="Q1562" s="27"/>
    </row>
    <row r="1563" spans="1:17" ht="22.5" customHeight="1">
      <c r="A1563" s="16" t="s">
        <v>173</v>
      </c>
      <c r="B1563" s="42">
        <v>44608</v>
      </c>
      <c r="C1563" s="36">
        <v>6</v>
      </c>
      <c r="D1563" s="36">
        <v>4.76</v>
      </c>
      <c r="E1563" s="30" cm="1">
        <f t="array" ref="E1563">IF(D1563="","",D1563-C1563)</f>
        <v>-1.2400000000000002</v>
      </c>
      <c r="F1563" s="31" cm="1">
        <f t="array" ref="F1563">IF(D1563=0,"",(D1563-C1563)/C1563)</f>
        <v>-0.20666666666666669</v>
      </c>
      <c r="G1563" s="32">
        <v>1500</v>
      </c>
      <c r="H1563" s="10">
        <v>1</v>
      </c>
      <c r="I1563" s="11" cm="1">
        <f t="array" ref="I1563">IF(D1563="","",(G1563*C1563)*0.00075)</f>
        <v>6.75</v>
      </c>
      <c r="J1563" s="11" cm="1">
        <f t="array" ref="J1563">IF(D1563="","",(G1563*D1563)*0.00075)</f>
        <v>5.3550000000000004</v>
      </c>
      <c r="K1563" s="33" cm="1">
        <f t="array" ref="K1563">IF(D1563="","",J1563+I1563)</f>
        <v>12.105</v>
      </c>
      <c r="L1563" s="33" cm="1">
        <f t="array" ref="L1563">IF(D1563=0,0,(D1563-C1563)*G1563)</f>
        <v>-1860.0000000000002</v>
      </c>
      <c r="M1563" s="12">
        <v>10854.645</v>
      </c>
      <c r="N1563" s="34" cm="1">
        <f t="array" ref="N1563">IFERROR((K1563-J1563)/J1563,"–")</f>
        <v>1.2605042016806722</v>
      </c>
      <c r="O1563" s="33" cm="1">
        <f t="array" ref="O1563">IF(D1563=0,0,L1563-K1563)</f>
        <v>-1872.1050000000002</v>
      </c>
      <c r="P1563" s="11"/>
      <c r="Q1563" s="35"/>
    </row>
    <row r="1564" spans="1:17" ht="22.5" customHeight="1">
      <c r="A1564" s="16" t="s">
        <v>263</v>
      </c>
      <c r="B1564" s="43">
        <v>44616</v>
      </c>
      <c r="C1564" s="37">
        <v>5705</v>
      </c>
      <c r="D1564" s="37">
        <v>1</v>
      </c>
      <c r="E1564" s="19" cm="1">
        <f t="array" ref="E1564">IF(D1564="","",D1564-C1564)</f>
        <v>-5704</v>
      </c>
      <c r="F1564" s="20" cm="1">
        <f t="array" ref="F1564">IF(D1564=0,"",(D1564-C1564)/C1564)</f>
        <v>-0.99982471516213844</v>
      </c>
      <c r="G1564" s="21">
        <v>1</v>
      </c>
      <c r="H1564" s="22">
        <v>1</v>
      </c>
      <c r="I1564" s="23" cm="1">
        <f t="array" ref="I1564">IF(D1564="","",(G1564*C1564)*0.00075)</f>
        <v>4.2787500000000005</v>
      </c>
      <c r="J1564" s="23" cm="1">
        <f t="array" ref="J1564">IF(D1564="","",(G1564*D1564)*0.00075)</f>
        <v>7.5000000000000002E-4</v>
      </c>
      <c r="K1564" s="24" cm="1">
        <f t="array" ref="K1564">IF(D1564="","",J1564+I1564)</f>
        <v>4.2795000000000005</v>
      </c>
      <c r="L1564" s="24" cm="1">
        <f t="array" ref="L1564">IF(D1564=0,0,(D1564-C1564)*G1564)</f>
        <v>-5704</v>
      </c>
      <c r="M1564" s="25">
        <v>11408.999250000001</v>
      </c>
      <c r="N1564" s="26" cm="1">
        <f t="array" ref="N1564">IFERROR((K1564-J1564)/J1564,"–")</f>
        <v>5705.0000000000009</v>
      </c>
      <c r="O1564" s="24" cm="1">
        <f t="array" ref="O1564">IF(D1564=0,0,L1564-K1564)</f>
        <v>-5708.2794999999996</v>
      </c>
      <c r="P1564" s="44" t="s">
        <v>436</v>
      </c>
      <c r="Q1564" s="27"/>
    </row>
    <row r="1565" spans="1:17" ht="22.5" customHeight="1">
      <c r="A1565" s="7"/>
      <c r="B1565" s="8"/>
      <c r="C1565" s="36"/>
      <c r="D1565" s="36"/>
      <c r="E1565" s="8" t="str" cm="1">
        <f t="array" ref="E1565">IF(D1565="","",D1565-C1565)</f>
        <v/>
      </c>
      <c r="F1565" s="8" t="str" cm="1">
        <f t="array" ref="F1565">IF(D1565=0,"",(D1565-C1565)/C1565)</f>
        <v/>
      </c>
      <c r="G1565" s="32"/>
      <c r="H1565" s="10">
        <v>1</v>
      </c>
      <c r="I1565" s="8" t="str" cm="1">
        <f t="array" ref="I1565">IF(D1565="","",(G1565*C1565)*0.00075)</f>
        <v/>
      </c>
      <c r="J1565" s="8" t="str" cm="1">
        <f t="array" ref="J1565">IF(D1565="","",(G1565*D1565)*0.00075)</f>
        <v/>
      </c>
      <c r="K1565" s="8" t="str" cm="1">
        <f t="array" ref="K1565">IF(D1565="","",J1565+I1565)</f>
        <v/>
      </c>
      <c r="L1565" s="33" cm="1">
        <f t="array" ref="L1565">IF(D1565=0,0,(D1565-C1565)*G1565)</f>
        <v>0</v>
      </c>
      <c r="M1565" s="45" t="s">
        <v>13</v>
      </c>
      <c r="N1565" s="13" t="str" cm="1">
        <f t="array" ref="N1565">IFERROR((K1565-J1565)/J1565,"–")</f>
        <v>–</v>
      </c>
      <c r="O1565" s="33" cm="1">
        <f t="array" ref="O1565">IF(D1565=0,0,L1565-K1565)</f>
        <v>0</v>
      </c>
      <c r="P1565" s="11" cm="1">
        <f t="array" ref="P1565">SUM(O1491:O1564)</f>
        <v>-10236.501266420591</v>
      </c>
      <c r="Q1565" s="35"/>
    </row>
    <row r="1566" spans="1:17" ht="22.5" customHeight="1">
      <c r="A1566" s="7"/>
      <c r="B1566" s="40"/>
      <c r="C1566" s="37"/>
      <c r="D1566" s="37"/>
      <c r="E1566" s="40" t="str" cm="1">
        <f t="array" ref="E1566">IF(D1566="","",D1566-C1566)</f>
        <v/>
      </c>
      <c r="F1566" s="40" t="str" cm="1">
        <f t="array" ref="F1566">IF(D1566=0,"",(D1566-C1566)/C1566)</f>
        <v/>
      </c>
      <c r="G1566" s="21"/>
      <c r="H1566" s="22">
        <v>1</v>
      </c>
      <c r="I1566" s="40" t="str" cm="1">
        <f t="array" ref="I1566">IF(D1566="","",(G1566*C1566)*0.00075)</f>
        <v/>
      </c>
      <c r="J1566" s="40" t="str" cm="1">
        <f t="array" ref="J1566">IF(D1566="","",(G1566*D1566)*0.00075)</f>
        <v/>
      </c>
      <c r="K1566" s="40" t="str" cm="1">
        <f t="array" ref="K1566">IF(D1566="","",J1566+I1566)</f>
        <v/>
      </c>
      <c r="L1566" s="24" cm="1">
        <f t="array" ref="L1566">IF(D1566=0,0,(D1566-C1566)*G1566)</f>
        <v>0</v>
      </c>
      <c r="M1566" s="46" t="s">
        <v>13</v>
      </c>
      <c r="N1566" s="47" t="str" cm="1">
        <f t="array" ref="N1566">IFERROR((K1566-J1566)/J1566,"–")</f>
        <v>–</v>
      </c>
      <c r="O1566" s="24" cm="1">
        <f t="array" ref="O1566">IF(D1566=0,0,L1566-K1566)</f>
        <v>0</v>
      </c>
      <c r="P1566" s="23"/>
      <c r="Q1566" s="27"/>
    </row>
    <row r="1567" spans="1:17" ht="22.5" customHeight="1">
      <c r="A1567" s="16" t="s">
        <v>120</v>
      </c>
      <c r="B1567" s="28">
        <v>44626</v>
      </c>
      <c r="C1567" s="36">
        <v>0.1234</v>
      </c>
      <c r="D1567" s="36">
        <v>0.1245</v>
      </c>
      <c r="E1567" s="30" cm="1">
        <f t="array" ref="E1567">IF(D1567="","",D1567-C1567)</f>
        <v>1.1000000000000038E-3</v>
      </c>
      <c r="F1567" s="31" cm="1">
        <f t="array" ref="F1567">IF(D1567=0,"",(D1567-C1567)/C1567)</f>
        <v>8.9141004862236944E-3</v>
      </c>
      <c r="G1567" s="32">
        <v>16064</v>
      </c>
      <c r="H1567" s="10">
        <v>1</v>
      </c>
      <c r="I1567" s="11" cm="1">
        <f t="array" ref="I1567">IF(D1567="","",(G1567*C1567)*0.00075)</f>
        <v>1.4867231999999999</v>
      </c>
      <c r="J1567" s="11" cm="1">
        <f t="array" ref="J1567">IF(D1567="","",(G1567*D1567)*0.00075)</f>
        <v>1.4999760000000002</v>
      </c>
      <c r="K1567" s="33" cm="1">
        <f t="array" ref="K1567">IF(D1567="","",J1567+I1567)</f>
        <v>2.9866992000000003</v>
      </c>
      <c r="L1567" s="33" cm="1">
        <f t="array" ref="L1567">IF(D1567=0,0,(D1567-C1567)*G1567)</f>
        <v>17.670400000000061</v>
      </c>
      <c r="M1567" s="12">
        <v>1963.1272240000001</v>
      </c>
      <c r="N1567" s="34" cm="1">
        <f t="array" ref="N1567">IFERROR((K1567-J1567)/J1567,"–")</f>
        <v>0.99116465863453806</v>
      </c>
      <c r="O1567" s="33" cm="1">
        <f t="array" ref="O1567">IF(D1567=0,0,L1567-K1567)</f>
        <v>14.683700800000061</v>
      </c>
      <c r="P1567" s="11"/>
      <c r="Q1567" s="35"/>
    </row>
    <row r="1568" spans="1:17" ht="22.5" customHeight="1">
      <c r="A1568" s="16" t="s">
        <v>120</v>
      </c>
      <c r="B1568" s="17">
        <v>44626</v>
      </c>
      <c r="C1568" s="37">
        <v>0.1234</v>
      </c>
      <c r="D1568" s="37">
        <v>0.126</v>
      </c>
      <c r="E1568" s="19" cm="1">
        <f t="array" ref="E1568">IF(D1568="","",D1568-C1568)</f>
        <v>2.6000000000000051E-3</v>
      </c>
      <c r="F1568" s="20" cm="1">
        <f t="array" ref="F1568">IF(D1568=0,"",(D1568-C1568)/C1568)</f>
        <v>2.106969205834688E-2</v>
      </c>
      <c r="G1568" s="21">
        <v>40648</v>
      </c>
      <c r="H1568" s="22">
        <v>1</v>
      </c>
      <c r="I1568" s="23" cm="1">
        <f t="array" ref="I1568">IF(D1568="","",(G1568*C1568)*0.00075)</f>
        <v>3.7619724000000003</v>
      </c>
      <c r="J1568" s="23" cm="1">
        <f t="array" ref="J1568">IF(D1568="","",(G1568*D1568)*0.00075)</f>
        <v>3.8412360000000003</v>
      </c>
      <c r="K1568" s="24" cm="1">
        <f t="array" ref="K1568">IF(D1568="","",J1568+I1568)</f>
        <v>7.6032084000000006</v>
      </c>
      <c r="L1568" s="24" cm="1">
        <f t="array" ref="L1568">IF(D1568=0,0,(D1568-C1568)*G1568)</f>
        <v>105.68480000000021</v>
      </c>
      <c r="M1568" s="25">
        <v>4906.4371639999999</v>
      </c>
      <c r="N1568" s="26" cm="1">
        <f t="array" ref="N1568">IFERROR((K1568-J1568)/J1568,"–")</f>
        <v>0.97936507936507933</v>
      </c>
      <c r="O1568" s="24" cm="1">
        <f t="array" ref="O1568">IF(D1568=0,0,L1568-K1568)</f>
        <v>98.081591600000209</v>
      </c>
      <c r="P1568" s="23"/>
      <c r="Q1568" s="27"/>
    </row>
    <row r="1569" spans="1:17" ht="22.5" customHeight="1">
      <c r="A1569" s="16" t="s">
        <v>233</v>
      </c>
      <c r="B1569" s="28">
        <v>44626</v>
      </c>
      <c r="C1569" s="36">
        <v>0.78800000000000003</v>
      </c>
      <c r="D1569" s="36">
        <v>0.79120000000000001</v>
      </c>
      <c r="E1569" s="30" cm="1">
        <f t="array" ref="E1569">IF(D1569="","",D1569-C1569)</f>
        <v>3.1999999999999806E-3</v>
      </c>
      <c r="F1569" s="31" cm="1">
        <f t="array" ref="F1569">IF(D1569=0,"",(D1569-C1569)/C1569)</f>
        <v>4.0609137055837314E-3</v>
      </c>
      <c r="G1569" s="32">
        <v>65989</v>
      </c>
      <c r="H1569" s="10">
        <v>1</v>
      </c>
      <c r="I1569" s="11" cm="1">
        <f t="array" ref="I1569">IF(D1569="","",(G1569*C1569)*0.00075)</f>
        <v>38.999499</v>
      </c>
      <c r="J1569" s="11" cm="1">
        <f t="array" ref="J1569">IF(D1569="","",(G1569*D1569)*0.00075)</f>
        <v>39.157872600000005</v>
      </c>
      <c r="K1569" s="33" cm="1">
        <f t="array" ref="K1569">IF(D1569="","",J1569+I1569)</f>
        <v>78.157371600000005</v>
      </c>
      <c r="L1569" s="33" cm="1">
        <f t="array" ref="L1569">IF(D1569=0,0,(D1569-C1569)*G1569)</f>
        <v>211.16479999999873</v>
      </c>
      <c r="M1569" s="12">
        <v>51749.009327400003</v>
      </c>
      <c r="N1569" s="34" cm="1">
        <f t="array" ref="N1569">IFERROR((K1569-J1569)/J1569,"–")</f>
        <v>0.99595551061678456</v>
      </c>
      <c r="O1569" s="33" cm="1">
        <f t="array" ref="O1569">IF(D1569=0,0,L1569-K1569)</f>
        <v>133.00742839999873</v>
      </c>
      <c r="P1569" s="11"/>
      <c r="Q1569" s="35"/>
    </row>
    <row r="1570" spans="1:17" ht="22.5" customHeight="1">
      <c r="A1570" s="16" t="s">
        <v>180</v>
      </c>
      <c r="B1570" s="17">
        <v>44626</v>
      </c>
      <c r="C1570" s="37">
        <v>1.409</v>
      </c>
      <c r="D1570" s="37">
        <v>1.407</v>
      </c>
      <c r="E1570" s="19" cm="1">
        <f t="array" ref="E1570">IF(D1570="","",D1570-C1570)</f>
        <v>-2.0000000000000018E-3</v>
      </c>
      <c r="F1570" s="20" cm="1">
        <f t="array" ref="F1570">IF(D1570=0,"",(D1570-C1570)/C1570)</f>
        <v>-1.419446415897801E-3</v>
      </c>
      <c r="G1570" s="21">
        <v>7097</v>
      </c>
      <c r="H1570" s="22">
        <v>1</v>
      </c>
      <c r="I1570" s="23" cm="1">
        <f t="array" ref="I1570">IF(D1570="","",(G1570*C1570)*0.00075)</f>
        <v>7.499754750000001</v>
      </c>
      <c r="J1570" s="23" cm="1">
        <f t="array" ref="J1570">IF(D1570="","",(G1570*D1570)*0.00075)</f>
        <v>7.4891092499999994</v>
      </c>
      <c r="K1570" s="24" cm="1">
        <f t="array" ref="K1570">IF(D1570="","",J1570+I1570)</f>
        <v>14.988864</v>
      </c>
      <c r="L1570" s="24" cm="1">
        <f t="array" ref="L1570">IF(D1570=0,0,(D1570-C1570)*G1570)</f>
        <v>-14.194000000000013</v>
      </c>
      <c r="M1570" s="25">
        <v>10006.37789075</v>
      </c>
      <c r="N1570" s="26" cm="1">
        <f t="array" ref="N1570">IFERROR((K1570-J1570)/J1570,"–")</f>
        <v>1.0014214641080315</v>
      </c>
      <c r="O1570" s="24" cm="1">
        <f t="array" ref="O1570">IF(D1570=0,0,L1570-K1570)</f>
        <v>-29.182864000000013</v>
      </c>
      <c r="P1570" s="23"/>
      <c r="Q1570" s="27"/>
    </row>
    <row r="1571" spans="1:17" ht="22.5" customHeight="1">
      <c r="A1571" s="16" t="s">
        <v>35</v>
      </c>
      <c r="B1571" s="53">
        <v>44628</v>
      </c>
      <c r="C1571" s="36">
        <v>2.0720000000000001</v>
      </c>
      <c r="D1571" s="36">
        <v>2.0924999999999998</v>
      </c>
      <c r="E1571" s="30" cm="1">
        <f t="array" ref="E1571">IF(D1571="","",D1571-C1571)</f>
        <v>2.0499999999999741E-2</v>
      </c>
      <c r="F1571" s="31" cm="1">
        <f t="array" ref="F1571">IF(D1571=0,"",(D1571-C1571)/C1571)</f>
        <v>9.8938223938222682E-3</v>
      </c>
      <c r="G1571" s="32">
        <v>9652</v>
      </c>
      <c r="H1571" s="10">
        <v>1</v>
      </c>
      <c r="I1571" s="11" cm="1">
        <f t="array" ref="I1571">IF(D1571="","",(G1571*C1571)*0.00075)</f>
        <v>14.999207999999999</v>
      </c>
      <c r="J1571" s="11" cm="1">
        <f t="array" ref="J1571">IF(D1571="","",(G1571*D1571)*0.00075)</f>
        <v>15.147607499999999</v>
      </c>
      <c r="K1571" s="33" cm="1">
        <f t="array" ref="K1571">IF(D1571="","",J1571+I1571)</f>
        <v>30.146815499999999</v>
      </c>
      <c r="L1571" s="33" cm="1">
        <f t="array" ref="L1571">IF(D1571=0,0,(D1571-C1571)*G1571)</f>
        <v>197.86599999999748</v>
      </c>
      <c r="M1571" s="12">
        <v>19785.930392499999</v>
      </c>
      <c r="N1571" s="34" cm="1">
        <f t="array" ref="N1571">IFERROR((K1571-J1571)/J1571,"–")</f>
        <v>0.99020310633213859</v>
      </c>
      <c r="O1571" s="33" cm="1">
        <f t="array" ref="O1571">IF(D1571=0,0,L1571-K1571)</f>
        <v>167.71918449999748</v>
      </c>
      <c r="P1571" s="11"/>
      <c r="Q1571" s="35"/>
    </row>
    <row r="1572" spans="1:17" ht="22.5" customHeight="1">
      <c r="A1572" s="16" t="s">
        <v>50</v>
      </c>
      <c r="B1572" s="52">
        <v>44629</v>
      </c>
      <c r="C1572" s="37">
        <v>6.42</v>
      </c>
      <c r="D1572" s="37">
        <v>6.48</v>
      </c>
      <c r="E1572" s="19" cm="1">
        <f t="array" ref="E1572">IF(D1572="","",D1572-C1572)</f>
        <v>6.0000000000000497E-2</v>
      </c>
      <c r="F1572" s="20" cm="1">
        <f t="array" ref="F1572">IF(D1572=0,"",(D1572-C1572)/C1572)</f>
        <v>9.3457943925234419E-3</v>
      </c>
      <c r="G1572" s="21">
        <v>1557.63</v>
      </c>
      <c r="H1572" s="22">
        <v>1</v>
      </c>
      <c r="I1572" s="23" cm="1">
        <f t="array" ref="I1572">IF(D1572="","",(G1572*C1572)*0.00075)</f>
        <v>7.49998845</v>
      </c>
      <c r="J1572" s="23" cm="1">
        <f t="array" ref="J1572">IF(D1572="","",(G1572*D1572)*0.00075)</f>
        <v>7.5700818000000014</v>
      </c>
      <c r="K1572" s="24" cm="1">
        <f t="array" ref="K1572">IF(D1572="","",J1572+I1572)</f>
        <v>15.070070250000001</v>
      </c>
      <c r="L1572" s="24" cm="1">
        <f t="array" ref="L1572">IF(D1572=0,0,(D1572-C1572)*G1572)</f>
        <v>93.457800000000788</v>
      </c>
      <c r="M1572" s="25">
        <v>9898.9567181999992</v>
      </c>
      <c r="N1572" s="26" cm="1">
        <f t="array" ref="N1572">IFERROR((K1572-J1572)/J1572,"–")</f>
        <v>0.99074074074074048</v>
      </c>
      <c r="O1572" s="24" cm="1">
        <f t="array" ref="O1572">IF(D1572=0,0,L1572-K1572)</f>
        <v>78.387729750000787</v>
      </c>
      <c r="P1572" s="23"/>
      <c r="Q1572" s="27"/>
    </row>
    <row r="1573" spans="1:17" ht="22.5" customHeight="1">
      <c r="A1573" s="7"/>
      <c r="B1573" s="53">
        <v>44629</v>
      </c>
      <c r="C1573" s="36">
        <v>16.18</v>
      </c>
      <c r="D1573" s="36">
        <v>16.600000000000001</v>
      </c>
      <c r="E1573" s="30" cm="1">
        <f t="array" ref="E1573">IF(D1573="","",D1573-C1573)</f>
        <v>0.42000000000000171</v>
      </c>
      <c r="F1573" s="31" cm="1">
        <f t="array" ref="F1573">IF(D1573=0,"",(D1573-C1573)/C1573)</f>
        <v>2.5957972805933358E-2</v>
      </c>
      <c r="G1573" s="32">
        <v>189.24</v>
      </c>
      <c r="H1573" s="10">
        <v>1</v>
      </c>
      <c r="I1573" s="11" cm="1">
        <f t="array" ref="I1573">IF(D1573="","",(G1573*C1573)*0.00075)</f>
        <v>2.2964274000000002</v>
      </c>
      <c r="J1573" s="11" cm="1">
        <f t="array" ref="J1573">IF(D1573="","",(G1573*D1573)*0.00075)</f>
        <v>2.3560380000000003</v>
      </c>
      <c r="K1573" s="33" cm="1">
        <f t="array" ref="K1573">IF(D1573="","",J1573+I1573)</f>
        <v>4.6524654000000005</v>
      </c>
      <c r="L1573" s="33" cm="1">
        <f t="array" ref="L1573">IF(D1573=0,0,(D1573-C1573)*G1573)</f>
        <v>79.480800000000329</v>
      </c>
      <c r="M1573" s="12">
        <v>2980.066362</v>
      </c>
      <c r="N1573" s="34" cm="1">
        <f t="array" ref="N1573">IFERROR((K1573-J1573)/J1573,"–")</f>
        <v>0.97469879518072289</v>
      </c>
      <c r="O1573" s="33" cm="1">
        <f t="array" ref="O1573">IF(D1573=0,0,L1573-K1573)</f>
        <v>74.828334600000332</v>
      </c>
      <c r="P1573" s="11"/>
      <c r="Q1573" s="35"/>
    </row>
    <row r="1574" spans="1:17" ht="22.5" customHeight="1">
      <c r="A1574" s="7"/>
      <c r="B1574" s="52">
        <v>44629</v>
      </c>
      <c r="C1574" s="37">
        <v>16.98</v>
      </c>
      <c r="D1574" s="37">
        <v>16.895</v>
      </c>
      <c r="E1574" s="19" cm="1">
        <f t="array" ref="E1574">IF(D1574="","",D1574-C1574)</f>
        <v>-8.5000000000000853E-2</v>
      </c>
      <c r="F1574" s="20" cm="1">
        <f t="array" ref="F1574">IF(D1574=0,"",(D1574-C1574)/C1574)</f>
        <v>-5.0058892815077064E-3</v>
      </c>
      <c r="G1574" s="21">
        <v>588.83000000000004</v>
      </c>
      <c r="H1574" s="22">
        <v>1</v>
      </c>
      <c r="I1574" s="23" cm="1">
        <f t="array" ref="I1574">IF(D1574="","",(G1574*C1574)*0.00075)</f>
        <v>7.4987500500000008</v>
      </c>
      <c r="J1574" s="23" cm="1">
        <f t="array" ref="J1574">IF(D1574="","",(G1574*D1574)*0.00075)</f>
        <v>7.4612121374999996</v>
      </c>
      <c r="K1574" s="24" cm="1">
        <f t="array" ref="K1574">IF(D1574="","",J1574+I1574)</f>
        <v>14.9599621875</v>
      </c>
      <c r="L1574" s="24" cm="1">
        <f t="array" ref="L1574">IF(D1574=0,0,(D1574-C1574)*G1574)</f>
        <v>-50.050550000000506</v>
      </c>
      <c r="M1574" s="25">
        <v>10040.9227378625</v>
      </c>
      <c r="N1574" s="26" cm="1">
        <f t="array" ref="N1574">IFERROR((K1574-J1574)/J1574,"–")</f>
        <v>1.0050310742823323</v>
      </c>
      <c r="O1574" s="24" cm="1">
        <f t="array" ref="O1574">IF(D1574=0,0,L1574-K1574)</f>
        <v>-65.01051218750051</v>
      </c>
      <c r="P1574" s="23"/>
      <c r="Q1574" s="27"/>
    </row>
    <row r="1575" spans="1:17" ht="22.5" customHeight="1">
      <c r="A1575" s="16" t="s">
        <v>30</v>
      </c>
      <c r="B1575" s="53">
        <v>44630</v>
      </c>
      <c r="C1575" s="36">
        <v>39285.019999999997</v>
      </c>
      <c r="D1575" s="36">
        <v>39310</v>
      </c>
      <c r="E1575" s="30" cm="1">
        <f t="array" ref="E1575">IF(D1575="","",D1575-C1575)</f>
        <v>24.980000000003201</v>
      </c>
      <c r="F1575" s="31" cm="1">
        <f t="array" ref="F1575">IF(D1575=0,"",(D1575-C1575)/C1575)</f>
        <v>6.3586578293719088E-4</v>
      </c>
      <c r="G1575" s="32">
        <v>0.25453999999999999</v>
      </c>
      <c r="H1575" s="10">
        <v>1</v>
      </c>
      <c r="I1575" s="11" cm="1">
        <f t="array" ref="I1575">IF(D1575="","",(G1575*C1575)*0.00075)</f>
        <v>7.4997067431</v>
      </c>
      <c r="J1575" s="11" cm="1">
        <f t="array" ref="J1575">IF(D1575="","",(G1575*D1575)*0.00075)</f>
        <v>7.5044755499999996</v>
      </c>
      <c r="K1575" s="33" cm="1">
        <f t="array" ref="K1575">IF(D1575="","",J1575+I1575)</f>
        <v>15.0041822931</v>
      </c>
      <c r="L1575" s="33" cm="1">
        <f t="array" ref="L1575">IF(D1575=0,0,(D1575-C1575)*G1575)</f>
        <v>6.358409200000815</v>
      </c>
      <c r="M1575" s="12">
        <v>9985.7461060500009</v>
      </c>
      <c r="N1575" s="34" cm="1">
        <f t="array" ref="N1575">IFERROR((K1575-J1575)/J1575,"–")</f>
        <v>0.9993645382854236</v>
      </c>
      <c r="O1575" s="33" cm="1">
        <f t="array" ref="O1575">IF(D1575=0,0,L1575-K1575)</f>
        <v>-8.6457730930991836</v>
      </c>
      <c r="P1575" s="11"/>
      <c r="Q1575" s="35"/>
    </row>
    <row r="1576" spans="1:17" ht="22.5" customHeight="1">
      <c r="A1576" s="16" t="s">
        <v>60</v>
      </c>
      <c r="B1576" s="52">
        <v>44633</v>
      </c>
      <c r="C1576" s="37">
        <v>0.71240000000000003</v>
      </c>
      <c r="D1576" s="37">
        <v>0.71130000000000004</v>
      </c>
      <c r="E1576" s="19" cm="1">
        <f t="array" ref="E1576">IF(D1576="","",D1576-C1576)</f>
        <v>-1.0999999999999899E-3</v>
      </c>
      <c r="F1576" s="20" cm="1">
        <f t="array" ref="F1576">IF(D1576=0,"",(D1576-C1576)/C1576)</f>
        <v>-1.5440763615945955E-3</v>
      </c>
      <c r="G1576" s="21">
        <v>4210</v>
      </c>
      <c r="H1576" s="22">
        <v>1</v>
      </c>
      <c r="I1576" s="23" cm="1">
        <f t="array" ref="I1576">IF(D1576="","",(G1576*C1576)*0.00075)</f>
        <v>2.249403</v>
      </c>
      <c r="J1576" s="23" cm="1">
        <f t="array" ref="J1576">IF(D1576="","",(G1576*D1576)*0.00075)</f>
        <v>2.2459297500000002</v>
      </c>
      <c r="K1576" s="24" cm="1">
        <f t="array" ref="K1576">IF(D1576="","",J1576+I1576)</f>
        <v>4.4953327500000002</v>
      </c>
      <c r="L1576" s="24" cm="1">
        <f t="array" ref="L1576">IF(D1576=0,0,(D1576-C1576)*G1576)</f>
        <v>-4.6309999999999576</v>
      </c>
      <c r="M1576" s="25">
        <v>3001.5890702500001</v>
      </c>
      <c r="N1576" s="26" cm="1">
        <f t="array" ref="N1576">IFERROR((K1576-J1576)/J1576,"–")</f>
        <v>1.0015464642204415</v>
      </c>
      <c r="O1576" s="24" cm="1">
        <f t="array" ref="O1576">IF(D1576=0,0,L1576-K1576)</f>
        <v>-9.1263327499999569</v>
      </c>
      <c r="P1576" s="23"/>
      <c r="Q1576" s="27"/>
    </row>
    <row r="1577" spans="1:17" ht="22.5" customHeight="1">
      <c r="A1577" s="16" t="s">
        <v>295</v>
      </c>
      <c r="B1577" s="53">
        <v>44634</v>
      </c>
      <c r="C1577" s="36">
        <v>0.69769999999999999</v>
      </c>
      <c r="D1577" s="36">
        <v>0.69640000000000002</v>
      </c>
      <c r="E1577" s="30" cm="1">
        <f t="array" ref="E1577">IF(D1577="","",D1577-C1577)</f>
        <v>-1.2999999999999678E-3</v>
      </c>
      <c r="F1577" s="31" cm="1">
        <f t="array" ref="F1577">IF(D1577=0,"",(D1577-C1577)/C1577)</f>
        <v>-1.8632650136161213E-3</v>
      </c>
      <c r="G1577" s="32">
        <v>28666</v>
      </c>
      <c r="H1577" s="10">
        <v>1</v>
      </c>
      <c r="I1577" s="11" cm="1">
        <f t="array" ref="I1577">IF(D1577="","",(G1577*C1577)*0.00075)</f>
        <v>15.000201149999999</v>
      </c>
      <c r="J1577" s="11" cm="1">
        <f t="array" ref="J1577">IF(D1577="","",(G1577*D1577)*0.00075)</f>
        <v>14.9722518</v>
      </c>
      <c r="K1577" s="33" cm="1">
        <f t="array" ref="K1577">IF(D1577="","",J1577+I1577)</f>
        <v>29.972452949999997</v>
      </c>
      <c r="L1577" s="33" cm="1">
        <f t="array" ref="L1577">IF(D1577=0,0,(D1577-C1577)*G1577)</f>
        <v>-37.265799999999075</v>
      </c>
      <c r="M1577" s="12">
        <v>20022.561748200002</v>
      </c>
      <c r="N1577" s="34" cm="1">
        <f t="array" ref="N1577">IFERROR((K1577-J1577)/J1577,"–")</f>
        <v>1.0018667432510049</v>
      </c>
      <c r="O1577" s="33" cm="1">
        <f t="array" ref="O1577">IF(D1577=0,0,L1577-K1577)</f>
        <v>-67.238252949999065</v>
      </c>
      <c r="P1577" s="11"/>
      <c r="Q1577" s="35"/>
    </row>
    <row r="1578" spans="1:17" ht="22.5" customHeight="1">
      <c r="A1578" s="16" t="s">
        <v>146</v>
      </c>
      <c r="B1578" s="52">
        <v>44635</v>
      </c>
      <c r="C1578" s="37">
        <v>1.336E-2</v>
      </c>
      <c r="D1578" s="37">
        <v>1.3296000000000001E-2</v>
      </c>
      <c r="E1578" s="19" cm="1">
        <f t="array" ref="E1578">IF(D1578="","",D1578-C1578)</f>
        <v>-6.3999999999999821E-5</v>
      </c>
      <c r="F1578" s="20" cm="1">
        <f t="array" ref="F1578">IF(D1578=0,"",(D1578-C1578)/C1578)</f>
        <v>-4.7904191616766328E-3</v>
      </c>
      <c r="G1578" s="21">
        <v>1497111.5</v>
      </c>
      <c r="H1578" s="22">
        <v>1</v>
      </c>
      <c r="I1578" s="23" cm="1">
        <f t="array" ref="I1578">IF(D1578="","",(G1578*C1578)*0.00075)</f>
        <v>15.001057230000001</v>
      </c>
      <c r="J1578" s="23" cm="1">
        <f t="array" ref="J1578">IF(D1578="","",(G1578*D1578)*0.00075)</f>
        <v>14.929195878000002</v>
      </c>
      <c r="K1578" s="24" cm="1">
        <f t="array" ref="K1578">IF(D1578="","",J1578+I1578)</f>
        <v>29.930253108000002</v>
      </c>
      <c r="L1578" s="24" cm="1">
        <f t="array" ref="L1578">IF(D1578=0,0,(D1578-C1578)*G1578)</f>
        <v>-95.815135999999725</v>
      </c>
      <c r="M1578" s="25">
        <v>20082.295580122001</v>
      </c>
      <c r="N1578" s="26" cm="1">
        <f t="array" ref="N1578">IFERROR((K1578-J1578)/J1578,"–")</f>
        <v>1.0048134777376654</v>
      </c>
      <c r="O1578" s="24" cm="1">
        <f t="array" ref="O1578">IF(D1578=0,0,L1578-K1578)</f>
        <v>-125.74538910799973</v>
      </c>
      <c r="P1578" s="23"/>
      <c r="Q1578" s="27"/>
    </row>
    <row r="1579" spans="1:17" ht="22.5" customHeight="1">
      <c r="A1579" s="16" t="s">
        <v>155</v>
      </c>
      <c r="B1579" s="53">
        <v>44635</v>
      </c>
      <c r="C1579" s="36">
        <v>20</v>
      </c>
      <c r="D1579" s="36">
        <v>1</v>
      </c>
      <c r="E1579" s="30" cm="1">
        <f t="array" ref="E1579">IF(D1579="","",D1579-C1579)</f>
        <v>-19</v>
      </c>
      <c r="F1579" s="31" cm="1">
        <f t="array" ref="F1579">IF(D1579=0,"",(D1579-C1579)/C1579)</f>
        <v>-0.95</v>
      </c>
      <c r="G1579" s="32">
        <v>1</v>
      </c>
      <c r="H1579" s="10">
        <v>1</v>
      </c>
      <c r="I1579" s="11" cm="1">
        <f t="array" ref="I1579">IF(D1579="","",(G1579*C1579)*0.00075)</f>
        <v>1.4999999999999999E-2</v>
      </c>
      <c r="J1579" s="11" cm="1">
        <f t="array" ref="J1579">IF(D1579="","",(G1579*D1579)*0.00075)</f>
        <v>7.5000000000000002E-4</v>
      </c>
      <c r="K1579" s="33" cm="1">
        <f t="array" ref="K1579">IF(D1579="","",J1579+I1579)</f>
        <v>1.575E-2</v>
      </c>
      <c r="L1579" s="33" cm="1">
        <f t="array" ref="L1579">IF(D1579=0,0,(D1579-C1579)*G1579)</f>
        <v>-19</v>
      </c>
      <c r="M1579" s="12">
        <v>38.999250000000004</v>
      </c>
      <c r="N1579" s="34" cm="1">
        <f t="array" ref="N1579">IFERROR((K1579-J1579)/J1579,"–")</f>
        <v>20</v>
      </c>
      <c r="O1579" s="33" cm="1">
        <f t="array" ref="O1579">IF(D1579=0,0,L1579-K1579)</f>
        <v>-19.015750000000001</v>
      </c>
      <c r="P1579" s="11"/>
      <c r="Q1579" s="35"/>
    </row>
    <row r="1580" spans="1:17" ht="22.5" customHeight="1">
      <c r="A1580" s="16" t="s">
        <v>47</v>
      </c>
      <c r="B1580" s="52">
        <v>44635</v>
      </c>
      <c r="C1580" s="37">
        <v>6.58</v>
      </c>
      <c r="D1580" s="37">
        <v>6.5</v>
      </c>
      <c r="E1580" s="19" cm="1">
        <f t="array" ref="E1580">IF(D1580="","",D1580-C1580)</f>
        <v>-8.0000000000000071E-2</v>
      </c>
      <c r="F1580" s="20" cm="1">
        <f t="array" ref="F1580">IF(D1580=0,"",(D1580-C1580)/C1580)</f>
        <v>-1.2158054711246211E-2</v>
      </c>
      <c r="G1580" s="21">
        <v>759.32</v>
      </c>
      <c r="H1580" s="22">
        <v>1</v>
      </c>
      <c r="I1580" s="23" cm="1">
        <f t="array" ref="I1580">IF(D1580="","",(G1580*C1580)*0.00075)</f>
        <v>3.7472442000000004</v>
      </c>
      <c r="J1580" s="23" cm="1">
        <f t="array" ref="J1580">IF(D1580="","",(G1580*D1580)*0.00075)</f>
        <v>3.7016849999999999</v>
      </c>
      <c r="K1580" s="24" cm="1">
        <f t="array" ref="K1580">IF(D1580="","",J1580+I1580)</f>
        <v>7.4489292000000003</v>
      </c>
      <c r="L1580" s="24" cm="1">
        <f t="array" ref="L1580">IF(D1580=0,0,(D1580-C1580)*G1580)</f>
        <v>-60.74560000000006</v>
      </c>
      <c r="M1580" s="25">
        <v>5053.3695150000003</v>
      </c>
      <c r="N1580" s="26" cm="1">
        <f t="array" ref="N1580">IFERROR((K1580-J1580)/J1580,"–")</f>
        <v>1.0123076923076924</v>
      </c>
      <c r="O1580" s="24" cm="1">
        <f t="array" ref="O1580">IF(D1580=0,0,L1580-K1580)</f>
        <v>-68.194529200000062</v>
      </c>
      <c r="P1580" s="23"/>
      <c r="Q1580" s="27"/>
    </row>
    <row r="1581" spans="1:17" ht="22.5" customHeight="1">
      <c r="A1581" s="16" t="s">
        <v>47</v>
      </c>
      <c r="B1581" s="53">
        <v>44635</v>
      </c>
      <c r="C1581" s="36">
        <v>6.45</v>
      </c>
      <c r="D1581" s="36">
        <v>6.35</v>
      </c>
      <c r="E1581" s="30" cm="1">
        <f t="array" ref="E1581">IF(D1581="","",D1581-C1581)</f>
        <v>-0.10000000000000053</v>
      </c>
      <c r="F1581" s="31" cm="1">
        <f t="array" ref="F1581">IF(D1581=0,"",(D1581-C1581)/C1581)</f>
        <v>-1.5503875968992331E-2</v>
      </c>
      <c r="G1581" s="32">
        <v>3100.09</v>
      </c>
      <c r="H1581" s="10">
        <v>1</v>
      </c>
      <c r="I1581" s="11" cm="1">
        <f t="array" ref="I1581">IF(D1581="","",(G1581*C1581)*0.00075)</f>
        <v>14.996685375</v>
      </c>
      <c r="J1581" s="11" cm="1">
        <f t="array" ref="J1581">IF(D1581="","",(G1581*D1581)*0.00075)</f>
        <v>14.764178625</v>
      </c>
      <c r="K1581" s="33" cm="1">
        <f t="array" ref="K1581">IF(D1581="","",J1581+I1581)</f>
        <v>29.760863999999998</v>
      </c>
      <c r="L1581" s="33" cm="1">
        <f t="array" ref="L1581">IF(D1581=0,0,(D1581-C1581)*G1581)</f>
        <v>-310.00900000000166</v>
      </c>
      <c r="M1581" s="12">
        <v>20290.825321374999</v>
      </c>
      <c r="N1581" s="34" cm="1">
        <f t="array" ref="N1581">IFERROR((K1581-J1581)/J1581,"–")</f>
        <v>1.015748031496063</v>
      </c>
      <c r="O1581" s="33" cm="1">
        <f t="array" ref="O1581">IF(D1581=0,0,L1581-K1581)</f>
        <v>-339.76986400000169</v>
      </c>
      <c r="P1581" s="11"/>
      <c r="Q1581" s="35"/>
    </row>
    <row r="1582" spans="1:17" ht="22.5" customHeight="1">
      <c r="A1582" s="16" t="s">
        <v>47</v>
      </c>
      <c r="B1582" s="52">
        <v>44635</v>
      </c>
      <c r="C1582" s="37">
        <v>6.68</v>
      </c>
      <c r="D1582" s="37">
        <v>6.7</v>
      </c>
      <c r="E1582" s="19" cm="1">
        <f t="array" ref="E1582">IF(D1582="","",D1582-C1582)</f>
        <v>2.0000000000000462E-2</v>
      </c>
      <c r="F1582" s="20" cm="1">
        <f t="array" ref="F1582">IF(D1582=0,"",(D1582-C1582)/C1582)</f>
        <v>2.9940119760479733E-3</v>
      </c>
      <c r="G1582" s="21">
        <v>1498.06</v>
      </c>
      <c r="H1582" s="22">
        <v>1</v>
      </c>
      <c r="I1582" s="23" cm="1">
        <f t="array" ref="I1582">IF(D1582="","",(G1582*C1582)*0.00075)</f>
        <v>7.505280599999999</v>
      </c>
      <c r="J1582" s="23" cm="1">
        <f t="array" ref="J1582">IF(D1582="","",(G1582*D1582)*0.00075)</f>
        <v>7.5277515000000008</v>
      </c>
      <c r="K1582" s="24" cm="1">
        <f t="array" ref="K1582">IF(D1582="","",J1582+I1582)</f>
        <v>15.0330321</v>
      </c>
      <c r="L1582" s="24" cm="1">
        <f t="array" ref="L1582">IF(D1582=0,0,(D1582-C1582)*G1582)</f>
        <v>29.961200000000691</v>
      </c>
      <c r="M1582" s="25">
        <v>9969.5518484999993</v>
      </c>
      <c r="N1582" s="26" cm="1">
        <f t="array" ref="N1582">IFERROR((K1582-J1582)/J1582,"–")</f>
        <v>0.99701492537313408</v>
      </c>
      <c r="O1582" s="24" cm="1">
        <f t="array" ref="O1582">IF(D1582=0,0,L1582-K1582)</f>
        <v>14.928167900000691</v>
      </c>
      <c r="P1582" s="23"/>
      <c r="Q1582" s="27"/>
    </row>
    <row r="1583" spans="1:17" ht="22.5" customHeight="1">
      <c r="A1583" s="16" t="s">
        <v>213</v>
      </c>
      <c r="B1583" s="53">
        <v>44636</v>
      </c>
      <c r="C1583" s="36">
        <v>4.6900000000000004</v>
      </c>
      <c r="D1583" s="36">
        <v>4.63</v>
      </c>
      <c r="E1583" s="30" cm="1">
        <f t="array" ref="E1583">IF(D1583="","",D1583-C1583)</f>
        <v>-6.0000000000000497E-2</v>
      </c>
      <c r="F1583" s="31" cm="1">
        <f t="array" ref="F1583">IF(D1583=0,"",(D1583-C1583)/C1583)</f>
        <v>-1.2793176972281555E-2</v>
      </c>
      <c r="G1583" s="32">
        <v>3304.83</v>
      </c>
      <c r="H1583" s="10">
        <v>1</v>
      </c>
      <c r="I1583" s="11" cm="1">
        <f t="array" ref="I1583">IF(D1583="","",(G1583*C1583)*0.00075)</f>
        <v>11.624739525000001</v>
      </c>
      <c r="J1583" s="11" cm="1">
        <f t="array" ref="J1583">IF(D1583="","",(G1583*D1583)*0.00075)</f>
        <v>11.476022175000001</v>
      </c>
      <c r="K1583" s="33" cm="1">
        <f t="array" ref="K1583">IF(D1583="","",J1583+I1583)</f>
        <v>23.1007617</v>
      </c>
      <c r="L1583" s="33" cm="1">
        <f t="array" ref="L1583">IF(D1583=0,0,(D1583-C1583)*G1583)</f>
        <v>-198.28980000000163</v>
      </c>
      <c r="M1583" s="12">
        <v>15686.466477825001</v>
      </c>
      <c r="N1583" s="34" cm="1">
        <f t="array" ref="N1583">IFERROR((K1583-J1583)/J1583,"–")</f>
        <v>1.0129589632829372</v>
      </c>
      <c r="O1583" s="33" cm="1">
        <f t="array" ref="O1583">IF(D1583=0,0,L1583-K1583)</f>
        <v>-221.39056170000163</v>
      </c>
      <c r="P1583" s="11"/>
      <c r="Q1583" s="35"/>
    </row>
    <row r="1584" spans="1:17" ht="22.5" customHeight="1">
      <c r="A1584" s="16" t="s">
        <v>66</v>
      </c>
      <c r="B1584" s="52">
        <v>44636</v>
      </c>
      <c r="C1584" s="37">
        <v>0.38100000000000001</v>
      </c>
      <c r="D1584" s="37">
        <v>0.37980000000000003</v>
      </c>
      <c r="E1584" s="19" cm="1">
        <f t="array" ref="E1584">IF(D1584="","",D1584-C1584)</f>
        <v>-1.1999999999999789E-3</v>
      </c>
      <c r="F1584" s="20" cm="1">
        <f t="array" ref="F1584">IF(D1584=0,"",(D1584-C1584)/C1584)</f>
        <v>-3.1496062992125429E-3</v>
      </c>
      <c r="G1584" s="21">
        <v>52493</v>
      </c>
      <c r="H1584" s="22">
        <v>1</v>
      </c>
      <c r="I1584" s="23" cm="1">
        <f t="array" ref="I1584">IF(D1584="","",(G1584*C1584)*0.00075)</f>
        <v>14.99987475</v>
      </c>
      <c r="J1584" s="23" cm="1">
        <f t="array" ref="J1584">IF(D1584="","",(G1584*D1584)*0.00075)</f>
        <v>14.952631050000001</v>
      </c>
      <c r="K1584" s="24" cm="1">
        <f t="array" ref="K1584">IF(D1584="","",J1584+I1584)</f>
        <v>29.952505800000001</v>
      </c>
      <c r="L1584" s="24" cm="1">
        <f t="array" ref="L1584">IF(D1584=0,0,(D1584-C1584)*G1584)</f>
        <v>-62.99159999999889</v>
      </c>
      <c r="M1584" s="25">
        <v>20047.871968949999</v>
      </c>
      <c r="N1584" s="26" cm="1">
        <f t="array" ref="N1584">IFERROR((K1584-J1584)/J1584,"–")</f>
        <v>1.0031595576619272</v>
      </c>
      <c r="O1584" s="24" cm="1">
        <f t="array" ref="O1584">IF(D1584=0,0,L1584-K1584)</f>
        <v>-92.944105799998894</v>
      </c>
      <c r="P1584" s="23"/>
      <c r="Q1584" s="27"/>
    </row>
    <row r="1585" spans="1:17" ht="22.5" customHeight="1">
      <c r="A1585" s="16" t="s">
        <v>287</v>
      </c>
      <c r="B1585" s="53">
        <v>44636</v>
      </c>
      <c r="C1585" s="36">
        <v>0.2336</v>
      </c>
      <c r="D1585" s="36">
        <v>0.24399999999999999</v>
      </c>
      <c r="E1585" s="30" cm="1">
        <f t="array" ref="E1585">IF(D1585="","",D1585-C1585)</f>
        <v>1.0399999999999993E-2</v>
      </c>
      <c r="F1585" s="31" cm="1">
        <f t="array" ref="F1585">IF(D1585=0,"",(D1585-C1585)/C1585)</f>
        <v>4.4520547945205449E-2</v>
      </c>
      <c r="G1585" s="32">
        <v>42800</v>
      </c>
      <c r="H1585" s="10">
        <v>1</v>
      </c>
      <c r="I1585" s="11" cm="1">
        <f t="array" ref="I1585">IF(D1585="","",(G1585*C1585)*0.00075)</f>
        <v>7.4985600000000003</v>
      </c>
      <c r="J1585" s="11" cm="1">
        <f t="array" ref="J1585">IF(D1585="","",(G1585*D1585)*0.00075)</f>
        <v>7.8323999999999989</v>
      </c>
      <c r="K1585" s="33" cm="1">
        <f t="array" ref="K1585">IF(D1585="","",J1585+I1585)</f>
        <v>15.330959999999999</v>
      </c>
      <c r="L1585" s="33" cm="1">
        <f t="array" ref="L1585">IF(D1585=0,0,(D1585-C1585)*G1585)</f>
        <v>445.11999999999966</v>
      </c>
      <c r="M1585" s="12">
        <v>9545.1275999999998</v>
      </c>
      <c r="N1585" s="34" cm="1">
        <f t="array" ref="N1585">IFERROR((K1585-J1585)/J1585,"–")</f>
        <v>0.95737704918032807</v>
      </c>
      <c r="O1585" s="33" cm="1">
        <f t="array" ref="O1585">IF(D1585=0,0,L1585-K1585)</f>
        <v>429.78903999999966</v>
      </c>
      <c r="P1585" s="11"/>
      <c r="Q1585" s="35"/>
    </row>
    <row r="1586" spans="1:17" ht="22.5" customHeight="1">
      <c r="A1586" s="16" t="s">
        <v>54</v>
      </c>
      <c r="B1586" s="52">
        <v>44637</v>
      </c>
      <c r="C1586" s="37">
        <v>3.1735500000000001</v>
      </c>
      <c r="D1586" s="37">
        <v>3.1911</v>
      </c>
      <c r="E1586" s="19" cm="1">
        <f t="array" ref="E1586">IF(D1586="","",D1586-C1586)</f>
        <v>1.7549999999999955E-2</v>
      </c>
      <c r="F1586" s="20" cm="1">
        <f t="array" ref="F1586">IF(D1586=0,"",(D1586-C1586)/C1586)</f>
        <v>5.5300846055678825E-3</v>
      </c>
      <c r="G1586" s="21">
        <v>6301</v>
      </c>
      <c r="H1586" s="22">
        <v>1</v>
      </c>
      <c r="I1586" s="23" cm="1">
        <f t="array" ref="I1586">IF(D1586="","",(G1586*C1586)*0.00075)</f>
        <v>14.997403912500001</v>
      </c>
      <c r="J1586" s="23" cm="1">
        <f t="array" ref="J1586">IF(D1586="","",(G1586*D1586)*0.00075)</f>
        <v>15.080340825</v>
      </c>
      <c r="K1586" s="24" cm="1">
        <f t="array" ref="K1586">IF(D1586="","",J1586+I1586)</f>
        <v>30.077744737500002</v>
      </c>
      <c r="L1586" s="24" cm="1">
        <f t="array" ref="L1586">IF(D1586=0,0,(D1586-C1586)*G1586)</f>
        <v>110.58254999999971</v>
      </c>
      <c r="M1586" s="25">
        <v>19870.875659174999</v>
      </c>
      <c r="N1586" s="26" cm="1">
        <f t="array" ref="N1586">IFERROR((K1586-J1586)/J1586,"–")</f>
        <v>0.99450032904014296</v>
      </c>
      <c r="O1586" s="24" cm="1">
        <f t="array" ref="O1586">IF(D1586=0,0,L1586-K1586)</f>
        <v>80.504805262499715</v>
      </c>
      <c r="P1586" s="23"/>
      <c r="Q1586" s="27"/>
    </row>
    <row r="1587" spans="1:17" ht="22.5" customHeight="1">
      <c r="A1587" s="16" t="s">
        <v>162</v>
      </c>
      <c r="B1587" s="53">
        <v>44637</v>
      </c>
      <c r="C1587" s="36">
        <v>2.9929999999999999</v>
      </c>
      <c r="D1587" s="36">
        <v>3.0249999999999999</v>
      </c>
      <c r="E1587" s="30" cm="1">
        <f t="array" ref="E1587">IF(D1587="","",D1587-C1587)</f>
        <v>3.2000000000000028E-2</v>
      </c>
      <c r="F1587" s="31" cm="1">
        <f t="array" ref="F1587">IF(D1587=0,"",(D1587-C1587)/C1587)</f>
        <v>1.0691613765452733E-2</v>
      </c>
      <c r="G1587" s="32">
        <v>1002</v>
      </c>
      <c r="H1587" s="10">
        <v>1</v>
      </c>
      <c r="I1587" s="11" cm="1">
        <f t="array" ref="I1587">IF(D1587="","",(G1587*C1587)*0.00075)</f>
        <v>2.2492394999999998</v>
      </c>
      <c r="J1587" s="11" cm="1">
        <f t="array" ref="J1587">IF(D1587="","",(G1587*D1587)*0.00075)</f>
        <v>2.2732874999999999</v>
      </c>
      <c r="K1587" s="33" cm="1">
        <f t="array" ref="K1587">IF(D1587="","",J1587+I1587)</f>
        <v>4.5225270000000002</v>
      </c>
      <c r="L1587" s="33" cm="1">
        <f t="array" ref="L1587">IF(D1587=0,0,(D1587-C1587)*G1587)</f>
        <v>32.064000000000028</v>
      </c>
      <c r="M1587" s="12">
        <v>2964.6487124999999</v>
      </c>
      <c r="N1587" s="34" cm="1">
        <f t="array" ref="N1587">IFERROR((K1587-J1587)/J1587,"–")</f>
        <v>0.98942148760330595</v>
      </c>
      <c r="O1587" s="33" cm="1">
        <f t="array" ref="O1587">IF(D1587=0,0,L1587-K1587)</f>
        <v>27.541473000000028</v>
      </c>
      <c r="P1587" s="11"/>
      <c r="Q1587" s="35"/>
    </row>
    <row r="1588" spans="1:17" ht="22.5" customHeight="1">
      <c r="A1588" s="16" t="s">
        <v>293</v>
      </c>
      <c r="B1588" s="52">
        <v>44638</v>
      </c>
      <c r="C1588" s="37">
        <v>2.4156</v>
      </c>
      <c r="D1588" s="37">
        <v>2.42</v>
      </c>
      <c r="E1588" s="19" cm="1">
        <f t="array" ref="E1588">IF(D1588="","",D1588-C1588)</f>
        <v>4.3999999999999595E-3</v>
      </c>
      <c r="F1588" s="20" cm="1">
        <f t="array" ref="F1588">IF(D1588=0,"",(D1588-C1588)/C1588)</f>
        <v>1.8214936247722966E-3</v>
      </c>
      <c r="G1588" s="21">
        <v>2066</v>
      </c>
      <c r="H1588" s="22">
        <v>1</v>
      </c>
      <c r="I1588" s="23" cm="1">
        <f t="array" ref="I1588">IF(D1588="","",(G1588*C1588)*0.00075)</f>
        <v>3.7429722000000001</v>
      </c>
      <c r="J1588" s="23" cm="1">
        <f t="array" ref="J1588">IF(D1588="","",(G1588*D1588)*0.00075)</f>
        <v>3.7497900000000004</v>
      </c>
      <c r="K1588" s="24" cm="1">
        <f t="array" ref="K1588">IF(D1588="","",J1588+I1588)</f>
        <v>7.4927622000000005</v>
      </c>
      <c r="L1588" s="24" cm="1">
        <f t="array" ref="L1588">IF(D1588=0,0,(D1588-C1588)*G1588)</f>
        <v>9.0903999999999172</v>
      </c>
      <c r="M1588" s="25">
        <v>4977.7894100000003</v>
      </c>
      <c r="N1588" s="26" cm="1">
        <f t="array" ref="N1588">IFERROR((K1588-J1588)/J1588,"–")</f>
        <v>0.99818181818181806</v>
      </c>
      <c r="O1588" s="24" cm="1">
        <f t="array" ref="O1588">IF(D1588=0,0,L1588-K1588)</f>
        <v>1.5976377999999167</v>
      </c>
      <c r="P1588" s="23"/>
      <c r="Q1588" s="27"/>
    </row>
    <row r="1589" spans="1:17" ht="22.5" customHeight="1">
      <c r="A1589" s="16" t="s">
        <v>296</v>
      </c>
      <c r="B1589" s="53">
        <v>44638</v>
      </c>
      <c r="C1589" s="36">
        <v>302.60000000000002</v>
      </c>
      <c r="D1589" s="36">
        <v>303.7</v>
      </c>
      <c r="E1589" s="30" cm="1">
        <f t="array" ref="E1589">IF(D1589="","",D1589-C1589)</f>
        <v>1.0999999999999659</v>
      </c>
      <c r="F1589" s="31" cm="1">
        <f t="array" ref="F1589">IF(D1589=0,"",(D1589-C1589)/C1589)</f>
        <v>3.6351619299404025E-3</v>
      </c>
      <c r="G1589" s="32">
        <v>66.097999999999999</v>
      </c>
      <c r="H1589" s="10">
        <v>1</v>
      </c>
      <c r="I1589" s="11" cm="1">
        <f t="array" ref="I1589">IF(D1589="","",(G1589*C1589)*0.00075)</f>
        <v>15.000941100000002</v>
      </c>
      <c r="J1589" s="11" cm="1">
        <f t="array" ref="J1589">IF(D1589="","",(G1589*D1589)*0.00075)</f>
        <v>15.055471949999999</v>
      </c>
      <c r="K1589" s="33" cm="1">
        <f t="array" ref="K1589">IF(D1589="","",J1589+I1589)</f>
        <v>30.056413050000003</v>
      </c>
      <c r="L1589" s="33" cm="1">
        <f t="array" ref="L1589">IF(D1589=0,0,(D1589-C1589)*G1589)</f>
        <v>72.707799999997746</v>
      </c>
      <c r="M1589" s="12">
        <v>19913.491528049999</v>
      </c>
      <c r="N1589" s="34" cm="1">
        <f t="array" ref="N1589">IFERROR((K1589-J1589)/J1589,"–")</f>
        <v>0.99637800460981263</v>
      </c>
      <c r="O1589" s="33" cm="1">
        <f t="array" ref="O1589">IF(D1589=0,0,L1589-K1589)</f>
        <v>42.651386949997743</v>
      </c>
      <c r="P1589" s="11"/>
      <c r="Q1589" s="35"/>
    </row>
    <row r="1590" spans="1:17" ht="22.5" customHeight="1">
      <c r="A1590" s="16" t="s">
        <v>100</v>
      </c>
      <c r="B1590" s="52">
        <v>44638</v>
      </c>
      <c r="C1590" s="37">
        <v>0.39710000000000001</v>
      </c>
      <c r="D1590" s="37">
        <v>0.39839999999999998</v>
      </c>
      <c r="E1590" s="19" cm="1">
        <f t="array" ref="E1590">IF(D1590="","",D1590-C1590)</f>
        <v>1.2999999999999678E-3</v>
      </c>
      <c r="F1590" s="20" cm="1">
        <f t="array" ref="F1590">IF(D1590=0,"",(D1590-C1590)/C1590)</f>
        <v>3.2737345756735526E-3</v>
      </c>
      <c r="G1590" s="21">
        <v>17627</v>
      </c>
      <c r="H1590" s="22">
        <v>1</v>
      </c>
      <c r="I1590" s="23" cm="1">
        <f t="array" ref="I1590">IF(D1590="","",(G1590*C1590)*0.00075)</f>
        <v>5.249761275</v>
      </c>
      <c r="J1590" s="23" cm="1">
        <f t="array" ref="J1590">IF(D1590="","",(G1590*D1590)*0.00075)</f>
        <v>5.2669476</v>
      </c>
      <c r="K1590" s="24" cm="1">
        <f t="array" ref="K1590">IF(D1590="","",J1590+I1590)</f>
        <v>10.516708874999999</v>
      </c>
      <c r="L1590" s="24" cm="1">
        <f t="array" ref="L1590">IF(D1590=0,0,(D1590-C1590)*G1590)</f>
        <v>22.915099999999434</v>
      </c>
      <c r="M1590" s="25">
        <v>6971.4996523999998</v>
      </c>
      <c r="N1590" s="26" cm="1">
        <f t="array" ref="N1590">IFERROR((K1590-J1590)/J1590,"–")</f>
        <v>0.99673694779116451</v>
      </c>
      <c r="O1590" s="24" cm="1">
        <f t="array" ref="O1590">IF(D1590=0,0,L1590-K1590)</f>
        <v>12.398391124999435</v>
      </c>
      <c r="P1590" s="23"/>
      <c r="Q1590" s="27"/>
    </row>
    <row r="1591" spans="1:17" ht="22.5" customHeight="1">
      <c r="A1591" s="16" t="s">
        <v>250</v>
      </c>
      <c r="B1591" s="53">
        <v>44639</v>
      </c>
      <c r="C1591" s="36">
        <v>180.3</v>
      </c>
      <c r="D1591" s="36">
        <v>180.31</v>
      </c>
      <c r="E1591" s="30" cm="1">
        <f t="array" ref="E1591">IF(D1591="","",D1591-C1591)</f>
        <v>9.9999999999909051E-3</v>
      </c>
      <c r="F1591" s="31" cm="1">
        <f t="array" ref="F1591">IF(D1591=0,"",(D1591-C1591)/C1591)</f>
        <v>5.5463117027126482E-5</v>
      </c>
      <c r="G1591" s="32">
        <v>38.828000000000003</v>
      </c>
      <c r="H1591" s="10">
        <v>1</v>
      </c>
      <c r="I1591" s="11" cm="1">
        <f t="array" ref="I1591">IF(D1591="","",(G1591*C1591)*0.00075)</f>
        <v>5.250516300000001</v>
      </c>
      <c r="J1591" s="11" cm="1">
        <f t="array" ref="J1591">IF(D1591="","",(G1591*D1591)*0.00075)</f>
        <v>5.2508075100000005</v>
      </c>
      <c r="K1591" s="33" cm="1">
        <f t="array" ref="K1591">IF(D1591="","",J1591+I1591)</f>
        <v>10.501323810000002</v>
      </c>
      <c r="L1591" s="33" cm="1">
        <f t="array" ref="L1591">IF(D1591=0,0,(D1591-C1591)*G1591)</f>
        <v>0.38827999999964691</v>
      </c>
      <c r="M1591" s="12">
        <v>6995.0493124900004</v>
      </c>
      <c r="N1591" s="34" cm="1">
        <f t="array" ref="N1591">IFERROR((K1591-J1591)/J1591,"–")</f>
        <v>0.99994453995895982</v>
      </c>
      <c r="O1591" s="33" cm="1">
        <f t="array" ref="O1591">IF(D1591=0,0,L1591-K1591)</f>
        <v>-10.113043810000356</v>
      </c>
      <c r="P1591" s="11"/>
      <c r="Q1591" s="35"/>
    </row>
    <row r="1592" spans="1:17" ht="22.5" customHeight="1">
      <c r="A1592" s="16" t="s">
        <v>297</v>
      </c>
      <c r="B1592" s="52">
        <v>44639</v>
      </c>
      <c r="C1592" s="37">
        <v>4.2699999999999996</v>
      </c>
      <c r="D1592" s="37">
        <v>4.2699999999999996</v>
      </c>
      <c r="E1592" s="19" cm="1">
        <f t="array" ref="E1592">IF(D1592="","",D1592-C1592)</f>
        <v>0</v>
      </c>
      <c r="F1592" s="20" cm="1">
        <f t="array" ref="F1592">IF(D1592=0,"",(D1592-C1592)/C1592)</f>
        <v>0</v>
      </c>
      <c r="G1592" s="21">
        <v>755.71</v>
      </c>
      <c r="H1592" s="22">
        <v>1</v>
      </c>
      <c r="I1592" s="23" cm="1">
        <f t="array" ref="I1592">IF(D1592="","",(G1592*C1592)*0.00075)</f>
        <v>2.4201612749999999</v>
      </c>
      <c r="J1592" s="23" cm="1">
        <f t="array" ref="J1592">IF(D1592="","",(G1592*D1592)*0.00075)</f>
        <v>2.4201612749999999</v>
      </c>
      <c r="K1592" s="24" cm="1">
        <f t="array" ref="K1592">IF(D1592="","",J1592+I1592)</f>
        <v>4.8403225499999998</v>
      </c>
      <c r="L1592" s="24" cm="1">
        <f t="array" ref="L1592">IF(D1592=0,0,(D1592-C1592)*G1592)</f>
        <v>0</v>
      </c>
      <c r="M1592" s="25">
        <v>3224.4615387250001</v>
      </c>
      <c r="N1592" s="26" cm="1">
        <f t="array" ref="N1592">IFERROR((K1592-J1592)/J1592,"–")</f>
        <v>1</v>
      </c>
      <c r="O1592" s="24" cm="1">
        <f t="array" ref="O1592">IF(D1592=0,0,L1592-K1592)</f>
        <v>-4.8403225499999998</v>
      </c>
      <c r="P1592" s="23"/>
      <c r="Q1592" s="27"/>
    </row>
    <row r="1593" spans="1:17" ht="22.5" customHeight="1">
      <c r="A1593" s="16" t="s">
        <v>298</v>
      </c>
      <c r="B1593" s="53">
        <v>44639</v>
      </c>
      <c r="C1593" s="36">
        <v>2.7330000000000002E-3</v>
      </c>
      <c r="D1593" s="36">
        <v>2.7169999999999998E-3</v>
      </c>
      <c r="E1593" s="30" cm="1">
        <f t="array" ref="E1593">IF(D1593="","",D1593-C1593)</f>
        <v>-1.6000000000000389E-5</v>
      </c>
      <c r="F1593" s="31" cm="1">
        <f t="array" ref="F1593">IF(D1593=0,"",(D1593-C1593)/C1593)</f>
        <v>-5.854372484449465E-3</v>
      </c>
      <c r="G1593" s="32">
        <v>7682149</v>
      </c>
      <c r="H1593" s="10">
        <v>1</v>
      </c>
      <c r="I1593" s="11" cm="1">
        <f t="array" ref="I1593">IF(D1593="","",(G1593*C1593)*0.00075)</f>
        <v>15.746484912750002</v>
      </c>
      <c r="J1593" s="11" cm="1">
        <f t="array" ref="J1593">IF(D1593="","",(G1593*D1593)*0.00075)</f>
        <v>15.654299124750001</v>
      </c>
      <c r="K1593" s="33" cm="1">
        <f t="array" ref="K1593">IF(D1593="","",J1593+I1593)</f>
        <v>31.400784037500003</v>
      </c>
      <c r="L1593" s="33" cm="1">
        <f t="array" ref="L1593">IF(D1593=0,0,(D1593-C1593)*G1593)</f>
        <v>-122.91438400000298</v>
      </c>
      <c r="M1593" s="12">
        <v>21102.573301875302</v>
      </c>
      <c r="N1593" s="34" cm="1">
        <f t="array" ref="N1593">IFERROR((K1593-J1593)/J1593,"–")</f>
        <v>1.0058888479941113</v>
      </c>
      <c r="O1593" s="33" cm="1">
        <f t="array" ref="O1593">IF(D1593=0,0,L1593-K1593)</f>
        <v>-154.31516803750299</v>
      </c>
      <c r="P1593" s="11"/>
      <c r="Q1593" s="35"/>
    </row>
    <row r="1594" spans="1:17" ht="22.5" customHeight="1">
      <c r="A1594" s="16" t="s">
        <v>75</v>
      </c>
      <c r="B1594" s="52">
        <v>44639</v>
      </c>
      <c r="C1594" s="37">
        <v>0.20760000000000001</v>
      </c>
      <c r="D1594" s="37">
        <v>0.20849999999999999</v>
      </c>
      <c r="E1594" s="19" cm="1">
        <f t="array" ref="E1594">IF(D1594="","",D1594-C1594)</f>
        <v>8.9999999999998415E-4</v>
      </c>
      <c r="F1594" s="20" cm="1">
        <f t="array" ref="F1594">IF(D1594=0,"",(D1594-C1594)/C1594)</f>
        <v>4.3352601156068597E-3</v>
      </c>
      <c r="G1594" s="21">
        <v>33717</v>
      </c>
      <c r="H1594" s="22">
        <v>1</v>
      </c>
      <c r="I1594" s="23" cm="1">
        <f t="array" ref="I1594">IF(D1594="","",(G1594*C1594)*0.00075)</f>
        <v>5.2497369000000003</v>
      </c>
      <c r="J1594" s="23" cm="1">
        <f t="array" ref="J1594">IF(D1594="","",(G1594*D1594)*0.00075)</f>
        <v>5.2724958749999997</v>
      </c>
      <c r="K1594" s="24" cm="1">
        <f t="array" ref="K1594">IF(D1594="","",J1594+I1594)</f>
        <v>10.522232774999999</v>
      </c>
      <c r="L1594" s="24" cm="1">
        <f t="array" ref="L1594">IF(D1594=0,0,(D1594-C1594)*G1594)</f>
        <v>30.345299999999465</v>
      </c>
      <c r="M1594" s="25">
        <v>6964.0314041250003</v>
      </c>
      <c r="N1594" s="26" cm="1">
        <f t="array" ref="N1594">IFERROR((K1594-J1594)/J1594,"–")</f>
        <v>0.99568345323741003</v>
      </c>
      <c r="O1594" s="24" cm="1">
        <f t="array" ref="O1594">IF(D1594=0,0,L1594-K1594)</f>
        <v>19.823067224999466</v>
      </c>
      <c r="P1594" s="23"/>
      <c r="Q1594" s="27"/>
    </row>
    <row r="1595" spans="1:17" ht="22.5" customHeight="1">
      <c r="A1595" s="16" t="s">
        <v>299</v>
      </c>
      <c r="B1595" s="53">
        <v>44639</v>
      </c>
      <c r="C1595" s="36">
        <v>0.94720000000000004</v>
      </c>
      <c r="D1595" s="36">
        <v>0.94799999999999995</v>
      </c>
      <c r="E1595" s="30" cm="1">
        <f t="array" ref="E1595">IF(D1595="","",D1595-C1595)</f>
        <v>7.9999999999991189E-4</v>
      </c>
      <c r="F1595" s="31" cm="1">
        <f t="array" ref="F1595">IF(D1595=0,"",(D1595-C1595)/C1595)</f>
        <v>8.4459459459450151E-4</v>
      </c>
      <c r="G1595" s="32">
        <v>10557</v>
      </c>
      <c r="H1595" s="10">
        <v>1</v>
      </c>
      <c r="I1595" s="11" cm="1">
        <f t="array" ref="I1595">IF(D1595="","",(G1595*C1595)*0.00075)</f>
        <v>7.4996928000000009</v>
      </c>
      <c r="J1595" s="11" cm="1">
        <f t="array" ref="J1595">IF(D1595="","",(G1595*D1595)*0.00075)</f>
        <v>7.5060270000000004</v>
      </c>
      <c r="K1595" s="33" cm="1">
        <f t="array" ref="K1595">IF(D1595="","",J1595+I1595)</f>
        <v>15.005719800000001</v>
      </c>
      <c r="L1595" s="33" cm="1">
        <f t="array" ref="L1595">IF(D1595=0,0,(D1595-C1595)*G1595)</f>
        <v>8.4455999999990699</v>
      </c>
      <c r="M1595" s="12">
        <v>9983.6387730000006</v>
      </c>
      <c r="N1595" s="34" cm="1">
        <f t="array" ref="N1595">IFERROR((K1595-J1595)/J1595,"–")</f>
        <v>0.99915611814345995</v>
      </c>
      <c r="O1595" s="33" cm="1">
        <f t="array" ref="O1595">IF(D1595=0,0,L1595-K1595)</f>
        <v>-6.5601198000009315</v>
      </c>
      <c r="P1595" s="11"/>
      <c r="Q1595" s="35"/>
    </row>
    <row r="1596" spans="1:17" ht="22.5" customHeight="1">
      <c r="A1596" s="16" t="s">
        <v>300</v>
      </c>
      <c r="B1596" s="52">
        <v>44640</v>
      </c>
      <c r="C1596" s="37">
        <v>3.5899999999999999E-3</v>
      </c>
      <c r="D1596" s="37">
        <v>3.5750000000000001E-3</v>
      </c>
      <c r="E1596" s="19" cm="1">
        <f t="array" ref="E1596">IF(D1596="","",D1596-C1596)</f>
        <v>-1.4999999999999823E-5</v>
      </c>
      <c r="F1596" s="20" cm="1">
        <f t="array" ref="F1596">IF(D1596=0,"",(D1596-C1596)/C1596)</f>
        <v>-4.1782729805013435E-3</v>
      </c>
      <c r="G1596" s="21">
        <v>4174769</v>
      </c>
      <c r="H1596" s="22">
        <v>1</v>
      </c>
      <c r="I1596" s="23" cm="1">
        <f t="array" ref="I1596">IF(D1596="","",(G1596*C1596)*0.00075)</f>
        <v>11.2405655325</v>
      </c>
      <c r="J1596" s="23" cm="1">
        <f t="array" ref="J1596">IF(D1596="","",(G1596*D1596)*0.00075)</f>
        <v>11.193599381249999</v>
      </c>
      <c r="K1596" s="24" cm="1">
        <f t="array" ref="K1596">IF(D1596="","",J1596+I1596)</f>
        <v>22.434164913749999</v>
      </c>
      <c r="L1596" s="24" cm="1">
        <f t="array" ref="L1596">IF(D1596=0,0,(D1596-C1596)*G1596)</f>
        <v>-62.621534999999263</v>
      </c>
      <c r="M1596" s="25">
        <v>15038.8486456188</v>
      </c>
      <c r="N1596" s="26" cm="1">
        <f t="array" ref="N1596">IFERROR((K1596-J1596)/J1596,"–")</f>
        <v>1.0041958041958041</v>
      </c>
      <c r="O1596" s="24" cm="1">
        <f t="array" ref="O1596">IF(D1596=0,0,L1596-K1596)</f>
        <v>-85.055699913749265</v>
      </c>
      <c r="P1596" s="23"/>
      <c r="Q1596" s="27"/>
    </row>
    <row r="1597" spans="1:17" ht="22.5" customHeight="1">
      <c r="A1597" s="16" t="s">
        <v>301</v>
      </c>
      <c r="B1597" s="53">
        <v>44641</v>
      </c>
      <c r="C1597" s="36">
        <v>4.8460000000000001</v>
      </c>
      <c r="D1597" s="36">
        <v>4.915</v>
      </c>
      <c r="E1597" s="30" cm="1">
        <f t="array" ref="E1597">IF(D1597="","",D1597-C1597)</f>
        <v>6.899999999999995E-2</v>
      </c>
      <c r="F1597" s="31" cm="1">
        <f t="array" ref="F1597">IF(D1597=0,"",(D1597-C1597)/C1597)</f>
        <v>1.4238547255468416E-2</v>
      </c>
      <c r="G1597" s="32">
        <v>2063.6</v>
      </c>
      <c r="H1597" s="10">
        <v>1</v>
      </c>
      <c r="I1597" s="11" cm="1">
        <f t="array" ref="I1597">IF(D1597="","",(G1597*C1597)*0.00075)</f>
        <v>7.5001541999999999</v>
      </c>
      <c r="J1597" s="11" cm="1">
        <f t="array" ref="J1597">IF(D1597="","",(G1597*D1597)*0.00075)</f>
        <v>7.6069454999999992</v>
      </c>
      <c r="K1597" s="33" cm="1">
        <f t="array" ref="K1597">IF(D1597="","",J1597+I1597)</f>
        <v>15.107099699999999</v>
      </c>
      <c r="L1597" s="33" cm="1">
        <f t="array" ref="L1597">IF(D1597=0,0,(D1597-C1597)*G1597)</f>
        <v>142.3883999999999</v>
      </c>
      <c r="M1597" s="12">
        <v>9850.2102544999998</v>
      </c>
      <c r="N1597" s="34" cm="1">
        <f t="array" ref="N1597">IFERROR((K1597-J1597)/J1597,"–")</f>
        <v>0.98596134282807735</v>
      </c>
      <c r="O1597" s="33" cm="1">
        <f t="array" ref="O1597">IF(D1597=0,0,L1597-K1597)</f>
        <v>127.28130029999991</v>
      </c>
      <c r="P1597" s="11"/>
      <c r="Q1597" s="35"/>
    </row>
    <row r="1598" spans="1:17" ht="22.5" customHeight="1">
      <c r="A1598" s="16" t="s">
        <v>54</v>
      </c>
      <c r="B1598" s="52">
        <v>44641</v>
      </c>
      <c r="C1598" s="37">
        <v>3.1080000000000001</v>
      </c>
      <c r="D1598" s="37">
        <v>3.1070000000000002</v>
      </c>
      <c r="E1598" s="19" cm="1">
        <f t="array" ref="E1598">IF(D1598="","",D1598-C1598)</f>
        <v>-9.9999999999988987E-4</v>
      </c>
      <c r="F1598" s="20" cm="1">
        <f t="array" ref="F1598">IF(D1598=0,"",(D1598-C1598)/C1598)</f>
        <v>-3.2175032175028629E-4</v>
      </c>
      <c r="G1598" s="21">
        <v>1608</v>
      </c>
      <c r="H1598" s="22">
        <v>1</v>
      </c>
      <c r="I1598" s="23" cm="1">
        <f t="array" ref="I1598">IF(D1598="","",(G1598*C1598)*0.00075)</f>
        <v>3.7482479999999998</v>
      </c>
      <c r="J1598" s="23" cm="1">
        <f t="array" ref="J1598">IF(D1598="","",(G1598*D1598)*0.00075)</f>
        <v>3.7470420000000004</v>
      </c>
      <c r="K1598" s="24" cm="1">
        <f t="array" ref="K1598">IF(D1598="","",J1598+I1598)</f>
        <v>7.4952900000000007</v>
      </c>
      <c r="L1598" s="24" cm="1">
        <f t="array" ref="L1598">IF(D1598=0,0,(D1598-C1598)*G1598)</f>
        <v>-1.6079999999998229</v>
      </c>
      <c r="M1598" s="25">
        <v>4995.524958</v>
      </c>
      <c r="N1598" s="26" cm="1">
        <f t="array" ref="N1598">IFERROR((K1598-J1598)/J1598,"–")</f>
        <v>1.0003218538783392</v>
      </c>
      <c r="O1598" s="24" cm="1">
        <f t="array" ref="O1598">IF(D1598=0,0,L1598-K1598)</f>
        <v>-9.1032899999998236</v>
      </c>
      <c r="P1598" s="23"/>
      <c r="Q1598" s="27"/>
    </row>
    <row r="1599" spans="1:17" ht="22.5" customHeight="1">
      <c r="A1599" s="16" t="s">
        <v>293</v>
      </c>
      <c r="B1599" s="53">
        <v>44641</v>
      </c>
      <c r="C1599" s="36">
        <v>2.4584999999999999</v>
      </c>
      <c r="D1599" s="36">
        <v>2.452</v>
      </c>
      <c r="E1599" s="30" cm="1">
        <f t="array" ref="E1599">IF(D1599="","",D1599-C1599)</f>
        <v>-6.4999999999999503E-3</v>
      </c>
      <c r="F1599" s="31" cm="1">
        <f t="array" ref="F1599">IF(D1599=0,"",(D1599-C1599)/C1599)</f>
        <v>-2.6438885499287983E-3</v>
      </c>
      <c r="G1599" s="32">
        <v>2847</v>
      </c>
      <c r="H1599" s="10">
        <v>1</v>
      </c>
      <c r="I1599" s="11" cm="1">
        <f t="array" ref="I1599">IF(D1599="","",(G1599*C1599)*0.00075)</f>
        <v>5.2495121249999999</v>
      </c>
      <c r="J1599" s="11" cm="1">
        <f t="array" ref="J1599">IF(D1599="","",(G1599*D1599)*0.00075)</f>
        <v>5.235633</v>
      </c>
      <c r="K1599" s="33" cm="1">
        <f t="array" ref="K1599">IF(D1599="","",J1599+I1599)</f>
        <v>10.485145124999999</v>
      </c>
      <c r="L1599" s="33" cm="1">
        <f t="array" ref="L1599">IF(D1599=0,0,(D1599-C1599)*G1599)</f>
        <v>-18.505499999999859</v>
      </c>
      <c r="M1599" s="12">
        <v>7012.6193670000002</v>
      </c>
      <c r="N1599" s="34" cm="1">
        <f t="array" ref="N1599">IFERROR((K1599-J1599)/J1599,"–")</f>
        <v>1.0026508972267534</v>
      </c>
      <c r="O1599" s="33" cm="1">
        <f t="array" ref="O1599">IF(D1599=0,0,L1599-K1599)</f>
        <v>-28.990645124999858</v>
      </c>
      <c r="P1599" s="11"/>
      <c r="Q1599" s="35"/>
    </row>
    <row r="1600" spans="1:17" ht="22.5" customHeight="1">
      <c r="A1600" s="16" t="s">
        <v>132</v>
      </c>
      <c r="B1600" s="52">
        <v>44641</v>
      </c>
      <c r="C1600" s="37">
        <v>1.7399999999999999E-2</v>
      </c>
      <c r="D1600" s="37">
        <v>1.7399999999999999E-2</v>
      </c>
      <c r="E1600" s="19" cm="1">
        <f t="array" ref="E1600">IF(D1600="","",D1600-C1600)</f>
        <v>0</v>
      </c>
      <c r="F1600" s="20" cm="1">
        <f t="array" ref="F1600">IF(D1600=0,"",(D1600-C1600)/C1600)</f>
        <v>0</v>
      </c>
      <c r="G1600" s="21">
        <v>689655</v>
      </c>
      <c r="H1600" s="22">
        <v>1</v>
      </c>
      <c r="I1600" s="23" cm="1">
        <f t="array" ref="I1600">IF(D1600="","",(G1600*C1600)*0.00075)</f>
        <v>8.9999977500000004</v>
      </c>
      <c r="J1600" s="23" cm="1">
        <f t="array" ref="J1600">IF(D1600="","",(G1600*D1600)*0.00075)</f>
        <v>8.9999977500000004</v>
      </c>
      <c r="K1600" s="24" cm="1">
        <f t="array" ref="K1600">IF(D1600="","",J1600+I1600)</f>
        <v>17.999995500000001</v>
      </c>
      <c r="L1600" s="24" cm="1">
        <f t="array" ref="L1600">IF(D1600=0,0,(D1600-C1600)*G1600)</f>
        <v>0</v>
      </c>
      <c r="M1600" s="25">
        <v>11990.99700225</v>
      </c>
      <c r="N1600" s="26" cm="1">
        <f t="array" ref="N1600">IFERROR((K1600-J1600)/J1600,"–")</f>
        <v>1</v>
      </c>
      <c r="O1600" s="24" cm="1">
        <f t="array" ref="O1600">IF(D1600=0,0,L1600-K1600)</f>
        <v>-17.999995500000001</v>
      </c>
      <c r="P1600" s="23"/>
      <c r="Q1600" s="27"/>
    </row>
    <row r="1601" spans="1:17" ht="22.5" customHeight="1">
      <c r="A1601" s="16" t="s">
        <v>302</v>
      </c>
      <c r="B1601" s="53">
        <v>44642</v>
      </c>
      <c r="C1601" s="36">
        <v>4.7655000000000003</v>
      </c>
      <c r="D1601" s="36">
        <v>4.74</v>
      </c>
      <c r="E1601" s="30" cm="1">
        <f t="array" ref="E1601">IF(D1601="","",D1601-C1601)</f>
        <v>-2.5500000000000078E-2</v>
      </c>
      <c r="F1601" s="31" cm="1">
        <f t="array" ref="F1601">IF(D1601=0,"",(D1601-C1601)/C1601)</f>
        <v>-5.3509600251810041E-3</v>
      </c>
      <c r="G1601" s="32">
        <v>629.4</v>
      </c>
      <c r="H1601" s="10">
        <v>1</v>
      </c>
      <c r="I1601" s="11" cm="1">
        <f t="array" ref="I1601">IF(D1601="","",(G1601*C1601)*0.00075)</f>
        <v>2.2495542750000004</v>
      </c>
      <c r="J1601" s="11" cm="1">
        <f t="array" ref="J1601">IF(D1601="","",(G1601*D1601)*0.00075)</f>
        <v>2.2375170000000004</v>
      </c>
      <c r="K1601" s="33" cm="1">
        <f t="array" ref="K1601">IF(D1601="","",J1601+I1601)</f>
        <v>4.4870712750000008</v>
      </c>
      <c r="L1601" s="33" cm="1">
        <f t="array" ref="L1601">IF(D1601=0,0,(D1601-C1601)*G1601)</f>
        <v>-16.049700000000048</v>
      </c>
      <c r="M1601" s="12">
        <v>3013.2178829999998</v>
      </c>
      <c r="N1601" s="34" cm="1">
        <f t="array" ref="N1601">IFERROR((K1601-J1601)/J1601,"–")</f>
        <v>1.0053797468354431</v>
      </c>
      <c r="O1601" s="33" cm="1">
        <f t="array" ref="O1601">IF(D1601=0,0,L1601-K1601)</f>
        <v>-20.536771275000049</v>
      </c>
      <c r="P1601" s="11"/>
      <c r="Q1601" s="35"/>
    </row>
    <row r="1602" spans="1:17" ht="22.5" customHeight="1">
      <c r="A1602" s="16" t="s">
        <v>190</v>
      </c>
      <c r="B1602" s="52">
        <v>44642</v>
      </c>
      <c r="C1602" s="37">
        <v>85.97</v>
      </c>
      <c r="D1602" s="37">
        <v>86.1</v>
      </c>
      <c r="E1602" s="19" cm="1">
        <f t="array" ref="E1602">IF(D1602="","",D1602-C1602)</f>
        <v>0.12999999999999545</v>
      </c>
      <c r="F1602" s="20" cm="1">
        <f t="array" ref="F1602">IF(D1602=0,"",(D1602-C1602)/C1602)</f>
        <v>1.5121554030475218E-3</v>
      </c>
      <c r="G1602" s="21">
        <v>139.58000000000001</v>
      </c>
      <c r="H1602" s="22">
        <v>1</v>
      </c>
      <c r="I1602" s="23" cm="1">
        <f t="array" ref="I1602">IF(D1602="","",(G1602*C1602)*0.00075)</f>
        <v>8.9997694500000005</v>
      </c>
      <c r="J1602" s="23" cm="1">
        <f t="array" ref="J1602">IF(D1602="","",(G1602*D1602)*0.00075)</f>
        <v>9.0133785</v>
      </c>
      <c r="K1602" s="24" cm="1">
        <f t="array" ref="K1602">IF(D1602="","",J1602+I1602)</f>
        <v>18.01314795</v>
      </c>
      <c r="L1602" s="24" cm="1">
        <f t="array" ref="L1602">IF(D1602=0,0,(D1602-C1602)*G1602)</f>
        <v>18.145399999999366</v>
      </c>
      <c r="M1602" s="25">
        <v>11972.533821499999</v>
      </c>
      <c r="N1602" s="26" cm="1">
        <f t="array" ref="N1602">IFERROR((K1602-J1602)/J1602,"–")</f>
        <v>0.9984901277584205</v>
      </c>
      <c r="O1602" s="24" cm="1">
        <f t="array" ref="O1602">IF(D1602=0,0,L1602-K1602)</f>
        <v>0.13225204999936579</v>
      </c>
      <c r="P1602" s="23"/>
      <c r="Q1602" s="27"/>
    </row>
    <row r="1603" spans="1:17" ht="22.5" customHeight="1">
      <c r="A1603" s="16" t="s">
        <v>126</v>
      </c>
      <c r="B1603" s="53">
        <v>44643</v>
      </c>
      <c r="C1603" s="36">
        <v>0.83699999999999997</v>
      </c>
      <c r="D1603" s="36">
        <v>0.93130000000000002</v>
      </c>
      <c r="E1603" s="30" cm="1">
        <f t="array" ref="E1603">IF(D1603="","",D1603-C1603)</f>
        <v>9.430000000000005E-2</v>
      </c>
      <c r="F1603" s="31" cm="1">
        <f t="array" ref="F1603">IF(D1603=0,"",(D1603-C1603)/C1603)</f>
        <v>0.11266427718040628</v>
      </c>
      <c r="G1603" s="32">
        <v>3584</v>
      </c>
      <c r="H1603" s="10">
        <v>1</v>
      </c>
      <c r="I1603" s="11" cm="1">
        <f t="array" ref="I1603">IF(D1603="","",(G1603*C1603)*0.00075)</f>
        <v>2.2498559999999999</v>
      </c>
      <c r="J1603" s="11" cm="1">
        <f t="array" ref="J1603">IF(D1603="","",(G1603*D1603)*0.00075)</f>
        <v>2.5033344</v>
      </c>
      <c r="K1603" s="33" cm="1">
        <f t="array" ref="K1603">IF(D1603="","",J1603+I1603)</f>
        <v>4.7531903999999994</v>
      </c>
      <c r="L1603" s="33" cm="1">
        <f t="array" ref="L1603">IF(D1603=0,0,(D1603-C1603)*G1603)</f>
        <v>337.97120000000018</v>
      </c>
      <c r="M1603" s="12">
        <v>2659.3334656000002</v>
      </c>
      <c r="N1603" s="34" cm="1">
        <f t="array" ref="N1603">IFERROR((K1603-J1603)/J1603,"–")</f>
        <v>0.89874369161387291</v>
      </c>
      <c r="O1603" s="33" cm="1">
        <f t="array" ref="O1603">IF(D1603=0,0,L1603-K1603)</f>
        <v>333.21800960000019</v>
      </c>
      <c r="P1603" s="11"/>
      <c r="Q1603" s="35"/>
    </row>
    <row r="1604" spans="1:17" ht="22.5" customHeight="1">
      <c r="A1604" s="16" t="s">
        <v>50</v>
      </c>
      <c r="B1604" s="52">
        <v>44643</v>
      </c>
      <c r="C1604" s="37">
        <v>6.6449999999999996</v>
      </c>
      <c r="D1604" s="37">
        <v>6.64</v>
      </c>
      <c r="E1604" s="19" cm="1">
        <f t="array" ref="E1604">IF(D1604="","",D1604-C1604)</f>
        <v>-4.9999999999998934E-3</v>
      </c>
      <c r="F1604" s="20" cm="1">
        <f t="array" ref="F1604">IF(D1604=0,"",(D1604-C1604)/C1604)</f>
        <v>-7.5244544770502542E-4</v>
      </c>
      <c r="G1604" s="21">
        <v>677.02</v>
      </c>
      <c r="H1604" s="22">
        <v>1</v>
      </c>
      <c r="I1604" s="23" cm="1">
        <f t="array" ref="I1604">IF(D1604="","",(G1604*C1604)*0.00075)</f>
        <v>3.3740984249999997</v>
      </c>
      <c r="J1604" s="23" cm="1">
        <f t="array" ref="J1604">IF(D1604="","",(G1604*D1604)*0.00075)</f>
        <v>3.3715596000000003</v>
      </c>
      <c r="K1604" s="24" cm="1">
        <f t="array" ref="K1604">IF(D1604="","",J1604+I1604)</f>
        <v>6.745658025</v>
      </c>
      <c r="L1604" s="24" cm="1">
        <f t="array" ref="L1604">IF(D1604=0,0,(D1604-C1604)*G1604)</f>
        <v>-3.3850999999999276</v>
      </c>
      <c r="M1604" s="25">
        <v>4498.8114403999998</v>
      </c>
      <c r="N1604" s="26" cm="1">
        <f t="array" ref="N1604">IFERROR((K1604-J1604)/J1604,"–")</f>
        <v>1.0007530120481927</v>
      </c>
      <c r="O1604" s="24" cm="1">
        <f t="array" ref="O1604">IF(D1604=0,0,L1604-K1604)</f>
        <v>-10.130758024999928</v>
      </c>
      <c r="P1604" s="23"/>
      <c r="Q1604" s="27"/>
    </row>
    <row r="1605" spans="1:17" ht="22.5" customHeight="1">
      <c r="A1605" s="16" t="s">
        <v>183</v>
      </c>
      <c r="B1605" s="53">
        <v>44643</v>
      </c>
      <c r="C1605" s="36">
        <v>0.23019999999999999</v>
      </c>
      <c r="D1605" s="36">
        <v>0.23</v>
      </c>
      <c r="E1605" s="30" cm="1">
        <f t="array" ref="E1605">IF(D1605="","",D1605-C1605)</f>
        <v>-1.9999999999997797E-4</v>
      </c>
      <c r="F1605" s="31" cm="1">
        <f t="array" ref="F1605">IF(D1605=0,"",(D1605-C1605)/C1605)</f>
        <v>-8.6880973066888782E-4</v>
      </c>
      <c r="G1605" s="32">
        <v>52130</v>
      </c>
      <c r="H1605" s="10">
        <v>1</v>
      </c>
      <c r="I1605" s="11" cm="1">
        <f t="array" ref="I1605">IF(D1605="","",(G1605*C1605)*0.00075)</f>
        <v>9.0002444999999991</v>
      </c>
      <c r="J1605" s="11" cm="1">
        <f t="array" ref="J1605">IF(D1605="","",(G1605*D1605)*0.00075)</f>
        <v>8.9924250000000008</v>
      </c>
      <c r="K1605" s="33" cm="1">
        <f t="array" ref="K1605">IF(D1605="","",J1605+I1605)</f>
        <v>17.992669499999998</v>
      </c>
      <c r="L1605" s="33" cm="1">
        <f t="array" ref="L1605">IF(D1605=0,0,(D1605-C1605)*G1605)</f>
        <v>-10.425999999998851</v>
      </c>
      <c r="M1605" s="12">
        <v>12001.759575</v>
      </c>
      <c r="N1605" s="34" cm="1">
        <f t="array" ref="N1605">IFERROR((K1605-J1605)/J1605,"–")</f>
        <v>1.0008695652173909</v>
      </c>
      <c r="O1605" s="33" cm="1">
        <f t="array" ref="O1605">IF(D1605=0,0,L1605-K1605)</f>
        <v>-28.418669499998849</v>
      </c>
      <c r="P1605" s="11"/>
      <c r="Q1605" s="35"/>
    </row>
    <row r="1606" spans="1:17" ht="22.5" customHeight="1">
      <c r="A1606" s="16" t="s">
        <v>199</v>
      </c>
      <c r="B1606" s="52">
        <v>44643</v>
      </c>
      <c r="C1606" s="37">
        <v>53.83</v>
      </c>
      <c r="D1606" s="37">
        <v>53.7</v>
      </c>
      <c r="E1606" s="19" cm="1">
        <f t="array" ref="E1606">IF(D1606="","",D1606-C1606)</f>
        <v>-0.12999999999999545</v>
      </c>
      <c r="F1606" s="20" cm="1">
        <f t="array" ref="F1606">IF(D1606=0,"",(D1606-C1606)/C1606)</f>
        <v>-2.4150102173508352E-3</v>
      </c>
      <c r="G1606" s="21">
        <v>445.73</v>
      </c>
      <c r="H1606" s="22">
        <v>1</v>
      </c>
      <c r="I1606" s="23" cm="1">
        <f t="array" ref="I1606">IF(D1606="","",(G1606*C1606)*0.00075)</f>
        <v>17.995234425</v>
      </c>
      <c r="J1606" s="23" cm="1">
        <f t="array" ref="J1606">IF(D1606="","",(G1606*D1606)*0.00075)</f>
        <v>17.951775749999999</v>
      </c>
      <c r="K1606" s="24" cm="1">
        <f t="array" ref="K1606">IF(D1606="","",J1606+I1606)</f>
        <v>35.947010175000003</v>
      </c>
      <c r="L1606" s="24" cm="1">
        <f t="array" ref="L1606">IF(D1606=0,0,(D1606-C1606)*G1606)</f>
        <v>-57.944899999997972</v>
      </c>
      <c r="M1606" s="25">
        <v>24033.639024249998</v>
      </c>
      <c r="N1606" s="26" cm="1">
        <f t="array" ref="N1606">IFERROR((K1606-J1606)/J1606,"–")</f>
        <v>1.002420856610801</v>
      </c>
      <c r="O1606" s="24" cm="1">
        <f t="array" ref="O1606">IF(D1606=0,0,L1606-K1606)</f>
        <v>-93.891910174997975</v>
      </c>
      <c r="P1606" s="23"/>
      <c r="Q1606" s="27"/>
    </row>
    <row r="1607" spans="1:17" ht="22.5" customHeight="1">
      <c r="A1607" s="16" t="s">
        <v>121</v>
      </c>
      <c r="B1607" s="53">
        <v>44643</v>
      </c>
      <c r="C1607" s="36">
        <v>20.914999999999999</v>
      </c>
      <c r="D1607" s="36">
        <v>20.9</v>
      </c>
      <c r="E1607" s="30" cm="1">
        <f t="array" ref="E1607">IF(D1607="","",D1607-C1607)</f>
        <v>-1.5000000000000568E-2</v>
      </c>
      <c r="F1607" s="31" cm="1">
        <f t="array" ref="F1607">IF(D1607=0,"",(D1607-C1607)/C1607)</f>
        <v>-7.1718862060724691E-4</v>
      </c>
      <c r="G1607" s="32">
        <v>1147.5</v>
      </c>
      <c r="H1607" s="10">
        <v>1</v>
      </c>
      <c r="I1607" s="11" cm="1">
        <f t="array" ref="I1607">IF(D1607="","",(G1607*C1607)*0.00075)</f>
        <v>17.999971875</v>
      </c>
      <c r="J1607" s="11" cm="1">
        <f t="array" ref="J1607">IF(D1607="","",(G1607*D1607)*0.00075)</f>
        <v>17.9870625</v>
      </c>
      <c r="K1607" s="33" cm="1">
        <f t="array" ref="K1607">IF(D1607="","",J1607+I1607)</f>
        <v>35.987034375</v>
      </c>
      <c r="L1607" s="33" cm="1">
        <f t="array" ref="L1607">IF(D1607=0,0,(D1607-C1607)*G1607)</f>
        <v>-17.212500000000652</v>
      </c>
      <c r="M1607" s="12">
        <v>23999.187937499999</v>
      </c>
      <c r="N1607" s="34" cm="1">
        <f t="array" ref="N1607">IFERROR((K1607-J1607)/J1607,"–")</f>
        <v>1.0007177033492822</v>
      </c>
      <c r="O1607" s="33" cm="1">
        <f t="array" ref="O1607">IF(D1607=0,0,L1607-K1607)</f>
        <v>-53.199534375000653</v>
      </c>
      <c r="P1607" s="11"/>
      <c r="Q1607" s="35"/>
    </row>
    <row r="1608" spans="1:17" ht="22.5" customHeight="1">
      <c r="A1608" s="16" t="s">
        <v>213</v>
      </c>
      <c r="B1608" s="52">
        <v>44644</v>
      </c>
      <c r="C1608" s="37">
        <v>5.1890000000000001</v>
      </c>
      <c r="D1608" s="37">
        <v>5.18</v>
      </c>
      <c r="E1608" s="19" cm="1">
        <f t="array" ref="E1608">IF(D1608="","",D1608-C1608)</f>
        <v>-9.0000000000003411E-3</v>
      </c>
      <c r="F1608" s="20" cm="1">
        <f t="array" ref="F1608">IF(D1608=0,"",(D1608-C1608)/C1608)</f>
        <v>-1.7344382347273734E-3</v>
      </c>
      <c r="G1608" s="21">
        <v>2312.79</v>
      </c>
      <c r="H1608" s="22">
        <v>1</v>
      </c>
      <c r="I1608" s="23" cm="1">
        <f t="array" ref="I1608">IF(D1608="","",(G1608*C1608)*0.00075)</f>
        <v>9.0008004825000008</v>
      </c>
      <c r="J1608" s="23" cm="1">
        <f t="array" ref="J1608">IF(D1608="","",(G1608*D1608)*0.00075)</f>
        <v>8.9851891500000001</v>
      </c>
      <c r="K1608" s="24" cm="1">
        <f t="array" ref="K1608">IF(D1608="","",J1608+I1608)</f>
        <v>17.985989632500001</v>
      </c>
      <c r="L1608" s="24" cm="1">
        <f t="array" ref="L1608">IF(D1608=0,0,(D1608-C1608)*G1608)</f>
        <v>-20.815110000000789</v>
      </c>
      <c r="M1608" s="25">
        <v>12012.89723085</v>
      </c>
      <c r="N1608" s="26" cm="1">
        <f t="array" ref="N1608">IFERROR((K1608-J1608)/J1608,"–")</f>
        <v>1.0017374517374518</v>
      </c>
      <c r="O1608" s="24" cm="1">
        <f t="array" ref="O1608">IF(D1608=0,0,L1608-K1608)</f>
        <v>-38.801099632500794</v>
      </c>
      <c r="P1608" s="23"/>
      <c r="Q1608" s="27"/>
    </row>
    <row r="1609" spans="1:17" ht="22.5" customHeight="1">
      <c r="A1609" s="16" t="s">
        <v>46</v>
      </c>
      <c r="B1609" s="53">
        <v>44645</v>
      </c>
      <c r="C1609" s="36">
        <v>1.675</v>
      </c>
      <c r="D1609" s="36">
        <v>1.677</v>
      </c>
      <c r="E1609" s="30" cm="1">
        <f t="array" ref="E1609">IF(D1609="","",D1609-C1609)</f>
        <v>2.0000000000000018E-3</v>
      </c>
      <c r="F1609" s="31" cm="1">
        <f t="array" ref="F1609">IF(D1609=0,"",(D1609-C1609)/C1609)</f>
        <v>1.1940298507462698E-3</v>
      </c>
      <c r="G1609" s="32">
        <v>1432.7</v>
      </c>
      <c r="H1609" s="10">
        <v>1</v>
      </c>
      <c r="I1609" s="11" cm="1">
        <f t="array" ref="I1609">IF(D1609="","",(G1609*C1609)*0.00075)</f>
        <v>1.7998293750000001</v>
      </c>
      <c r="J1609" s="11" cm="1">
        <f t="array" ref="J1609">IF(D1609="","",(G1609*D1609)*0.00075)</f>
        <v>1.8019784250000002</v>
      </c>
      <c r="K1609" s="33" cm="1">
        <f t="array" ref="K1609">IF(D1609="","",J1609+I1609)</f>
        <v>3.6018078000000004</v>
      </c>
      <c r="L1609" s="33" cm="1">
        <f t="array" ref="L1609">IF(D1609=0,0,(D1609-C1609)*G1609)</f>
        <v>2.8654000000000028</v>
      </c>
      <c r="M1609" s="12">
        <v>2395.1051215749999</v>
      </c>
      <c r="N1609" s="34" cm="1">
        <f t="array" ref="N1609">IFERROR((K1609-J1609)/J1609,"–")</f>
        <v>0.99880739415623143</v>
      </c>
      <c r="O1609" s="33" cm="1">
        <f t="array" ref="O1609">IF(D1609=0,0,L1609-K1609)</f>
        <v>-0.73640779999999761</v>
      </c>
      <c r="P1609" s="11"/>
      <c r="Q1609" s="35"/>
    </row>
    <row r="1610" spans="1:17" ht="22.5" customHeight="1">
      <c r="A1610" s="16" t="s">
        <v>34</v>
      </c>
      <c r="B1610" s="52">
        <v>44645</v>
      </c>
      <c r="C1610" s="37">
        <v>0.24329999999999999</v>
      </c>
      <c r="D1610" s="37">
        <v>0.24210000000000001</v>
      </c>
      <c r="E1610" s="19" cm="1">
        <f t="array" ref="E1610">IF(D1610="","",D1610-C1610)</f>
        <v>-1.1999999999999789E-3</v>
      </c>
      <c r="F1610" s="20" cm="1">
        <f t="array" ref="F1610">IF(D1610=0,"",(D1610-C1610)/C1610)</f>
        <v>-4.9321824907520712E-3</v>
      </c>
      <c r="G1610" s="21">
        <v>26752</v>
      </c>
      <c r="H1610" s="22">
        <v>1</v>
      </c>
      <c r="I1610" s="23" cm="1">
        <f t="array" ref="I1610">IF(D1610="","",(G1610*C1610)*0.00075)</f>
        <v>4.8815711999999998</v>
      </c>
      <c r="J1610" s="23" cm="1">
        <f t="array" ref="J1610">IF(D1610="","",(G1610*D1610)*0.00075)</f>
        <v>4.8574944000000002</v>
      </c>
      <c r="K1610" s="24" cm="1">
        <f t="array" ref="K1610">IF(D1610="","",J1610+I1610)</f>
        <v>9.7390656</v>
      </c>
      <c r="L1610" s="24" cm="1">
        <f t="array" ref="L1610">IF(D1610=0,0,(D1610-C1610)*G1610)</f>
        <v>-32.102399999999434</v>
      </c>
      <c r="M1610" s="25">
        <v>6536.0065056000003</v>
      </c>
      <c r="N1610" s="26" cm="1">
        <f t="array" ref="N1610">IFERROR((K1610-J1610)/J1610,"–")</f>
        <v>1.0049566294919454</v>
      </c>
      <c r="O1610" s="24" cm="1">
        <f t="array" ref="O1610">IF(D1610=0,0,L1610-K1610)</f>
        <v>-41.841465599999438</v>
      </c>
      <c r="P1610" s="23"/>
      <c r="Q1610" s="27"/>
    </row>
    <row r="1611" spans="1:17" ht="22.5" customHeight="1">
      <c r="A1611" s="16" t="s">
        <v>88</v>
      </c>
      <c r="B1611" s="53">
        <v>44647</v>
      </c>
      <c r="C1611" s="36">
        <v>6.615E-2</v>
      </c>
      <c r="D1611" s="36">
        <v>7.0199999999999999E-2</v>
      </c>
      <c r="E1611" s="30" cm="1">
        <f t="array" ref="E1611">IF(D1611="","",D1611-C1611)</f>
        <v>4.049999999999998E-3</v>
      </c>
      <c r="F1611" s="31" cm="1">
        <f t="array" ref="F1611">IF(D1611=0,"",(D1611-C1611)/C1611)</f>
        <v>6.1224489795918338E-2</v>
      </c>
      <c r="G1611" s="32">
        <v>45351.4</v>
      </c>
      <c r="H1611" s="10">
        <v>1</v>
      </c>
      <c r="I1611" s="11" cm="1">
        <f t="array" ref="I1611">IF(D1611="","",(G1611*C1611)*0.00075)</f>
        <v>2.2499963325000003</v>
      </c>
      <c r="J1611" s="11" cm="1">
        <f t="array" ref="J1611">IF(D1611="","",(G1611*D1611)*0.00075)</f>
        <v>2.3877512099999998</v>
      </c>
      <c r="K1611" s="33" cm="1">
        <f t="array" ref="K1611">IF(D1611="","",J1611+I1611)</f>
        <v>4.6377475424999997</v>
      </c>
      <c r="L1611" s="33" cm="1">
        <f t="array" ref="L1611">IF(D1611=0,0,(D1611-C1611)*G1611)</f>
        <v>183.67316999999991</v>
      </c>
      <c r="M1611" s="12">
        <v>2813.93418879</v>
      </c>
      <c r="N1611" s="34" cm="1">
        <f t="array" ref="N1611">IFERROR((K1611-J1611)/J1611,"–")</f>
        <v>0.94230769230769229</v>
      </c>
      <c r="O1611" s="33" cm="1">
        <f t="array" ref="O1611">IF(D1611=0,0,L1611-K1611)</f>
        <v>179.03542245749992</v>
      </c>
      <c r="P1611" s="11"/>
      <c r="Q1611" s="35"/>
    </row>
    <row r="1612" spans="1:17" ht="22.5" customHeight="1">
      <c r="A1612" s="16" t="s">
        <v>108</v>
      </c>
      <c r="B1612" s="52">
        <v>44647</v>
      </c>
      <c r="C1612" s="37">
        <v>12.77</v>
      </c>
      <c r="D1612" s="37">
        <v>12.726000000000001</v>
      </c>
      <c r="E1612" s="19" cm="1">
        <f t="array" ref="E1612">IF(D1612="","",D1612-C1612)</f>
        <v>-4.3999999999998707E-2</v>
      </c>
      <c r="F1612" s="20" cm="1">
        <f t="array" ref="F1612">IF(D1612=0,"",(D1612-C1612)/C1612)</f>
        <v>-3.4455755677367823E-3</v>
      </c>
      <c r="G1612" s="21">
        <v>1000</v>
      </c>
      <c r="H1612" s="22">
        <v>1</v>
      </c>
      <c r="I1612" s="23" cm="1">
        <f t="array" ref="I1612">IF(D1612="","",(G1612*C1612)*0.00075)</f>
        <v>9.5775000000000006</v>
      </c>
      <c r="J1612" s="23" cm="1">
        <f t="array" ref="J1612">IF(D1612="","",(G1612*D1612)*0.00075)</f>
        <v>9.5444999999999993</v>
      </c>
      <c r="K1612" s="24" cm="1">
        <f t="array" ref="K1612">IF(D1612="","",J1612+I1612)</f>
        <v>19.122</v>
      </c>
      <c r="L1612" s="24" cm="1">
        <f t="array" ref="L1612">IF(D1612=0,0,(D1612-C1612)*G1612)</f>
        <v>-43.999999999998707</v>
      </c>
      <c r="M1612" s="25">
        <v>12804.4555</v>
      </c>
      <c r="N1612" s="26" cm="1">
        <f t="array" ref="N1612">IFERROR((K1612-J1612)/J1612,"–")</f>
        <v>1.0034574886060035</v>
      </c>
      <c r="O1612" s="24" cm="1">
        <f t="array" ref="O1612">IF(D1612=0,0,L1612-K1612)</f>
        <v>-63.121999999998707</v>
      </c>
      <c r="P1612" s="23"/>
      <c r="Q1612" s="27"/>
    </row>
    <row r="1613" spans="1:17" ht="22.5" customHeight="1">
      <c r="A1613" s="16" t="s">
        <v>282</v>
      </c>
      <c r="B1613" s="53">
        <v>44647</v>
      </c>
      <c r="C1613" s="36">
        <v>1</v>
      </c>
      <c r="D1613" s="36">
        <v>11</v>
      </c>
      <c r="E1613" s="30" cm="1">
        <f t="array" ref="E1613">IF(D1613="","",D1613-C1613)</f>
        <v>10</v>
      </c>
      <c r="F1613" s="31" cm="1">
        <f t="array" ref="F1613">IF(D1613=0,"",(D1613-C1613)/C1613)</f>
        <v>10</v>
      </c>
      <c r="G1613" s="32">
        <v>1</v>
      </c>
      <c r="H1613" s="10">
        <v>1</v>
      </c>
      <c r="I1613" s="11" cm="1">
        <f t="array" ref="I1613">IF(D1613="","",(G1613*C1613)*0.00075)</f>
        <v>7.5000000000000002E-4</v>
      </c>
      <c r="J1613" s="11" cm="1">
        <f t="array" ref="J1613">IF(D1613="","",(G1613*D1613)*0.00075)</f>
        <v>8.2500000000000004E-3</v>
      </c>
      <c r="K1613" s="33" cm="1">
        <f t="array" ref="K1613">IF(D1613="","",J1613+I1613)</f>
        <v>9.0000000000000011E-3</v>
      </c>
      <c r="L1613" s="33" cm="1">
        <f t="array" ref="L1613">IF(D1613=0,0,(D1613-C1613)*G1613)</f>
        <v>10</v>
      </c>
      <c r="M1613" s="12">
        <v>-9.0082500000000003</v>
      </c>
      <c r="N1613" s="34" cm="1">
        <f t="array" ref="N1613">IFERROR((K1613-J1613)/J1613,"–")</f>
        <v>9.0909090909090981E-2</v>
      </c>
      <c r="O1613" s="33" cm="1">
        <f t="array" ref="O1613">IF(D1613=0,0,L1613-K1613)</f>
        <v>9.9909999999999997</v>
      </c>
      <c r="P1613" s="11"/>
      <c r="Q1613" s="35"/>
    </row>
    <row r="1614" spans="1:17" ht="22.5" customHeight="1">
      <c r="A1614" s="16" t="s">
        <v>88</v>
      </c>
      <c r="B1614" s="52">
        <v>44647</v>
      </c>
      <c r="C1614" s="37">
        <v>7.2059999999999999E-2</v>
      </c>
      <c r="D1614" s="37">
        <v>7.3425000000000004E-2</v>
      </c>
      <c r="E1614" s="19" cm="1">
        <f t="array" ref="E1614">IF(D1614="","",D1614-C1614)</f>
        <v>1.3650000000000051E-3</v>
      </c>
      <c r="F1614" s="20" cm="1">
        <f t="array" ref="F1614">IF(D1614=0,"",(D1614-C1614)/C1614)</f>
        <v>1.8942547876769428E-2</v>
      </c>
      <c r="G1614" s="21">
        <v>166536.70000000001</v>
      </c>
      <c r="H1614" s="22">
        <v>1</v>
      </c>
      <c r="I1614" s="23" cm="1">
        <f t="array" ref="I1614">IF(D1614="","",(G1614*C1614)*0.00075)</f>
        <v>9.0004759515000003</v>
      </c>
      <c r="J1614" s="23" cm="1">
        <f t="array" ref="J1614">IF(D1614="","",(G1614*D1614)*0.00075)</f>
        <v>9.1709678981250011</v>
      </c>
      <c r="K1614" s="24" cm="1">
        <f t="array" ref="K1614">IF(D1614="","",J1614+I1614)</f>
        <v>18.171443849625</v>
      </c>
      <c r="L1614" s="24" cm="1">
        <f t="array" ref="L1614">IF(D1614=0,0,(D1614-C1614)*G1614)</f>
        <v>227.32259550000086</v>
      </c>
      <c r="M1614" s="25">
        <v>11764.1410386019</v>
      </c>
      <c r="N1614" s="26" cm="1">
        <f t="array" ref="N1614">IFERROR((K1614-J1614)/J1614,"–")</f>
        <v>0.98140960163432045</v>
      </c>
      <c r="O1614" s="24" cm="1">
        <f t="array" ref="O1614">IF(D1614=0,0,L1614-K1614)</f>
        <v>209.15115165037585</v>
      </c>
      <c r="P1614" s="23"/>
      <c r="Q1614" s="27"/>
    </row>
    <row r="1615" spans="1:17" ht="22.5" customHeight="1">
      <c r="A1615" s="16" t="s">
        <v>30</v>
      </c>
      <c r="B1615" s="53">
        <v>44647</v>
      </c>
      <c r="C1615" s="36">
        <v>45993.53</v>
      </c>
      <c r="D1615" s="36">
        <v>45998.239999999998</v>
      </c>
      <c r="E1615" s="30" cm="1">
        <f t="array" ref="E1615">IF(D1615="","",D1615-C1615)</f>
        <v>4.7099999999991269</v>
      </c>
      <c r="F1615" s="31" cm="1">
        <f t="array" ref="F1615">IF(D1615=0,"",(D1615-C1615)/C1615)</f>
        <v>1.0240570793324903E-4</v>
      </c>
      <c r="G1615" s="32">
        <v>0.26090000000000002</v>
      </c>
      <c r="H1615" s="10">
        <v>1</v>
      </c>
      <c r="I1615" s="11" cm="1">
        <f t="array" ref="I1615">IF(D1615="","",(G1615*C1615)*0.00075)</f>
        <v>8.9997839827500012</v>
      </c>
      <c r="J1615" s="11" cm="1">
        <f t="array" ref="J1615">IF(D1615="","",(G1615*D1615)*0.00075)</f>
        <v>9.0007056120000009</v>
      </c>
      <c r="K1615" s="33" cm="1">
        <f t="array" ref="K1615">IF(D1615="","",J1615+I1615)</f>
        <v>18.00048959475</v>
      </c>
      <c r="L1615" s="33" cm="1">
        <f t="array" ref="L1615">IF(D1615=0,0,(D1615-C1615)*G1615)</f>
        <v>1.2288389999997722</v>
      </c>
      <c r="M1615" s="12">
        <v>11989.482432388</v>
      </c>
      <c r="N1615" s="34" cm="1">
        <f t="array" ref="N1615">IFERROR((K1615-J1615)/J1615,"–")</f>
        <v>0.99989760477792178</v>
      </c>
      <c r="O1615" s="33" cm="1">
        <f t="array" ref="O1615">IF(D1615=0,0,L1615-K1615)</f>
        <v>-16.771650594750227</v>
      </c>
      <c r="P1615" s="11"/>
      <c r="Q1615" s="35"/>
    </row>
    <row r="1616" spans="1:17" ht="22.5" customHeight="1">
      <c r="A1616" s="16" t="s">
        <v>35</v>
      </c>
      <c r="B1616" s="43">
        <v>44648</v>
      </c>
      <c r="C1616" s="37">
        <v>2.653</v>
      </c>
      <c r="D1616" s="37">
        <v>2.6459999999999999</v>
      </c>
      <c r="E1616" s="19" cm="1">
        <f t="array" ref="E1616">IF(D1616="","",D1616-C1616)</f>
        <v>-7.0000000000001172E-3</v>
      </c>
      <c r="F1616" s="20" cm="1">
        <f t="array" ref="F1616">IF(D1616=0,"",(D1616-C1616)/C1616)</f>
        <v>-2.6385224274406774E-3</v>
      </c>
      <c r="G1616" s="21">
        <v>3769.3</v>
      </c>
      <c r="H1616" s="22">
        <v>1</v>
      </c>
      <c r="I1616" s="23" cm="1">
        <f t="array" ref="I1616">IF(D1616="","",(G1616*C1616)*0.00075)</f>
        <v>7.4999646750000002</v>
      </c>
      <c r="J1616" s="23" cm="1">
        <f t="array" ref="J1616">IF(D1616="","",(G1616*D1616)*0.00075)</f>
        <v>7.4801758500000011</v>
      </c>
      <c r="K1616" s="24" cm="1">
        <f t="array" ref="K1616">IF(D1616="","",J1616+I1616)</f>
        <v>14.980140525000001</v>
      </c>
      <c r="L1616" s="24" cm="1">
        <f t="array" ref="L1616">IF(D1616=0,0,(D1616-C1616)*G1616)</f>
        <v>-26.385100000000442</v>
      </c>
      <c r="M1616" s="25">
        <v>10018.85782415</v>
      </c>
      <c r="N1616" s="26" cm="1">
        <f t="array" ref="N1616">IFERROR((K1616-J1616)/J1616,"–")</f>
        <v>1.0026455026455026</v>
      </c>
      <c r="O1616" s="24" cm="1">
        <f t="array" ref="O1616">IF(D1616=0,0,L1616-K1616)</f>
        <v>-41.365240525000445</v>
      </c>
      <c r="P1616" s="23"/>
      <c r="Q1616" s="27"/>
    </row>
    <row r="1617" spans="1:17" ht="22.5" customHeight="1">
      <c r="A1617" s="16" t="s">
        <v>303</v>
      </c>
      <c r="B1617" s="42">
        <v>44648</v>
      </c>
      <c r="C1617" s="36">
        <v>14.986800000000001</v>
      </c>
      <c r="D1617" s="36">
        <v>14.935</v>
      </c>
      <c r="E1617" s="30" cm="1">
        <f t="array" ref="E1617">IF(D1617="","",D1617-C1617)</f>
        <v>-5.1800000000000068E-2</v>
      </c>
      <c r="F1617" s="31" cm="1">
        <f t="array" ref="F1617">IF(D1617=0,"",(D1617-C1617)/C1617)</f>
        <v>-3.456374943283427E-3</v>
      </c>
      <c r="G1617" s="32">
        <v>800</v>
      </c>
      <c r="H1617" s="10">
        <v>1</v>
      </c>
      <c r="I1617" s="11" cm="1">
        <f t="array" ref="I1617">IF(D1617="","",(G1617*C1617)*0.00075)</f>
        <v>8.9920800000000014</v>
      </c>
      <c r="J1617" s="11" cm="1">
        <f t="array" ref="J1617">IF(D1617="","",(G1617*D1617)*0.00075)</f>
        <v>8.9610000000000003</v>
      </c>
      <c r="K1617" s="33" cm="1">
        <f t="array" ref="K1617">IF(D1617="","",J1617+I1617)</f>
        <v>17.95308</v>
      </c>
      <c r="L1617" s="33" cm="1">
        <f t="array" ref="L1617">IF(D1617=0,0,(D1617-C1617)*G1617)</f>
        <v>-41.440000000000055</v>
      </c>
      <c r="M1617" s="12">
        <v>12021.919</v>
      </c>
      <c r="N1617" s="34" cm="1">
        <f t="array" ref="N1617">IFERROR((K1617-J1617)/J1617,"–")</f>
        <v>1.0034683629059256</v>
      </c>
      <c r="O1617" s="33" cm="1">
        <f t="array" ref="O1617">IF(D1617=0,0,L1617-K1617)</f>
        <v>-59.393080000000054</v>
      </c>
      <c r="P1617" s="11"/>
      <c r="Q1617" s="35"/>
    </row>
    <row r="1618" spans="1:17" ht="22.5" customHeight="1">
      <c r="A1618" s="16" t="s">
        <v>136</v>
      </c>
      <c r="B1618" s="43">
        <v>44648</v>
      </c>
      <c r="C1618" s="37">
        <v>0.65359999999999996</v>
      </c>
      <c r="D1618" s="37">
        <v>0.65717999999999999</v>
      </c>
      <c r="E1618" s="19" cm="1">
        <f t="array" ref="E1618">IF(D1618="","",D1618-C1618)</f>
        <v>3.5800000000000276E-3</v>
      </c>
      <c r="F1618" s="20" cm="1">
        <f t="array" ref="F1618">IF(D1618=0,"",(D1618-C1618)/C1618)</f>
        <v>5.4773561811505937E-3</v>
      </c>
      <c r="G1618" s="21">
        <v>7649</v>
      </c>
      <c r="H1618" s="22">
        <v>1</v>
      </c>
      <c r="I1618" s="23" cm="1">
        <f t="array" ref="I1618">IF(D1618="","",(G1618*C1618)*0.00075)</f>
        <v>3.7495397999999995</v>
      </c>
      <c r="J1618" s="23" cm="1">
        <f t="array" ref="J1618">IF(D1618="","",(G1618*D1618)*0.00075)</f>
        <v>3.7700773649999997</v>
      </c>
      <c r="K1618" s="24" cm="1">
        <f t="array" ref="K1618">IF(D1618="","",J1618+I1618)</f>
        <v>7.5196171649999997</v>
      </c>
      <c r="L1618" s="24" cm="1">
        <f t="array" ref="L1618">IF(D1618=0,0,(D1618-C1618)*G1618)</f>
        <v>27.383420000000211</v>
      </c>
      <c r="M1618" s="25">
        <v>4968.2329026349998</v>
      </c>
      <c r="N1618" s="26" cm="1">
        <f t="array" ref="N1618">IFERROR((K1618-J1618)/J1618,"–")</f>
        <v>0.99455248181624523</v>
      </c>
      <c r="O1618" s="24" cm="1">
        <f t="array" ref="O1618">IF(D1618=0,0,L1618-K1618)</f>
        <v>19.863802835000211</v>
      </c>
      <c r="P1618" s="23"/>
      <c r="Q1618" s="27"/>
    </row>
    <row r="1619" spans="1:17" ht="22.5" customHeight="1">
      <c r="A1619" s="16" t="s">
        <v>95</v>
      </c>
      <c r="B1619" s="42">
        <v>44648</v>
      </c>
      <c r="C1619" s="36">
        <v>0.129</v>
      </c>
      <c r="D1619" s="36">
        <v>0.13120000000000001</v>
      </c>
      <c r="E1619" s="30" cm="1">
        <f t="array" ref="E1619">IF(D1619="","",D1619-C1619)</f>
        <v>2.2000000000000075E-3</v>
      </c>
      <c r="F1619" s="31" cm="1">
        <f t="array" ref="F1619">IF(D1619=0,"",(D1619-C1619)/C1619)</f>
        <v>1.7054263565891532E-2</v>
      </c>
      <c r="G1619" s="32">
        <v>46511</v>
      </c>
      <c r="H1619" s="10">
        <v>1</v>
      </c>
      <c r="I1619" s="11" cm="1">
        <f t="array" ref="I1619">IF(D1619="","",(G1619*C1619)*0.00075)</f>
        <v>4.4999392499999997</v>
      </c>
      <c r="J1619" s="11" cm="1">
        <f t="array" ref="J1619">IF(D1619="","",(G1619*D1619)*0.00075)</f>
        <v>4.576682400000001</v>
      </c>
      <c r="K1619" s="33" cm="1">
        <f t="array" ref="K1619">IF(D1619="","",J1619+I1619)</f>
        <v>9.0766216499999999</v>
      </c>
      <c r="L1619" s="33" cm="1">
        <f t="array" ref="L1619">IF(D1619=0,0,(D1619-C1619)*G1619)</f>
        <v>102.32420000000035</v>
      </c>
      <c r="M1619" s="12">
        <v>5893.0181175999996</v>
      </c>
      <c r="N1619" s="34" cm="1">
        <f t="array" ref="N1619">IFERROR((K1619-J1619)/J1619,"–")</f>
        <v>0.98323170731707266</v>
      </c>
      <c r="O1619" s="33" cm="1">
        <f t="array" ref="O1619">IF(D1619=0,0,L1619-K1619)</f>
        <v>93.247578350000339</v>
      </c>
      <c r="P1619" s="11"/>
      <c r="Q1619" s="35"/>
    </row>
    <row r="1620" spans="1:17" ht="22.5" customHeight="1">
      <c r="A1620" s="16" t="s">
        <v>304</v>
      </c>
      <c r="B1620" s="43">
        <v>44648</v>
      </c>
      <c r="C1620" s="37">
        <v>30.534099999999999</v>
      </c>
      <c r="D1620" s="37">
        <v>30.52</v>
      </c>
      <c r="E1620" s="19" cm="1">
        <f t="array" ref="E1620">IF(D1620="","",D1620-C1620)</f>
        <v>-1.4099999999999113E-2</v>
      </c>
      <c r="F1620" s="20" cm="1">
        <f t="array" ref="F1620">IF(D1620=0,"",(D1620-C1620)/C1620)</f>
        <v>-4.6177879813058558E-4</v>
      </c>
      <c r="G1620" s="21">
        <v>393</v>
      </c>
      <c r="H1620" s="22">
        <v>1</v>
      </c>
      <c r="I1620" s="23" cm="1">
        <f t="array" ref="I1620">IF(D1620="","",(G1620*C1620)*0.00075)</f>
        <v>8.999925975</v>
      </c>
      <c r="J1620" s="23" cm="1">
        <f t="array" ref="J1620">IF(D1620="","",(G1620*D1620)*0.00075)</f>
        <v>8.9957700000000003</v>
      </c>
      <c r="K1620" s="24" cm="1">
        <f t="array" ref="K1620">IF(D1620="","",J1620+I1620)</f>
        <v>17.995695975</v>
      </c>
      <c r="L1620" s="24" cm="1">
        <f t="array" ref="L1620">IF(D1620=0,0,(D1620-C1620)*G1620)</f>
        <v>-5.5412999999996515</v>
      </c>
      <c r="M1620" s="25">
        <v>11996.446830000001</v>
      </c>
      <c r="N1620" s="26" cm="1">
        <f t="array" ref="N1620">IFERROR((K1620-J1620)/J1620,"–")</f>
        <v>1.000461992136304</v>
      </c>
      <c r="O1620" s="24" cm="1">
        <f t="array" ref="O1620">IF(D1620=0,0,L1620-K1620)</f>
        <v>-23.536995974999652</v>
      </c>
      <c r="P1620" s="23"/>
      <c r="Q1620" s="27"/>
    </row>
    <row r="1621" spans="1:17" ht="22.5" customHeight="1">
      <c r="A1621" s="16" t="s">
        <v>67</v>
      </c>
      <c r="B1621" s="42">
        <v>44648</v>
      </c>
      <c r="C1621" s="36">
        <v>0.47848000000000002</v>
      </c>
      <c r="D1621" s="36">
        <v>0.48920000000000002</v>
      </c>
      <c r="E1621" s="30" cm="1">
        <f t="array" ref="E1621">IF(D1621="","",D1621-C1621)</f>
        <v>1.0720000000000007E-2</v>
      </c>
      <c r="F1621" s="31" cm="1">
        <f t="array" ref="F1621">IF(D1621=0,"",(D1621-C1621)/C1621)</f>
        <v>2.2404280220698895E-2</v>
      </c>
      <c r="G1621" s="32">
        <v>25079</v>
      </c>
      <c r="H1621" s="10">
        <v>1</v>
      </c>
      <c r="I1621" s="11" cm="1">
        <f t="array" ref="I1621">IF(D1621="","",(G1621*C1621)*0.00075)</f>
        <v>8.9998499400000007</v>
      </c>
      <c r="J1621" s="11" cm="1">
        <f t="array" ref="J1621">IF(D1621="","",(G1621*D1621)*0.00075)</f>
        <v>9.2014851000000011</v>
      </c>
      <c r="K1621" s="33" cm="1">
        <f t="array" ref="K1621">IF(D1621="","",J1621+I1621)</f>
        <v>18.201335040000004</v>
      </c>
      <c r="L1621" s="33" cm="1">
        <f t="array" ref="L1621">IF(D1621=0,0,(D1621-C1621)*G1621)</f>
        <v>268.84688000000017</v>
      </c>
      <c r="M1621" s="12">
        <v>11721.7515549</v>
      </c>
      <c r="N1621" s="34" cm="1">
        <f t="array" ref="N1621">IFERROR((K1621-J1621)/J1621,"–")</f>
        <v>0.97808667211774336</v>
      </c>
      <c r="O1621" s="33" cm="1">
        <f t="array" ref="O1621">IF(D1621=0,0,L1621-K1621)</f>
        <v>250.64554496000017</v>
      </c>
      <c r="P1621" s="11"/>
      <c r="Q1621" s="35"/>
    </row>
    <row r="1622" spans="1:17" ht="22.5" customHeight="1">
      <c r="A1622" s="16" t="s">
        <v>171</v>
      </c>
      <c r="B1622" s="43">
        <v>44648</v>
      </c>
      <c r="C1622" s="37">
        <v>4.6882000000000001</v>
      </c>
      <c r="D1622" s="37">
        <v>4.694</v>
      </c>
      <c r="E1622" s="19" cm="1">
        <f t="array" ref="E1622">IF(D1622="","",D1622-C1622)</f>
        <v>5.7999999999998053E-3</v>
      </c>
      <c r="F1622" s="20" cm="1">
        <f t="array" ref="F1622">IF(D1622=0,"",(D1622-C1622)/C1622)</f>
        <v>1.2371485858111439E-3</v>
      </c>
      <c r="G1622" s="21">
        <v>213</v>
      </c>
      <c r="H1622" s="22">
        <v>1</v>
      </c>
      <c r="I1622" s="23" cm="1">
        <f t="array" ref="I1622">IF(D1622="","",(G1622*C1622)*0.00075)</f>
        <v>0.74893995000000002</v>
      </c>
      <c r="J1622" s="23" cm="1">
        <f t="array" ref="J1622">IF(D1622="","",(G1622*D1622)*0.00075)</f>
        <v>0.74986649999999999</v>
      </c>
      <c r="K1622" s="24" cm="1">
        <f t="array" ref="K1622">IF(D1622="","",J1622+I1622)</f>
        <v>1.49880645</v>
      </c>
      <c r="L1622" s="24" cm="1">
        <f t="array" ref="L1622">IF(D1622=0,0,(D1622-C1622)*G1622)</f>
        <v>1.2353999999999585</v>
      </c>
      <c r="M1622" s="25">
        <v>996.60133350000001</v>
      </c>
      <c r="N1622" s="26" cm="1">
        <f t="array" ref="N1622">IFERROR((K1622-J1622)/J1622,"–")</f>
        <v>0.99876438005965062</v>
      </c>
      <c r="O1622" s="24" cm="1">
        <f t="array" ref="O1622">IF(D1622=0,0,L1622-K1622)</f>
        <v>-0.26340645000004148</v>
      </c>
      <c r="P1622" s="23"/>
      <c r="Q1622" s="27"/>
    </row>
    <row r="1623" spans="1:17" ht="22.5" customHeight="1">
      <c r="A1623" s="16" t="s">
        <v>293</v>
      </c>
      <c r="B1623" s="42">
        <v>44648</v>
      </c>
      <c r="C1623" s="36">
        <v>2.7555999999999998</v>
      </c>
      <c r="D1623" s="36">
        <v>2.7684000000000002</v>
      </c>
      <c r="E1623" s="30" cm="1">
        <f t="array" ref="E1623">IF(D1623="","",D1623-C1623)</f>
        <v>1.2800000000000367E-2</v>
      </c>
      <c r="F1623" s="31" cm="1">
        <f t="array" ref="F1623">IF(D1623=0,"",(D1623-C1623)/C1623)</f>
        <v>4.6450863695748175E-3</v>
      </c>
      <c r="G1623" s="32">
        <v>4354</v>
      </c>
      <c r="H1623" s="10">
        <v>1</v>
      </c>
      <c r="I1623" s="11" cm="1">
        <f t="array" ref="I1623">IF(D1623="","",(G1623*C1623)*0.00075)</f>
        <v>8.9984117999999995</v>
      </c>
      <c r="J1623" s="11" cm="1">
        <f t="array" ref="J1623">IF(D1623="","",(G1623*D1623)*0.00075)</f>
        <v>9.0402102000000006</v>
      </c>
      <c r="K1623" s="33" cm="1">
        <f t="array" ref="K1623">IF(D1623="","",J1623+I1623)</f>
        <v>18.038622</v>
      </c>
      <c r="L1623" s="33" cm="1">
        <f t="array" ref="L1623">IF(D1623=0,0,(D1623-C1623)*G1623)</f>
        <v>55.731200000001593</v>
      </c>
      <c r="M1623" s="12">
        <v>11933.1109898</v>
      </c>
      <c r="N1623" s="34" cm="1">
        <f t="array" ref="N1623">IFERROR((K1623-J1623)/J1623,"–")</f>
        <v>0.99537639069498618</v>
      </c>
      <c r="O1623" s="33" cm="1">
        <f t="array" ref="O1623">IF(D1623=0,0,L1623-K1623)</f>
        <v>37.692578000001589</v>
      </c>
      <c r="P1623" s="11"/>
      <c r="Q1623" s="35"/>
    </row>
    <row r="1624" spans="1:17" ht="22.5" customHeight="1">
      <c r="A1624" s="16" t="s">
        <v>97</v>
      </c>
      <c r="B1624" s="43">
        <v>44648</v>
      </c>
      <c r="C1624" s="37">
        <v>6.3978999999999999</v>
      </c>
      <c r="D1624" s="37">
        <v>6.2859999999999996</v>
      </c>
      <c r="E1624" s="19" cm="1">
        <f t="array" ref="E1624">IF(D1624="","",D1624-C1624)</f>
        <v>-0.11190000000000033</v>
      </c>
      <c r="F1624" s="20" cm="1">
        <f t="array" ref="F1624">IF(D1624=0,"",(D1624-C1624)/C1624)</f>
        <v>-1.7490113943637808E-2</v>
      </c>
      <c r="G1624" s="21">
        <v>781.5</v>
      </c>
      <c r="H1624" s="22">
        <v>1</v>
      </c>
      <c r="I1624" s="23" cm="1">
        <f t="array" ref="I1624">IF(D1624="","",(G1624*C1624)*0.00075)</f>
        <v>3.7499691374999999</v>
      </c>
      <c r="J1624" s="23" cm="1">
        <f t="array" ref="J1624">IF(D1624="","",(G1624*D1624)*0.00075)</f>
        <v>3.68438175</v>
      </c>
      <c r="K1624" s="24" cm="1">
        <f t="array" ref="K1624">IF(D1624="","",J1624+I1624)</f>
        <v>7.4343508874999999</v>
      </c>
      <c r="L1624" s="24" cm="1">
        <f t="array" ref="L1624">IF(D1624=0,0,(D1624-C1624)*G1624)</f>
        <v>-87.449850000000254</v>
      </c>
      <c r="M1624" s="25">
        <v>5083.7243182499997</v>
      </c>
      <c r="N1624" s="26" cm="1">
        <f t="array" ref="N1624">IFERROR((K1624-J1624)/J1624,"–")</f>
        <v>1.0178014635698378</v>
      </c>
      <c r="O1624" s="24" cm="1">
        <f t="array" ref="O1624">IF(D1624=0,0,L1624-K1624)</f>
        <v>-94.884200887500256</v>
      </c>
      <c r="P1624" s="23"/>
      <c r="Q1624" s="27"/>
    </row>
    <row r="1625" spans="1:17" ht="22.5" customHeight="1">
      <c r="A1625" s="16" t="s">
        <v>191</v>
      </c>
      <c r="B1625" s="42">
        <v>44648</v>
      </c>
      <c r="C1625" s="36">
        <v>5.6973000000000003</v>
      </c>
      <c r="D1625" s="36">
        <v>5.7549999999999999</v>
      </c>
      <c r="E1625" s="30" cm="1">
        <f t="array" ref="E1625">IF(D1625="","",D1625-C1625)</f>
        <v>5.769999999999964E-2</v>
      </c>
      <c r="F1625" s="31" cm="1">
        <f t="array" ref="F1625">IF(D1625=0,"",(D1625-C1625)/C1625)</f>
        <v>1.0127604303792961E-2</v>
      </c>
      <c r="G1625" s="32">
        <v>2106.1</v>
      </c>
      <c r="H1625" s="10">
        <v>1</v>
      </c>
      <c r="I1625" s="11" cm="1">
        <f t="array" ref="I1625">IF(D1625="","",(G1625*C1625)*0.00075)</f>
        <v>8.9993126475</v>
      </c>
      <c r="J1625" s="11" cm="1">
        <f t="array" ref="J1625">IF(D1625="","",(G1625*D1625)*0.00075)</f>
        <v>9.0904541249999991</v>
      </c>
      <c r="K1625" s="33" cm="1">
        <f t="array" ref="K1625">IF(D1625="","",J1625+I1625)</f>
        <v>18.089766772499999</v>
      </c>
      <c r="L1625" s="33" cm="1">
        <f t="array" ref="L1625">IF(D1625=0,0,(D1625-C1625)*G1625)</f>
        <v>121.52196999999924</v>
      </c>
      <c r="M1625" s="12">
        <v>11868.471105875</v>
      </c>
      <c r="N1625" s="34" cm="1">
        <f t="array" ref="N1625">IFERROR((K1625-J1625)/J1625,"–")</f>
        <v>0.98997393570808001</v>
      </c>
      <c r="O1625" s="33" cm="1">
        <f t="array" ref="O1625">IF(D1625=0,0,L1625-K1625)</f>
        <v>103.43220322749924</v>
      </c>
      <c r="P1625" s="11"/>
      <c r="Q1625" s="35"/>
    </row>
    <row r="1626" spans="1:17" ht="22.5" customHeight="1">
      <c r="A1626" s="16" t="s">
        <v>145</v>
      </c>
      <c r="B1626" s="43">
        <v>44648</v>
      </c>
      <c r="C1626" s="37">
        <v>5.6150000000000002</v>
      </c>
      <c r="D1626" s="37">
        <v>5.64</v>
      </c>
      <c r="E1626" s="19" cm="1">
        <f t="array" ref="E1626">IF(D1626="","",D1626-C1626)</f>
        <v>2.4999999999999467E-2</v>
      </c>
      <c r="F1626" s="20" cm="1">
        <f t="array" ref="F1626">IF(D1626=0,"",(D1626-C1626)/C1626)</f>
        <v>4.4523597506677592E-3</v>
      </c>
      <c r="G1626" s="21">
        <v>178</v>
      </c>
      <c r="H1626" s="22">
        <v>1</v>
      </c>
      <c r="I1626" s="23" cm="1">
        <f t="array" ref="I1626">IF(D1626="","",(G1626*C1626)*0.00075)</f>
        <v>0.74960250000000006</v>
      </c>
      <c r="J1626" s="23" cm="1">
        <f t="array" ref="J1626">IF(D1626="","",(G1626*D1626)*0.00075)</f>
        <v>0.75293999999999994</v>
      </c>
      <c r="K1626" s="24" cm="1">
        <f t="array" ref="K1626">IF(D1626="","",J1626+I1626)</f>
        <v>1.5025425000000001</v>
      </c>
      <c r="L1626" s="24" cm="1">
        <f t="array" ref="L1626">IF(D1626=0,0,(D1626-C1626)*G1626)</f>
        <v>4.4499999999999051</v>
      </c>
      <c r="M1626" s="25">
        <v>994.26706000000001</v>
      </c>
      <c r="N1626" s="26" cm="1">
        <f t="array" ref="N1626">IFERROR((K1626-J1626)/J1626,"–")</f>
        <v>0.99556737588652511</v>
      </c>
      <c r="O1626" s="24" cm="1">
        <f t="array" ref="O1626">IF(D1626=0,0,L1626-K1626)</f>
        <v>2.947457499999905</v>
      </c>
      <c r="P1626" s="23"/>
      <c r="Q1626" s="27"/>
    </row>
    <row r="1627" spans="1:17" ht="22.5" customHeight="1">
      <c r="A1627" s="16" t="s">
        <v>77</v>
      </c>
      <c r="B1627" s="42">
        <v>44648</v>
      </c>
      <c r="C1627" s="36">
        <v>0.79359999999999997</v>
      </c>
      <c r="D1627" s="36">
        <v>0.79720000000000002</v>
      </c>
      <c r="E1627" s="30" cm="1">
        <f t="array" ref="E1627">IF(D1627="","",D1627-C1627)</f>
        <v>3.6000000000000476E-3</v>
      </c>
      <c r="F1627" s="31" cm="1">
        <f t="array" ref="F1627">IF(D1627=0,"",(D1627-C1627)/C1627)</f>
        <v>4.5362903225807053E-3</v>
      </c>
      <c r="G1627" s="32">
        <v>7560</v>
      </c>
      <c r="H1627" s="10">
        <v>1</v>
      </c>
      <c r="I1627" s="11" cm="1">
        <f t="array" ref="I1627">IF(D1627="","",(G1627*C1627)*0.00075)</f>
        <v>4.4997119999999997</v>
      </c>
      <c r="J1627" s="11" cm="1">
        <f t="array" ref="J1627">IF(D1627="","",(G1627*D1627)*0.00075)</f>
        <v>4.520124</v>
      </c>
      <c r="K1627" s="33" cm="1">
        <f t="array" ref="K1627">IF(D1627="","",J1627+I1627)</f>
        <v>9.0198359999999997</v>
      </c>
      <c r="L1627" s="33" cm="1">
        <f t="array" ref="L1627">IF(D1627=0,0,(D1627-C1627)*G1627)</f>
        <v>27.21600000000036</v>
      </c>
      <c r="M1627" s="12">
        <v>5967.879876</v>
      </c>
      <c r="N1627" s="34" cm="1">
        <f t="array" ref="N1627">IFERROR((K1627-J1627)/J1627,"–")</f>
        <v>0.99548419468138483</v>
      </c>
      <c r="O1627" s="33" cm="1">
        <f t="array" ref="O1627">IF(D1627=0,0,L1627-K1627)</f>
        <v>18.196164000000358</v>
      </c>
      <c r="P1627" s="11"/>
      <c r="Q1627" s="35"/>
    </row>
    <row r="1628" spans="1:17" ht="22.5" customHeight="1">
      <c r="A1628" s="16" t="s">
        <v>217</v>
      </c>
      <c r="B1628" s="43">
        <v>44648</v>
      </c>
      <c r="C1628" s="37">
        <v>22.385000000000002</v>
      </c>
      <c r="D1628" s="37">
        <v>23.03</v>
      </c>
      <c r="E1628" s="19" cm="1">
        <f t="array" ref="E1628">IF(D1628="","",D1628-C1628)</f>
        <v>0.64499999999999957</v>
      </c>
      <c r="F1628" s="20" cm="1">
        <f t="array" ref="F1628">IF(D1628=0,"",(D1628-C1628)/C1628)</f>
        <v>2.8813937904846976E-2</v>
      </c>
      <c r="G1628" s="21">
        <v>178.69</v>
      </c>
      <c r="H1628" s="22">
        <v>1</v>
      </c>
      <c r="I1628" s="23" cm="1">
        <f t="array" ref="I1628">IF(D1628="","",(G1628*C1628)*0.00075)/2</f>
        <v>1.4999908687500001</v>
      </c>
      <c r="J1628" s="23" cm="1">
        <f t="array" ref="J1628">IF(D1628="","",(G1628*D1628)*0.00075)/2</f>
        <v>1.5432115125000001</v>
      </c>
      <c r="K1628" s="24" cm="1">
        <f t="array" ref="K1628">IF(D1628="","",J1628+I1628)</f>
        <v>3.0432023812500004</v>
      </c>
      <c r="L1628" s="24" cm="1">
        <f t="array" ref="L1628">IF(D1628=0,0,(D1628-C1628)*G1628)</f>
        <v>115.25504999999993</v>
      </c>
      <c r="M1628" s="25">
        <v>3883.1773884875001</v>
      </c>
      <c r="N1628" s="26" cm="1">
        <f t="array" ref="N1628">IFERROR((K1628-J1628)/J1628,"–")</f>
        <v>0.9719930525401651</v>
      </c>
      <c r="O1628" s="24" cm="1">
        <f t="array" ref="O1628">IF(D1628=0,0,L1628-K1628)</f>
        <v>112.21184761874993</v>
      </c>
      <c r="P1628" s="23"/>
      <c r="Q1628" s="27"/>
    </row>
    <row r="1629" spans="1:17" ht="22.5" customHeight="1">
      <c r="A1629" s="16" t="s">
        <v>213</v>
      </c>
      <c r="B1629" s="42">
        <v>44649</v>
      </c>
      <c r="C1629" s="36">
        <v>5.867</v>
      </c>
      <c r="D1629" s="36">
        <v>5.8570000000000002</v>
      </c>
      <c r="E1629" s="30" cm="1">
        <f t="array" ref="E1629">IF(D1629="","",D1629-C1629)</f>
        <v>-9.9999999999997868E-3</v>
      </c>
      <c r="F1629" s="31" cm="1">
        <f t="array" ref="F1629">IF(D1629=0,"",(D1629-C1629)/C1629)</f>
        <v>-1.7044486108743458E-3</v>
      </c>
      <c r="G1629" s="32">
        <v>1050</v>
      </c>
      <c r="H1629" s="10">
        <v>1</v>
      </c>
      <c r="I1629" s="11" cm="1">
        <f t="array" ref="I1629">IF(D1629="","",(G1629*C1629)*0.00075)/2</f>
        <v>2.31013125</v>
      </c>
      <c r="J1629" s="11" cm="1">
        <f t="array" ref="J1629">IF(D1629="","",(G1629*D1629)*0.00075)/2</f>
        <v>2.3061937500000003</v>
      </c>
      <c r="K1629" s="33" cm="1">
        <f t="array" ref="K1629">IF(D1629="","",J1629+I1629)</f>
        <v>4.6163249999999998</v>
      </c>
      <c r="L1629" s="33" cm="1">
        <f t="array" ref="L1629">IF(D1629=0,0,(D1629-C1629)*G1629)</f>
        <v>-10.499999999999776</v>
      </c>
      <c r="M1629" s="12">
        <v>6168.5438062499998</v>
      </c>
      <c r="N1629" s="34" cm="1">
        <f t="array" ref="N1629">IFERROR((K1629-J1629)/J1629,"–")</f>
        <v>1.0017073587160659</v>
      </c>
      <c r="O1629" s="33" cm="1">
        <f t="array" ref="O1629">IF(D1629=0,0,L1629-K1629)</f>
        <v>-15.116324999999776</v>
      </c>
      <c r="P1629" s="11"/>
      <c r="Q1629" s="35"/>
    </row>
    <row r="1630" spans="1:17" ht="22.5" customHeight="1">
      <c r="A1630" s="16" t="s">
        <v>304</v>
      </c>
      <c r="B1630" s="43">
        <v>44649</v>
      </c>
      <c r="C1630" s="37">
        <v>29.29</v>
      </c>
      <c r="D1630" s="37">
        <v>30.835999999999999</v>
      </c>
      <c r="E1630" s="19" cm="1">
        <f t="array" ref="E1630">IF(D1630="","",D1630-C1630)</f>
        <v>1.5459999999999994</v>
      </c>
      <c r="F1630" s="20" cm="1">
        <f t="array" ref="F1630">IF(D1630=0,"",(D1630-C1630)/C1630)</f>
        <v>5.278251963127345E-2</v>
      </c>
      <c r="G1630" s="21">
        <v>250</v>
      </c>
      <c r="H1630" s="22">
        <v>1</v>
      </c>
      <c r="I1630" s="23" cm="1">
        <f t="array" ref="I1630">IF(D1630="","",(G1630*C1630)*0.00075)/2</f>
        <v>2.7459375000000001</v>
      </c>
      <c r="J1630" s="23" cm="1">
        <f t="array" ref="J1630">IF(D1630="","",(G1630*D1630)*0.00075)/2</f>
        <v>2.8908749999999999</v>
      </c>
      <c r="K1630" s="24" cm="1">
        <f t="array" ref="K1630">IF(D1630="","",J1630+I1630)</f>
        <v>5.6368124999999996</v>
      </c>
      <c r="L1630" s="24" cm="1">
        <f t="array" ref="L1630">IF(D1630=0,0,(D1630-C1630)*G1630)</f>
        <v>386.49999999999983</v>
      </c>
      <c r="M1630" s="25">
        <v>6933.1091249999999</v>
      </c>
      <c r="N1630" s="26" cm="1">
        <f t="array" ref="N1630">IFERROR((K1630-J1630)/J1630,"–")</f>
        <v>0.94986379556362688</v>
      </c>
      <c r="O1630" s="24" cm="1">
        <f t="array" ref="O1630">IF(D1630=0,0,L1630-K1630)</f>
        <v>380.86318749999981</v>
      </c>
      <c r="P1630" s="23"/>
      <c r="Q1630" s="27"/>
    </row>
    <row r="1631" spans="1:17" ht="22.5" customHeight="1">
      <c r="A1631" s="16" t="s">
        <v>305</v>
      </c>
      <c r="B1631" s="42">
        <v>44649</v>
      </c>
      <c r="C1631" s="36">
        <v>29.5</v>
      </c>
      <c r="D1631" s="36">
        <v>30.835999999999999</v>
      </c>
      <c r="E1631" s="30" cm="1">
        <f t="array" ref="E1631">IF(D1631="","",D1631-C1631)</f>
        <v>1.3359999999999985</v>
      </c>
      <c r="F1631" s="31" cm="1">
        <f t="array" ref="F1631">IF(D1631=0,"",(D1631-C1631)/C1631)</f>
        <v>4.5288135593220286E-2</v>
      </c>
      <c r="G1631" s="32">
        <v>186</v>
      </c>
      <c r="H1631" s="10">
        <v>1</v>
      </c>
      <c r="I1631" s="11" cm="1">
        <f t="array" ref="I1631">IF(D1631="","",(G1631*C1631)*0.00075)/2</f>
        <v>2.0576250000000003</v>
      </c>
      <c r="J1631" s="11" cm="1">
        <f t="array" ref="J1631">IF(D1631="","",(G1631*D1631)*0.00075)/2</f>
        <v>2.150811</v>
      </c>
      <c r="K1631" s="33" cm="1">
        <f t="array" ref="K1631">IF(D1631="","",J1631+I1631)</f>
        <v>4.2084360000000007</v>
      </c>
      <c r="L1631" s="33" cm="1">
        <f t="array" ref="L1631">IF(D1631=0,0,(D1631-C1631)*G1631)</f>
        <v>248.49599999999973</v>
      </c>
      <c r="M1631" s="12">
        <v>5236.3531890000004</v>
      </c>
      <c r="N1631" s="34" cm="1">
        <f t="array" ref="N1631">IFERROR((K1631-J1631)/J1631,"–")</f>
        <v>0.95667401738228075</v>
      </c>
      <c r="O1631" s="33" cm="1">
        <f t="array" ref="O1631">IF(D1631=0,0,L1631-K1631)</f>
        <v>244.28756399999972</v>
      </c>
      <c r="P1631" s="11"/>
      <c r="Q1631" s="35"/>
    </row>
    <row r="1632" spans="1:17" ht="22.5" customHeight="1">
      <c r="A1632" s="16" t="s">
        <v>217</v>
      </c>
      <c r="B1632" s="43">
        <v>44649</v>
      </c>
      <c r="C1632" s="37">
        <v>21.26</v>
      </c>
      <c r="D1632" s="37">
        <v>22.25</v>
      </c>
      <c r="E1632" s="19" cm="1">
        <f t="array" ref="E1632">IF(D1632="","",D1632-C1632)</f>
        <v>0.98999999999999844</v>
      </c>
      <c r="F1632" s="20" cm="1">
        <f t="array" ref="F1632">IF(D1632=0,"",(D1632-C1632)/C1632)</f>
        <v>4.6566321730950065E-2</v>
      </c>
      <c r="G1632" s="21">
        <v>174.82</v>
      </c>
      <c r="H1632" s="22">
        <v>1</v>
      </c>
      <c r="I1632" s="23" cm="1">
        <f t="array" ref="I1632">IF(D1632="","",(G1632*C1632)*0.00075)/2</f>
        <v>1.39375245</v>
      </c>
      <c r="J1632" s="23" cm="1">
        <f t="array" ref="J1632">IF(D1632="","",(G1632*D1632)*0.00075)/2</f>
        <v>1.4586543750000001</v>
      </c>
      <c r="K1632" s="24" cm="1">
        <f t="array" ref="K1632">IF(D1632="","",J1632+I1632)</f>
        <v>2.8524068250000001</v>
      </c>
      <c r="L1632" s="24" cm="1">
        <f t="array" ref="L1632">IF(D1632=0,0,(D1632-C1632)*G1632)</f>
        <v>173.07179999999971</v>
      </c>
      <c r="M1632" s="25">
        <v>3542.1427456249999</v>
      </c>
      <c r="N1632" s="26" cm="1">
        <f t="array" ref="N1632">IFERROR((K1632-J1632)/J1632,"–")</f>
        <v>0.95550561797752809</v>
      </c>
      <c r="O1632" s="24" cm="1">
        <f t="array" ref="O1632">IF(D1632=0,0,L1632-K1632)</f>
        <v>170.21939317499971</v>
      </c>
      <c r="P1632" s="23"/>
      <c r="Q1632" s="27"/>
    </row>
    <row r="1633" spans="1:17" ht="22.5" customHeight="1">
      <c r="A1633" s="16" t="s">
        <v>304</v>
      </c>
      <c r="B1633" s="42">
        <v>44649</v>
      </c>
      <c r="C1633" s="36">
        <v>31.207000000000001</v>
      </c>
      <c r="D1633" s="36">
        <v>30.87</v>
      </c>
      <c r="E1633" s="30" cm="1">
        <f t="array" ref="E1633">IF(D1633="","",D1633-C1633)</f>
        <v>-0.33699999999999974</v>
      </c>
      <c r="F1633" s="31" cm="1">
        <f t="array" ref="F1633">IF(D1633=0,"",(D1633-C1633)/C1633)</f>
        <v>-1.0798859230300885E-2</v>
      </c>
      <c r="G1633" s="32">
        <v>161.30000000000001</v>
      </c>
      <c r="H1633" s="10">
        <v>1</v>
      </c>
      <c r="I1633" s="11" cm="1">
        <f t="array" ref="I1633">IF(D1633="","",(G1633*C1633)*0.00075)/2</f>
        <v>1.8876334125000003</v>
      </c>
      <c r="J1633" s="11" cm="1">
        <f t="array" ref="J1633">IF(D1633="","",(G1633*D1633)*0.00075)/2</f>
        <v>1.8672491250000001</v>
      </c>
      <c r="K1633" s="33" cm="1">
        <f t="array" ref="K1633">IF(D1633="","",J1633+I1633)</f>
        <v>3.7548825375000003</v>
      </c>
      <c r="L1633" s="33" cm="1">
        <f t="array" ref="L1633">IF(D1633=0,0,(D1633-C1633)*G1633)</f>
        <v>-54.358099999999965</v>
      </c>
      <c r="M1633" s="12">
        <v>5086.179950875</v>
      </c>
      <c r="N1633" s="34" cm="1">
        <f t="array" ref="N1633">IFERROR((K1633-J1633)/J1633,"–")</f>
        <v>1.0109167476514416</v>
      </c>
      <c r="O1633" s="33" cm="1">
        <f t="array" ref="O1633">IF(D1633=0,0,L1633-K1633)</f>
        <v>-58.112982537499967</v>
      </c>
      <c r="P1633" s="11"/>
      <c r="Q1633" s="35"/>
    </row>
    <row r="1634" spans="1:17" ht="22.5" customHeight="1">
      <c r="A1634" s="16" t="s">
        <v>49</v>
      </c>
      <c r="B1634" s="43">
        <v>44649</v>
      </c>
      <c r="C1634" s="37">
        <v>14.09</v>
      </c>
      <c r="D1634" s="37">
        <v>13.75</v>
      </c>
      <c r="E1634" s="19" cm="1">
        <f t="array" ref="E1634">IF(D1634="","",D1634-C1634)</f>
        <v>-0.33999999999999986</v>
      </c>
      <c r="F1634" s="20" cm="1">
        <f t="array" ref="F1634">IF(D1634=0,"",(D1634-C1634)/C1634)</f>
        <v>-2.4130589070262588E-2</v>
      </c>
      <c r="G1634" s="21">
        <v>141.83000000000001</v>
      </c>
      <c r="H1634" s="22">
        <v>1</v>
      </c>
      <c r="I1634" s="23" cm="1">
        <f t="array" ref="I1634">IF(D1634="","",(G1634*C1634)*0.00075)</f>
        <v>1.4987885250000001</v>
      </c>
      <c r="J1634" s="23" cm="1">
        <f t="array" ref="J1634">IF(D1634="","",(G1634*D1634)*0.00075)</f>
        <v>1.4626218750000002</v>
      </c>
      <c r="K1634" s="24" cm="1">
        <f t="array" ref="K1634">IF(D1634="","",J1634+I1634)</f>
        <v>2.9614104000000001</v>
      </c>
      <c r="L1634" s="24" cm="1">
        <f t="array" ref="L1634">IF(D1634=0,0,(D1634-C1634)*G1634)</f>
        <v>-48.222199999999987</v>
      </c>
      <c r="M1634" s="25">
        <v>2045.144278125</v>
      </c>
      <c r="N1634" s="26" cm="1">
        <f t="array" ref="N1634">IFERROR((K1634-J1634)/J1634,"–")</f>
        <v>1.0247272727272725</v>
      </c>
      <c r="O1634" s="24" cm="1">
        <f t="array" ref="O1634">IF(D1634=0,0,L1634-K1634)</f>
        <v>-51.183610399999985</v>
      </c>
      <c r="P1634" s="23"/>
      <c r="Q1634" s="27"/>
    </row>
    <row r="1635" spans="1:17" ht="22.5" customHeight="1">
      <c r="A1635" s="16" t="s">
        <v>218</v>
      </c>
      <c r="B1635" s="42">
        <v>44650</v>
      </c>
      <c r="C1635" s="36">
        <v>3.0169999999999999</v>
      </c>
      <c r="D1635" s="36">
        <v>2.9950000000000001</v>
      </c>
      <c r="E1635" s="30" cm="1">
        <f t="array" ref="E1635">IF(D1635="","",D1635-C1635)</f>
        <v>-2.1999999999999797E-2</v>
      </c>
      <c r="F1635" s="31" cm="1">
        <f t="array" ref="F1635">IF(D1635=0,"",(D1635-C1635)/C1635)</f>
        <v>-7.2920119323830954E-3</v>
      </c>
      <c r="G1635" s="32">
        <v>1656.7</v>
      </c>
      <c r="H1635" s="10">
        <v>1</v>
      </c>
      <c r="I1635" s="11" cm="1">
        <f t="array" ref="I1635">IF(D1635="","",(G1635*C1635)*0.00075)</f>
        <v>3.7486979250000001</v>
      </c>
      <c r="J1635" s="11" cm="1">
        <f t="array" ref="J1635">IF(D1635="","",(G1635*D1635)*0.00075)</f>
        <v>3.721362375</v>
      </c>
      <c r="K1635" s="33" cm="1">
        <f t="array" ref="K1635">IF(D1635="","",J1635+I1635)</f>
        <v>7.4700603000000001</v>
      </c>
      <c r="L1635" s="33" cm="1">
        <f t="array" ref="L1635">IF(D1635=0,0,(D1635-C1635)*G1635)</f>
        <v>-36.447399999999668</v>
      </c>
      <c r="M1635" s="12">
        <v>5030.9899376249996</v>
      </c>
      <c r="N1635" s="34" cm="1">
        <f t="array" ref="N1635">IFERROR((K1635-J1635)/J1635,"–")</f>
        <v>1.0073455759599332</v>
      </c>
      <c r="O1635" s="33" cm="1">
        <f t="array" ref="O1635">IF(D1635=0,0,L1635-K1635)</f>
        <v>-43.917460299999668</v>
      </c>
      <c r="P1635" s="11"/>
      <c r="Q1635" s="35"/>
    </row>
    <row r="1636" spans="1:17" ht="22.5" customHeight="1">
      <c r="A1636" s="16" t="s">
        <v>140</v>
      </c>
      <c r="B1636" s="43">
        <v>44650</v>
      </c>
      <c r="C1636" s="37">
        <v>3.585</v>
      </c>
      <c r="D1636" s="37">
        <v>3.5659999999999998</v>
      </c>
      <c r="E1636" s="19" cm="1">
        <f t="array" ref="E1636">IF(D1636="","",D1636-C1636)</f>
        <v>-1.9000000000000128E-2</v>
      </c>
      <c r="F1636" s="20" cm="1">
        <f t="array" ref="F1636">IF(D1636=0,"",(D1636-C1636)/C1636)</f>
        <v>-5.2998605299860889E-3</v>
      </c>
      <c r="G1636" s="21">
        <v>1393.4</v>
      </c>
      <c r="H1636" s="22">
        <v>1</v>
      </c>
      <c r="I1636" s="23" cm="1">
        <f t="array" ref="I1636">IF(D1636="","",(G1636*C1636)*0.00075)</f>
        <v>3.7465042500000001</v>
      </c>
      <c r="J1636" s="23" cm="1">
        <f t="array" ref="J1636">IF(D1636="","",(G1636*D1636)*0.00075)</f>
        <v>3.7266483000000004</v>
      </c>
      <c r="K1636" s="24" cm="1">
        <f t="array" ref="K1636">IF(D1636="","",J1636+I1636)</f>
        <v>7.47315255</v>
      </c>
      <c r="L1636" s="24" cm="1">
        <f t="array" ref="L1636">IF(D1636=0,0,(D1636-C1636)*G1636)</f>
        <v>-26.47460000000018</v>
      </c>
      <c r="M1636" s="25">
        <v>5018.0869517000001</v>
      </c>
      <c r="N1636" s="26" cm="1">
        <f t="array" ref="N1636">IFERROR((K1636-J1636)/J1636,"–")</f>
        <v>1.005328098710039</v>
      </c>
      <c r="O1636" s="24" cm="1">
        <f t="array" ref="O1636">IF(D1636=0,0,L1636-K1636)</f>
        <v>-33.947752550000182</v>
      </c>
      <c r="P1636" s="23"/>
      <c r="Q1636" s="27"/>
    </row>
    <row r="1637" spans="1:17" ht="22.5" customHeight="1">
      <c r="A1637" s="16" t="s">
        <v>293</v>
      </c>
      <c r="B1637" s="42">
        <v>44651</v>
      </c>
      <c r="C1637" s="36">
        <v>2.7071999999999998</v>
      </c>
      <c r="D1637" s="36">
        <v>2.72</v>
      </c>
      <c r="E1637" s="30" cm="1">
        <f t="array" ref="E1637">IF(D1637="","",D1637-C1637)</f>
        <v>1.2800000000000367E-2</v>
      </c>
      <c r="F1637" s="31" cm="1">
        <f t="array" ref="F1637">IF(D1637=0,"",(D1637-C1637)/C1637)</f>
        <v>4.7281323877069919E-3</v>
      </c>
      <c r="G1637" s="32" cm="1">
        <f t="array" ref="G1637">(2766*2)+1</f>
        <v>5533</v>
      </c>
      <c r="H1637" s="10">
        <v>1</v>
      </c>
      <c r="I1637" s="11" cm="1">
        <f t="array" ref="I1637">IF(D1637="","",(G1637*C1637)*0.00075)</f>
        <v>11.2342032</v>
      </c>
      <c r="J1637" s="11" cm="1">
        <f t="array" ref="J1637">IF(D1637="","",(G1637*D1637)*0.00075)</f>
        <v>11.287320000000001</v>
      </c>
      <c r="K1637" s="33" cm="1">
        <f t="array" ref="K1637">IF(D1637="","",J1637+I1637)</f>
        <v>22.521523200000001</v>
      </c>
      <c r="L1637" s="33" cm="1">
        <f t="array" ref="L1637">IF(D1637=0,0,(D1637-C1637)*G1637)</f>
        <v>70.822400000002034</v>
      </c>
      <c r="M1637" s="12">
        <v>14896.827880000001</v>
      </c>
      <c r="N1637" s="34" cm="1">
        <f t="array" ref="N1637">IFERROR((K1637-J1637)/J1637,"–")</f>
        <v>0.99529411764705866</v>
      </c>
      <c r="O1637" s="33" cm="1">
        <f t="array" ref="O1637">IF(D1637=0,0,L1637-K1637)</f>
        <v>48.30087680000203</v>
      </c>
      <c r="P1637" s="11"/>
      <c r="Q1637" s="35"/>
    </row>
    <row r="1638" spans="1:17" ht="22.5" customHeight="1">
      <c r="A1638" s="16" t="s">
        <v>280</v>
      </c>
      <c r="B1638" s="43">
        <v>44651</v>
      </c>
      <c r="C1638" s="37">
        <v>0.41589999999999999</v>
      </c>
      <c r="D1638" s="37">
        <v>0.42</v>
      </c>
      <c r="E1638" s="19" cm="1">
        <f t="array" ref="E1638">IF(D1638="","",D1638-C1638)</f>
        <v>4.0999999999999925E-3</v>
      </c>
      <c r="F1638" s="20" cm="1">
        <f t="array" ref="F1638">IF(D1638=0,"",(D1638-C1638)/C1638)</f>
        <v>9.8581389757152992E-3</v>
      </c>
      <c r="G1638" s="21">
        <v>24019</v>
      </c>
      <c r="H1638" s="22">
        <v>1</v>
      </c>
      <c r="I1638" s="23" cm="1">
        <f t="array" ref="I1638">IF(D1638="","",(G1638*C1638)*0.00075)</f>
        <v>7.4921265750000003</v>
      </c>
      <c r="J1638" s="23" cm="1">
        <f t="array" ref="J1638">IF(D1638="","",(G1638*D1638)*0.00075)</f>
        <v>7.5659849999999995</v>
      </c>
      <c r="K1638" s="24" cm="1">
        <f t="array" ref="K1638">IF(D1638="","",J1638+I1638)</f>
        <v>15.058111575</v>
      </c>
      <c r="L1638" s="24" cm="1">
        <f t="array" ref="L1638">IF(D1638=0,0,(D1638-C1638)*G1638)</f>
        <v>98.477899999999821</v>
      </c>
      <c r="M1638" s="25">
        <v>9883.4582150000006</v>
      </c>
      <c r="N1638" s="26" cm="1">
        <f t="array" ref="N1638">IFERROR((K1638-J1638)/J1638,"–")</f>
        <v>0.99023809523809536</v>
      </c>
      <c r="O1638" s="24" cm="1">
        <f t="array" ref="O1638">IF(D1638=0,0,L1638-K1638)</f>
        <v>83.419788424999822</v>
      </c>
      <c r="P1638" s="23"/>
      <c r="Q1638" s="27"/>
    </row>
    <row r="1639" spans="1:17" ht="22.5" customHeight="1">
      <c r="A1639" s="16" t="s">
        <v>217</v>
      </c>
      <c r="B1639" s="42">
        <v>44651</v>
      </c>
      <c r="C1639" s="36">
        <v>20.07</v>
      </c>
      <c r="D1639" s="36">
        <v>21.15</v>
      </c>
      <c r="E1639" s="30" cm="1">
        <f t="array" ref="E1639">IF(D1639="","",D1639-C1639)</f>
        <v>1.0799999999999983</v>
      </c>
      <c r="F1639" s="31" cm="1">
        <f t="array" ref="F1639">IF(D1639=0,"",(D1639-C1639)/C1639)</f>
        <v>5.3811659192825025E-2</v>
      </c>
      <c r="G1639" s="32">
        <v>300</v>
      </c>
      <c r="H1639" s="10">
        <v>1</v>
      </c>
      <c r="I1639" s="11" cm="1">
        <f t="array" ref="I1639">IF(D1639="","",(G1639*C1639)*0.00075)/2</f>
        <v>2.2578749999999999</v>
      </c>
      <c r="J1639" s="11" cm="1">
        <f t="array" ref="J1639">IF(D1639="","",(G1639*D1639)*0.00075)/2</f>
        <v>2.379375</v>
      </c>
      <c r="K1639" s="33" cm="1">
        <f t="array" ref="K1639">IF(D1639="","",J1639+I1639)</f>
        <v>4.6372499999999999</v>
      </c>
      <c r="L1639" s="33" cm="1">
        <f t="array" ref="L1639">IF(D1639=0,0,(D1639-C1639)*G1639)</f>
        <v>323.99999999999949</v>
      </c>
      <c r="M1639" s="12">
        <v>5694.6206249999996</v>
      </c>
      <c r="N1639" s="34" cm="1">
        <f t="array" ref="N1639">IFERROR((K1639-J1639)/J1639,"–")</f>
        <v>0.94893617021276588</v>
      </c>
      <c r="O1639" s="33" cm="1">
        <f t="array" ref="O1639">IF(D1639=0,0,L1639-K1639)</f>
        <v>319.36274999999949</v>
      </c>
      <c r="P1639" s="11"/>
      <c r="Q1639" s="35"/>
    </row>
    <row r="1640" spans="1:17" ht="22.5" customHeight="1">
      <c r="A1640" s="16" t="s">
        <v>152</v>
      </c>
      <c r="B1640" s="43">
        <v>44651</v>
      </c>
      <c r="C1640" s="37">
        <v>5.2359999999999997E-2</v>
      </c>
      <c r="D1640" s="37">
        <v>5.3900000000000003E-2</v>
      </c>
      <c r="E1640" s="19" cm="1">
        <f t="array" ref="E1640">IF(D1640="","",D1640-C1640)</f>
        <v>1.5400000000000066E-3</v>
      </c>
      <c r="F1640" s="20" cm="1">
        <f t="array" ref="F1640">IF(D1640=0,"",(D1640-C1640)/C1640)</f>
        <v>2.9411764705882481E-2</v>
      </c>
      <c r="G1640" s="21">
        <v>229182.5</v>
      </c>
      <c r="H1640" s="22">
        <v>1</v>
      </c>
      <c r="I1640" s="23" cm="1">
        <f t="array" ref="I1640">IF(D1640="","",(G1640*C1640)*0.00075)</f>
        <v>8.9999967749999996</v>
      </c>
      <c r="J1640" s="23" cm="1">
        <f t="array" ref="J1640">IF(D1640="","",(G1640*D1640)*0.00075)</f>
        <v>9.2647025625000001</v>
      </c>
      <c r="K1640" s="24" cm="1">
        <f t="array" ref="K1640">IF(D1640="","",J1640+I1640)</f>
        <v>18.264699337499998</v>
      </c>
      <c r="L1640" s="24" cm="1">
        <f t="array" ref="L1640">IF(D1640=0,0,(D1640-C1640)*G1640)</f>
        <v>352.9410500000015</v>
      </c>
      <c r="M1640" s="25">
        <v>11637.789947437501</v>
      </c>
      <c r="N1640" s="26" cm="1">
        <f t="array" ref="N1640">IFERROR((K1640-J1640)/J1640,"–")</f>
        <v>0.9714285714285712</v>
      </c>
      <c r="O1640" s="24" cm="1">
        <f t="array" ref="O1640">IF(D1640=0,0,L1640-K1640)</f>
        <v>334.67635066250148</v>
      </c>
      <c r="P1640" s="44" t="s">
        <v>437</v>
      </c>
      <c r="Q1640" s="27"/>
    </row>
    <row r="1641" spans="1:17" ht="22.5" customHeight="1">
      <c r="A1641" s="16" t="s">
        <v>304</v>
      </c>
      <c r="B1641" s="42">
        <v>44651</v>
      </c>
      <c r="C1641" s="36">
        <v>28.37</v>
      </c>
      <c r="D1641" s="36">
        <v>28.936</v>
      </c>
      <c r="E1641" s="30" cm="1">
        <f t="array" ref="E1641">IF(D1641="","",D1641-C1641)</f>
        <v>0.56599999999999895</v>
      </c>
      <c r="F1641" s="31" cm="1">
        <f t="array" ref="F1641">IF(D1641=0,"",(D1641-C1641)/C1641)</f>
        <v>1.9950652097285828E-2</v>
      </c>
      <c r="G1641" s="32">
        <v>620</v>
      </c>
      <c r="H1641" s="10">
        <v>1</v>
      </c>
      <c r="I1641" s="11" cm="1">
        <f t="array" ref="I1641">IF(D1641="","",(G1641*C1641)*0.00075)/2</f>
        <v>6.5960250000000009</v>
      </c>
      <c r="J1641" s="11" cm="1">
        <f t="array" ref="J1641">IF(D1641="","",(G1641*D1641)*0.00075)/2</f>
        <v>6.7276199999999999</v>
      </c>
      <c r="K1641" s="33" cm="1">
        <f t="array" ref="K1641">IF(D1641="","",J1641+I1641)</f>
        <v>13.323645000000001</v>
      </c>
      <c r="L1641" s="33" cm="1">
        <f t="array" ref="L1641">IF(D1641=0,0,(D1641-C1641)*G1641)</f>
        <v>350.91999999999933</v>
      </c>
      <c r="M1641" s="12">
        <v>17231.752380000002</v>
      </c>
      <c r="N1641" s="34" cm="1">
        <f t="array" ref="N1641">IFERROR((K1641-J1641)/J1641,"–")</f>
        <v>0.98043959082112264</v>
      </c>
      <c r="O1641" s="33" cm="1">
        <f t="array" ref="O1641">IF(D1641=0,0,L1641-K1641)</f>
        <v>337.59635499999933</v>
      </c>
      <c r="P1641" s="11" cm="1">
        <f t="array" ref="P1641">SUM(O1567:O1641)</f>
        <v>2459.3009758970225</v>
      </c>
      <c r="Q1641" s="35"/>
    </row>
    <row r="1642" spans="1:17" ht="22.5" customHeight="1">
      <c r="A1642" s="7"/>
      <c r="B1642" s="40"/>
      <c r="C1642" s="37"/>
      <c r="D1642" s="37"/>
      <c r="E1642" s="40" t="str" cm="1">
        <f t="array" ref="E1642">IF(D1642="","",D1642-C1642)</f>
        <v/>
      </c>
      <c r="F1642" s="40" t="str" cm="1">
        <f t="array" ref="F1642">IF(D1642=0,"",(D1642-C1642)/C1642)</f>
        <v/>
      </c>
      <c r="G1642" s="21"/>
      <c r="H1642" s="22">
        <v>1</v>
      </c>
      <c r="I1642" s="40" t="str" cm="1">
        <f t="array" ref="I1642">IF(D1642="","",(G1642*C1642)*0.00075)</f>
        <v/>
      </c>
      <c r="J1642" s="40" t="str" cm="1">
        <f t="array" ref="J1642">IF(D1642="","",(G1642*D1642)*0.00075)</f>
        <v/>
      </c>
      <c r="K1642" s="40" t="str" cm="1">
        <f t="array" ref="K1642">IF(D1642="","",J1642+I1642)</f>
        <v/>
      </c>
      <c r="L1642" s="24" cm="1">
        <f t="array" ref="L1642">IF(D1642=0,0,(D1642-C1642)*G1642)</f>
        <v>0</v>
      </c>
      <c r="M1642" s="46" t="s">
        <v>13</v>
      </c>
      <c r="N1642" s="47" t="str" cm="1">
        <f t="array" ref="N1642">IFERROR((K1642-J1642)/J1642,"–")</f>
        <v>–</v>
      </c>
      <c r="O1642" s="24" cm="1">
        <f t="array" ref="O1642">IF(D1642=0,0,L1642-K1642)</f>
        <v>0</v>
      </c>
      <c r="P1642" s="23"/>
      <c r="Q1642" s="27"/>
    </row>
    <row r="1643" spans="1:17" ht="22.5" customHeight="1">
      <c r="A1643" s="16" t="s">
        <v>98</v>
      </c>
      <c r="B1643" s="28">
        <v>44652</v>
      </c>
      <c r="C1643" s="36">
        <v>1.0396000000000001</v>
      </c>
      <c r="D1643" s="36">
        <v>1.0565</v>
      </c>
      <c r="E1643" s="30" cm="1">
        <f t="array" ref="E1643">IF(D1643="","",D1643-C1643)</f>
        <v>1.6899999999999915E-2</v>
      </c>
      <c r="F1643" s="31" cm="1">
        <f t="array" ref="F1643">IF(D1643=0,"",(D1643-C1643)/C1643)</f>
        <v>1.6256252404770983E-2</v>
      </c>
      <c r="G1643" s="32">
        <v>11542</v>
      </c>
      <c r="H1643" s="10">
        <v>1</v>
      </c>
      <c r="I1643" s="11" cm="1">
        <f t="array" ref="I1643">IF(D1643="","",(G1643*C1643)*0.00075)</f>
        <v>8.9992974000000014</v>
      </c>
      <c r="J1643" s="11" cm="1">
        <f t="array" ref="J1643">IF(D1643="","",(G1643*D1643)*0.00075)/2</f>
        <v>4.572796125</v>
      </c>
      <c r="K1643" s="33" cm="1">
        <f t="array" ref="K1643">IF(D1643="","",J1643+I1643)/2</f>
        <v>6.7860467625000007</v>
      </c>
      <c r="L1643" s="33" cm="1">
        <f t="array" ref="L1643">IF(D1643=0,0,(D1643-C1643)*G1643)</f>
        <v>195.05979999999903</v>
      </c>
      <c r="M1643" s="12">
        <v>11799.430603875</v>
      </c>
      <c r="N1643" s="34" cm="1">
        <f t="array" ref="N1643">IFERROR((K1643-J1643)/J1643,"–")</f>
        <v>0.48400378608613365</v>
      </c>
      <c r="O1643" s="33" cm="1">
        <f t="array" ref="O1643">IF(D1643=0,0,L1643-K1643)</f>
        <v>188.27375323749902</v>
      </c>
      <c r="P1643" s="11"/>
      <c r="Q1643" s="35"/>
    </row>
    <row r="1644" spans="1:17" ht="22.5" customHeight="1">
      <c r="A1644" s="16" t="s">
        <v>213</v>
      </c>
      <c r="B1644" s="17">
        <v>44652</v>
      </c>
      <c r="C1644" s="37">
        <v>5.7140000000000004</v>
      </c>
      <c r="D1644" s="37">
        <v>6.4062000000000001</v>
      </c>
      <c r="E1644" s="19" cm="1">
        <f t="array" ref="E1644">IF(D1644="","",D1644-C1644)</f>
        <v>0.6921999999999997</v>
      </c>
      <c r="F1644" s="20" cm="1">
        <f t="array" ref="F1644">IF(D1644=0,"",(D1644-C1644)/C1644)</f>
        <v>0.12114105705285258</v>
      </c>
      <c r="G1644" s="21">
        <v>621.92999999999995</v>
      </c>
      <c r="H1644" s="22">
        <v>1</v>
      </c>
      <c r="I1644" s="23" cm="1">
        <f t="array" ref="I1644">IF(D1644="","",(G1644*C1644)*0.00075)</f>
        <v>2.6652810150000001</v>
      </c>
      <c r="J1644" s="23" cm="1">
        <f t="array" ref="J1644">IF(D1644="","",(G1644*D1644)*0.00075)</f>
        <v>2.9881559745000001</v>
      </c>
      <c r="K1644" s="24" cm="1">
        <f t="array" ref="K1644">IF(D1644="","",J1644+I1644)</f>
        <v>5.6534369895000003</v>
      </c>
      <c r="L1644" s="24" cm="1">
        <f t="array" ref="L1644">IF(D1644=0,0,(D1644-C1644)*G1644)</f>
        <v>430.4999459999998</v>
      </c>
      <c r="M1644" s="25">
        <v>3120.2199180255002</v>
      </c>
      <c r="N1644" s="26" cm="1">
        <f t="array" ref="N1644">IFERROR((K1644-J1644)/J1644,"–")</f>
        <v>0.89194842496331683</v>
      </c>
      <c r="O1644" s="24" cm="1">
        <f t="array" ref="O1644">IF(D1644=0,0,L1644-K1644)</f>
        <v>424.8465090104998</v>
      </c>
      <c r="P1644" s="23"/>
      <c r="Q1644" s="27"/>
    </row>
    <row r="1645" spans="1:17" ht="22.5" customHeight="1">
      <c r="A1645" s="16" t="s">
        <v>50</v>
      </c>
      <c r="B1645" s="28">
        <v>44652</v>
      </c>
      <c r="C1645" s="36">
        <v>8.3857999999999997</v>
      </c>
      <c r="D1645" s="36">
        <v>8.44</v>
      </c>
      <c r="E1645" s="30" cm="1">
        <f t="array" ref="E1645">IF(D1645="","",D1645-C1645)</f>
        <v>5.4199999999999804E-2</v>
      </c>
      <c r="F1645" s="31" cm="1">
        <f t="array" ref="F1645">IF(D1645=0,"",(D1645-C1645)/C1645)</f>
        <v>6.4633070190083007E-3</v>
      </c>
      <c r="G1645" s="32">
        <v>596.24</v>
      </c>
      <c r="H1645" s="10">
        <v>1</v>
      </c>
      <c r="I1645" s="11" cm="1">
        <f t="array" ref="I1645">IF(D1645="","",(G1645*C1645)*0.00075)</f>
        <v>3.7499620439999997</v>
      </c>
      <c r="J1645" s="11" cm="1">
        <f t="array" ref="J1645">IF(D1645="","",(G1645*D1645)*0.00075)</f>
        <v>3.7741992</v>
      </c>
      <c r="K1645" s="33" cm="1">
        <f t="array" ref="K1645">IF(D1645="","",J1645+I1645)</f>
        <v>7.5241612440000001</v>
      </c>
      <c r="L1645" s="33" cm="1">
        <f t="array" ref="L1645">IF(D1645=0,0,(D1645-C1645)*G1645)</f>
        <v>32.316207999999882</v>
      </c>
      <c r="M1645" s="12">
        <v>4963.8589848000001</v>
      </c>
      <c r="N1645" s="34" cm="1">
        <f t="array" ref="N1645">IFERROR((K1645-J1645)/J1645,"–")</f>
        <v>0.99357819905213274</v>
      </c>
      <c r="O1645" s="33" cm="1">
        <f t="array" ref="O1645">IF(D1645=0,0,L1645-K1645)</f>
        <v>24.792046755999884</v>
      </c>
      <c r="P1645" s="11"/>
      <c r="Q1645" s="35"/>
    </row>
    <row r="1646" spans="1:17" ht="22.5" customHeight="1">
      <c r="A1646" s="16" t="s">
        <v>180</v>
      </c>
      <c r="B1646" s="17">
        <v>44652</v>
      </c>
      <c r="C1646" s="37">
        <v>1.6014999999999999</v>
      </c>
      <c r="D1646" s="37">
        <v>1.6019000000000001</v>
      </c>
      <c r="E1646" s="19" cm="1">
        <f t="array" ref="E1646">IF(D1646="","",D1646-C1646)</f>
        <v>4.0000000000017799E-4</v>
      </c>
      <c r="F1646" s="20" cm="1">
        <f t="array" ref="F1646">IF(D1646=0,"",(D1646-C1646)/C1646)</f>
        <v>2.4976584452087293E-4</v>
      </c>
      <c r="G1646" s="21">
        <v>12487</v>
      </c>
      <c r="H1646" s="22">
        <v>1</v>
      </c>
      <c r="I1646" s="23" cm="1">
        <f t="array" ref="I1646">IF(D1646="","",(G1646*C1646)*0.00075)</f>
        <v>14.998447875</v>
      </c>
      <c r="J1646" s="23" cm="1">
        <f t="array" ref="J1646">IF(D1646="","",(G1646*D1646)*0.00075)</f>
        <v>15.002193975000003</v>
      </c>
      <c r="K1646" s="24" cm="1">
        <f t="array" ref="K1646">IF(D1646="","",J1646+I1646)</f>
        <v>30.000641850000001</v>
      </c>
      <c r="L1646" s="24" cm="1">
        <f t="array" ref="L1646">IF(D1646=0,0,(D1646-C1646)*G1646)</f>
        <v>4.9948000000022228</v>
      </c>
      <c r="M1646" s="25">
        <v>19977.933506025001</v>
      </c>
      <c r="N1646" s="26" cm="1">
        <f t="array" ref="N1646">IFERROR((K1646-J1646)/J1646,"–")</f>
        <v>0.99975029652287883</v>
      </c>
      <c r="O1646" s="24" cm="1">
        <f t="array" ref="O1646">IF(D1646=0,0,L1646-K1646)</f>
        <v>-25.005841849997779</v>
      </c>
      <c r="P1646" s="23"/>
      <c r="Q1646" s="27"/>
    </row>
    <row r="1647" spans="1:17" ht="22.5" customHeight="1">
      <c r="A1647" s="16" t="s">
        <v>306</v>
      </c>
      <c r="B1647" s="28">
        <v>44652</v>
      </c>
      <c r="C1647" s="36">
        <v>3.5215000000000001</v>
      </c>
      <c r="D1647" s="36">
        <v>3.5409999999999999</v>
      </c>
      <c r="E1647" s="30" cm="1">
        <f t="array" ref="E1647">IF(D1647="","",D1647-C1647)</f>
        <v>1.9499999999999851E-2</v>
      </c>
      <c r="F1647" s="31" cm="1">
        <f t="array" ref="F1647">IF(D1647=0,"",(D1647-C1647)/C1647)</f>
        <v>5.5374130342183301E-3</v>
      </c>
      <c r="G1647" s="32">
        <v>5679.3</v>
      </c>
      <c r="H1647" s="10">
        <v>1</v>
      </c>
      <c r="I1647" s="11" cm="1">
        <f t="array" ref="I1647">IF(D1647="","",(G1647*C1647)*0.00075)</f>
        <v>14.9997412125</v>
      </c>
      <c r="J1647" s="11" cm="1">
        <f t="array" ref="J1647">IF(D1647="","",(G1647*D1647)*0.00075)</f>
        <v>15.082800975000001</v>
      </c>
      <c r="K1647" s="33" cm="1">
        <f t="array" ref="K1647">IF(D1647="","",J1647+I1647)</f>
        <v>30.082542187500003</v>
      </c>
      <c r="L1647" s="33" cm="1">
        <f t="array" ref="L1647">IF(D1647=0,0,(D1647-C1647)*G1647)</f>
        <v>110.74634999999915</v>
      </c>
      <c r="M1647" s="12">
        <v>19873.825799024999</v>
      </c>
      <c r="N1647" s="34" cm="1">
        <f t="array" ref="N1647">IFERROR((K1647-J1647)/J1647,"–")</f>
        <v>0.99449308105055068</v>
      </c>
      <c r="O1647" s="33" cm="1">
        <f t="array" ref="O1647">IF(D1647=0,0,L1647-K1647)</f>
        <v>80.663807812499158</v>
      </c>
      <c r="P1647" s="11"/>
      <c r="Q1647" s="35"/>
    </row>
    <row r="1648" spans="1:17" ht="22.5" customHeight="1">
      <c r="A1648" s="16" t="s">
        <v>121</v>
      </c>
      <c r="B1648" s="17">
        <v>44653</v>
      </c>
      <c r="C1648" s="37">
        <v>22.98</v>
      </c>
      <c r="D1648" s="37">
        <v>23.2</v>
      </c>
      <c r="E1648" s="19" cm="1">
        <f t="array" ref="E1648">IF(D1648="","",D1648-C1648)</f>
        <v>0.21999999999999886</v>
      </c>
      <c r="F1648" s="20" cm="1">
        <f t="array" ref="F1648">IF(D1648=0,"",(D1648-C1648)/C1648)</f>
        <v>9.5735422106178782E-3</v>
      </c>
      <c r="G1648" s="21">
        <v>174.06</v>
      </c>
      <c r="H1648" s="22">
        <v>1</v>
      </c>
      <c r="I1648" s="23" cm="1">
        <f t="array" ref="I1648">IF(D1648="","",(G1648*C1648)*0.00075)</f>
        <v>2.9999240999999999</v>
      </c>
      <c r="J1648" s="23" cm="1">
        <f t="array" ref="J1648">IF(D1648="","",(G1648*D1648)*0.00075)</f>
        <v>3.0286439999999999</v>
      </c>
      <c r="K1648" s="24" cm="1">
        <f t="array" ref="K1648">IF(D1648="","",J1648+I1648)</f>
        <v>6.0285680999999993</v>
      </c>
      <c r="L1648" s="24" cm="1">
        <f t="array" ref="L1648">IF(D1648=0,0,(D1648-C1648)*G1648)</f>
        <v>38.2931999999998</v>
      </c>
      <c r="M1648" s="25">
        <v>3958.5769559999999</v>
      </c>
      <c r="N1648" s="26" cm="1">
        <f t="array" ref="N1648">IFERROR((K1648-J1648)/J1648,"–")</f>
        <v>0.99051724137931019</v>
      </c>
      <c r="O1648" s="24" cm="1">
        <f t="array" ref="O1648">IF(D1648=0,0,L1648-K1648)</f>
        <v>32.264631899999799</v>
      </c>
      <c r="P1648" s="23"/>
      <c r="Q1648" s="27"/>
    </row>
    <row r="1649" spans="1:17" ht="22.5" customHeight="1">
      <c r="A1649" s="16" t="s">
        <v>196</v>
      </c>
      <c r="B1649" s="28">
        <v>44653</v>
      </c>
      <c r="C1649" s="36">
        <v>113.33</v>
      </c>
      <c r="D1649" s="36">
        <v>112.28</v>
      </c>
      <c r="E1649" s="30" cm="1">
        <f t="array" ref="E1649">IF(D1649="","",D1649-C1649)</f>
        <v>-1.0499999999999972</v>
      </c>
      <c r="F1649" s="31" cm="1">
        <f t="array" ref="F1649">IF(D1649=0,"",(D1649-C1649)/C1649)</f>
        <v>-9.2649783817170851E-3</v>
      </c>
      <c r="G1649" s="32">
        <v>35.4</v>
      </c>
      <c r="H1649" s="10">
        <v>1</v>
      </c>
      <c r="I1649" s="11" cm="1">
        <f t="array" ref="I1649">IF(D1649="","",(G1649*C1649)*0.00075)</f>
        <v>3.0089115</v>
      </c>
      <c r="J1649" s="11" cm="1">
        <f t="array" ref="J1649">IF(D1649="","",(G1649*D1649)*0.00075)</f>
        <v>2.9810340000000002</v>
      </c>
      <c r="K1649" s="33" cm="1">
        <f t="array" ref="K1649">IF(D1649="","",J1649+I1649)</f>
        <v>5.9899455000000001</v>
      </c>
      <c r="L1649" s="33" cm="1">
        <f t="array" ref="L1649">IF(D1649=0,0,(D1649-C1649)*G1649)</f>
        <v>-37.169999999999895</v>
      </c>
      <c r="M1649" s="12">
        <v>4046.0709660000002</v>
      </c>
      <c r="N1649" s="34" cm="1">
        <f t="array" ref="N1649">IFERROR((K1649-J1649)/J1649,"–")</f>
        <v>1.0093516209476308</v>
      </c>
      <c r="O1649" s="33" cm="1">
        <f t="array" ref="O1649">IF(D1649=0,0,L1649-K1649)</f>
        <v>-43.159945499999893</v>
      </c>
      <c r="P1649" s="11"/>
      <c r="Q1649" s="35"/>
    </row>
    <row r="1650" spans="1:17" ht="22.5" customHeight="1">
      <c r="A1650" s="16" t="s">
        <v>213</v>
      </c>
      <c r="B1650" s="17">
        <v>44654</v>
      </c>
      <c r="C1650" s="37">
        <v>6.8</v>
      </c>
      <c r="D1650" s="37">
        <v>6.8775000000000004</v>
      </c>
      <c r="E1650" s="19" cm="1">
        <f t="array" ref="E1650">IF(D1650="","",D1650-C1650)</f>
        <v>7.7500000000000568E-2</v>
      </c>
      <c r="F1650" s="20" cm="1">
        <f t="array" ref="F1650">IF(D1650=0,"",(D1650-C1650)/C1650)</f>
        <v>1.1397058823529496E-2</v>
      </c>
      <c r="G1650" s="21">
        <v>1470.45</v>
      </c>
      <c r="H1650" s="22">
        <v>1</v>
      </c>
      <c r="I1650" s="23" cm="1">
        <f t="array" ref="I1650">IF(D1650="","",(G1650*C1650)*0.00075)</f>
        <v>7.499295</v>
      </c>
      <c r="J1650" s="23" cm="1">
        <f t="array" ref="J1650">IF(D1650="","",(G1650*D1650)*0.00075)</f>
        <v>7.5847649062500011</v>
      </c>
      <c r="K1650" s="24" cm="1">
        <f t="array" ref="K1650">IF(D1650="","",J1650+I1650)</f>
        <v>15.084059906250001</v>
      </c>
      <c r="L1650" s="24" cm="1">
        <f t="array" ref="L1650">IF(D1650=0,0,(D1650-C1650)*G1650)</f>
        <v>113.95987500000084</v>
      </c>
      <c r="M1650" s="25">
        <v>9877.5153600937501</v>
      </c>
      <c r="N1650" s="26" cm="1">
        <f t="array" ref="N1650">IFERROR((K1650-J1650)/J1650,"–")</f>
        <v>0.98873137041075954</v>
      </c>
      <c r="O1650" s="24" cm="1">
        <f t="array" ref="O1650">IF(D1650=0,0,L1650-K1650)</f>
        <v>98.87581509375083</v>
      </c>
      <c r="P1650" s="23"/>
      <c r="Q1650" s="27"/>
    </row>
    <row r="1651" spans="1:17" ht="22.5" customHeight="1">
      <c r="A1651" s="16" t="s">
        <v>143</v>
      </c>
      <c r="B1651" s="28">
        <v>44654</v>
      </c>
      <c r="C1651" s="36">
        <v>3.8980000000000001</v>
      </c>
      <c r="D1651" s="36">
        <v>3.9116</v>
      </c>
      <c r="E1651" s="30" cm="1">
        <f t="array" ref="E1651">IF(D1651="","",D1651-C1651)</f>
        <v>1.3599999999999834E-2</v>
      </c>
      <c r="F1651" s="31" cm="1">
        <f t="array" ref="F1651">IF(D1651=0,"",(D1651-C1651)/C1651)</f>
        <v>3.488968701898367E-3</v>
      </c>
      <c r="G1651" s="32">
        <v>5123.7</v>
      </c>
      <c r="H1651" s="10">
        <v>1</v>
      </c>
      <c r="I1651" s="11" cm="1">
        <f t="array" ref="I1651">IF(D1651="","",(G1651*C1651)*0.00075)</f>
        <v>14.979136950000001</v>
      </c>
      <c r="J1651" s="11" cm="1">
        <f t="array" ref="J1651">IF(D1651="","",(G1651*D1651)*0.00075)</f>
        <v>15.03139869</v>
      </c>
      <c r="K1651" s="33" cm="1">
        <f t="array" ref="K1651">IF(D1651="","",J1651+I1651)</f>
        <v>30.010535640000001</v>
      </c>
      <c r="L1651" s="33" cm="1">
        <f t="array" ref="L1651">IF(D1651=0,0,(D1651-C1651)*G1651)</f>
        <v>69.682319999999152</v>
      </c>
      <c r="M1651" s="12">
        <v>19887.46888131</v>
      </c>
      <c r="N1651" s="34" cm="1">
        <f t="array" ref="N1651">IFERROR((K1651-J1651)/J1651,"–")</f>
        <v>0.99652316187749268</v>
      </c>
      <c r="O1651" s="33" cm="1">
        <f t="array" ref="O1651">IF(D1651=0,0,L1651-K1651)</f>
        <v>39.671784359999151</v>
      </c>
      <c r="P1651" s="11"/>
      <c r="Q1651" s="35"/>
    </row>
    <row r="1652" spans="1:17" ht="22.5" customHeight="1">
      <c r="A1652" s="16" t="s">
        <v>213</v>
      </c>
      <c r="B1652" s="17">
        <v>44654</v>
      </c>
      <c r="C1652" s="37">
        <v>6.9059999999999997</v>
      </c>
      <c r="D1652" s="37">
        <v>6.7850000000000001</v>
      </c>
      <c r="E1652" s="19" cm="1">
        <f t="array" ref="E1652">IF(D1652="","",D1652-C1652)</f>
        <v>-0.12099999999999955</v>
      </c>
      <c r="F1652" s="20" cm="1">
        <f t="array" ref="F1652">IF(D1652=0,"",(D1652-C1652)/C1652)</f>
        <v>-1.7520996235157769E-2</v>
      </c>
      <c r="G1652" s="21">
        <v>500</v>
      </c>
      <c r="H1652" s="22">
        <v>1</v>
      </c>
      <c r="I1652" s="23" cm="1">
        <f t="array" ref="I1652">IF(D1652="","",(G1652*C1652)*0.00075)</f>
        <v>2.58975</v>
      </c>
      <c r="J1652" s="23" cm="1">
        <f t="array" ref="J1652">IF(D1652="","",(G1652*D1652)*0.00075)</f>
        <v>2.5443750000000001</v>
      </c>
      <c r="K1652" s="24" cm="1">
        <f t="array" ref="K1652">IF(D1652="","",J1652+I1652)</f>
        <v>5.134125</v>
      </c>
      <c r="L1652" s="24" cm="1">
        <f t="array" ref="L1652">IF(D1652=0,0,(D1652-C1652)*G1652)</f>
        <v>-60.499999999999773</v>
      </c>
      <c r="M1652" s="25">
        <v>3510.9556250000001</v>
      </c>
      <c r="N1652" s="26" cm="1">
        <f t="array" ref="N1652">IFERROR((K1652-J1652)/J1652,"–")</f>
        <v>1.0178334561532794</v>
      </c>
      <c r="O1652" s="24" cm="1">
        <f t="array" ref="O1652">IF(D1652=0,0,L1652-K1652)</f>
        <v>-65.63412499999977</v>
      </c>
      <c r="P1652" s="23"/>
      <c r="Q1652" s="27"/>
    </row>
    <row r="1653" spans="1:17" ht="22.5" customHeight="1">
      <c r="A1653" s="16" t="s">
        <v>30</v>
      </c>
      <c r="B1653" s="28">
        <v>44654</v>
      </c>
      <c r="C1653" s="36">
        <v>11</v>
      </c>
      <c r="D1653" s="36">
        <v>1</v>
      </c>
      <c r="E1653" s="30" cm="1">
        <f t="array" ref="E1653">IF(D1653="","",D1653-C1653)</f>
        <v>-10</v>
      </c>
      <c r="F1653" s="31" cm="1">
        <f t="array" ref="F1653">IF(D1653=0,"",(D1653-C1653)/C1653)</f>
        <v>-0.90909090909090906</v>
      </c>
      <c r="G1653" s="32">
        <v>1</v>
      </c>
      <c r="H1653" s="10">
        <v>1</v>
      </c>
      <c r="I1653" s="11" cm="1">
        <f t="array" ref="I1653">IF(D1653="","",(G1653*C1653)*0.00075)</f>
        <v>8.2500000000000004E-3</v>
      </c>
      <c r="J1653" s="11" cm="1">
        <f t="array" ref="J1653">IF(D1653="","",(G1653*D1653)*0.00075)</f>
        <v>7.5000000000000002E-4</v>
      </c>
      <c r="K1653" s="33" cm="1">
        <f t="array" ref="K1653">IF(D1653="","",J1653+I1653)</f>
        <v>9.0000000000000011E-3</v>
      </c>
      <c r="L1653" s="33" cm="1">
        <f t="array" ref="L1653">IF(D1653=0,0,(D1653-C1653)*G1653)</f>
        <v>-10</v>
      </c>
      <c r="M1653" s="12">
        <v>20.99925</v>
      </c>
      <c r="N1653" s="34" cm="1">
        <f t="array" ref="N1653">IFERROR((K1653-J1653)/J1653,"–")</f>
        <v>11</v>
      </c>
      <c r="O1653" s="33" cm="1">
        <f t="array" ref="O1653">IF(D1653=0,0,L1653-K1653)</f>
        <v>-10.009</v>
      </c>
      <c r="P1653" s="11"/>
      <c r="Q1653" s="35"/>
    </row>
    <row r="1654" spans="1:17" ht="22.5" customHeight="1">
      <c r="A1654" s="16" t="s">
        <v>143</v>
      </c>
      <c r="B1654" s="17">
        <v>44290</v>
      </c>
      <c r="C1654" s="37">
        <v>3.9</v>
      </c>
      <c r="D1654" s="37">
        <v>3.9116</v>
      </c>
      <c r="E1654" s="19" cm="1">
        <f t="array" ref="E1654">IF(D1654="","",D1654-C1654)</f>
        <v>1.1600000000000055E-2</v>
      </c>
      <c r="F1654" s="20" cm="1">
        <f t="array" ref="F1654">IF(D1654=0,"",(D1654-C1654)/C1654)</f>
        <v>2.9743589743589883E-3</v>
      </c>
      <c r="G1654" s="21">
        <v>5123.7</v>
      </c>
      <c r="H1654" s="22">
        <v>1</v>
      </c>
      <c r="I1654" s="23" cm="1">
        <f t="array" ref="I1654">IF(D1654="","",(G1654*C1654)*0.00075)</f>
        <v>14.986822500000001</v>
      </c>
      <c r="J1654" s="23" cm="1">
        <f t="array" ref="J1654">IF(D1654="","",(G1654*D1654)*0.00075)</f>
        <v>15.03139869</v>
      </c>
      <c r="K1654" s="24" cm="1">
        <f t="array" ref="K1654">IF(D1654="","",J1654+I1654)</f>
        <v>30.018221189999998</v>
      </c>
      <c r="L1654" s="24" cm="1">
        <f t="array" ref="L1654">IF(D1654=0,0,(D1654-C1654)*G1654)</f>
        <v>59.434920000000275</v>
      </c>
      <c r="M1654" s="25">
        <v>19907.963681310001</v>
      </c>
      <c r="N1654" s="26" cm="1">
        <f t="array" ref="N1654">IFERROR((K1654-J1654)/J1654,"–")</f>
        <v>0.99703446160139064</v>
      </c>
      <c r="O1654" s="24" cm="1">
        <f t="array" ref="O1654">IF(D1654=0,0,L1654-K1654)</f>
        <v>29.416698810000277</v>
      </c>
      <c r="P1654" s="23"/>
      <c r="Q1654" s="27"/>
    </row>
    <row r="1655" spans="1:17" ht="22.5" customHeight="1">
      <c r="A1655" s="16" t="s">
        <v>150</v>
      </c>
      <c r="B1655" s="28">
        <v>44290</v>
      </c>
      <c r="C1655" s="36">
        <v>1.4497</v>
      </c>
      <c r="D1655" s="36">
        <v>1.4638</v>
      </c>
      <c r="E1655" s="30" cm="1">
        <f t="array" ref="E1655">IF(D1655="","",D1655-C1655)</f>
        <v>1.4100000000000001E-2</v>
      </c>
      <c r="F1655" s="31" cm="1">
        <f t="array" ref="F1655">IF(D1655=0,"",(D1655-C1655)/C1655)</f>
        <v>9.726150237980272E-3</v>
      </c>
      <c r="G1655" s="32">
        <v>13795</v>
      </c>
      <c r="H1655" s="10">
        <v>1</v>
      </c>
      <c r="I1655" s="11" cm="1">
        <f t="array" ref="I1655">IF(D1655="","",(G1655*C1655)*0.00075)</f>
        <v>14.998958625</v>
      </c>
      <c r="J1655" s="11" cm="1">
        <f t="array" ref="J1655">IF(D1655="","",(G1655*D1655)*0.00075)</f>
        <v>15.14484075</v>
      </c>
      <c r="K1655" s="33" cm="1">
        <f t="array" ref="K1655">IF(D1655="","",J1655+I1655)</f>
        <v>30.143799375</v>
      </c>
      <c r="L1655" s="33" cm="1">
        <f t="array" ref="L1655">IF(D1655=0,0,(D1655-C1655)*G1655)</f>
        <v>194.50950000000003</v>
      </c>
      <c r="M1655" s="12">
        <v>19788.95715925</v>
      </c>
      <c r="N1655" s="34" cm="1">
        <f t="array" ref="N1655">IFERROR((K1655-J1655)/J1655,"–")</f>
        <v>0.99036753654870879</v>
      </c>
      <c r="O1655" s="33" cm="1">
        <f t="array" ref="O1655">IF(D1655=0,0,L1655-K1655)</f>
        <v>164.36570062500004</v>
      </c>
      <c r="P1655" s="11"/>
      <c r="Q1655" s="35"/>
    </row>
    <row r="1656" spans="1:17" ht="22.5" customHeight="1">
      <c r="A1656" s="16" t="s">
        <v>54</v>
      </c>
      <c r="B1656" s="17">
        <v>44290</v>
      </c>
      <c r="C1656" s="37">
        <v>3.5196000000000001</v>
      </c>
      <c r="D1656" s="37">
        <v>3.5251999999999999</v>
      </c>
      <c r="E1656" s="19" cm="1">
        <f t="array" ref="E1656">IF(D1656="","",D1656-C1656)</f>
        <v>5.5999999999998273E-3</v>
      </c>
      <c r="F1656" s="20" cm="1">
        <f t="array" ref="F1656">IF(D1656=0,"",(D1656-C1656)/C1656)</f>
        <v>1.5910898965791076E-3</v>
      </c>
      <c r="G1656" s="21">
        <v>2841</v>
      </c>
      <c r="H1656" s="22">
        <v>1</v>
      </c>
      <c r="I1656" s="23" cm="1">
        <f t="array" ref="I1656">IF(D1656="","",(G1656*C1656)*0.00075)</f>
        <v>7.4993877000000007</v>
      </c>
      <c r="J1656" s="23" cm="1">
        <f t="array" ref="J1656">IF(D1656="","",(G1656*D1656)*0.00075)</f>
        <v>7.5113198999999993</v>
      </c>
      <c r="K1656" s="24" cm="1">
        <f t="array" ref="K1656">IF(D1656="","",J1656+I1656)</f>
        <v>15.0107076</v>
      </c>
      <c r="L1656" s="24" cm="1">
        <f t="array" ref="L1656">IF(D1656=0,0,(D1656-C1656)*G1656)</f>
        <v>15.909599999999509</v>
      </c>
      <c r="M1656" s="25">
        <v>9975.7626801000006</v>
      </c>
      <c r="N1656" s="26" cm="1">
        <f t="array" ref="N1656">IFERROR((K1656-J1656)/J1656,"–")</f>
        <v>0.99841143764892792</v>
      </c>
      <c r="O1656" s="24" cm="1">
        <f t="array" ref="O1656">IF(D1656=0,0,L1656-K1656)</f>
        <v>0.8988923999995091</v>
      </c>
      <c r="P1656" s="23"/>
      <c r="Q1656" s="27"/>
    </row>
    <row r="1657" spans="1:17" ht="22.5" customHeight="1">
      <c r="A1657" s="16" t="s">
        <v>121</v>
      </c>
      <c r="B1657" s="28">
        <v>44290</v>
      </c>
      <c r="C1657" s="36">
        <v>22.62</v>
      </c>
      <c r="D1657" s="36">
        <v>22.54</v>
      </c>
      <c r="E1657" s="30" cm="1">
        <f t="array" ref="E1657">IF(D1657="","",D1657-C1657)</f>
        <v>-8.0000000000001847E-2</v>
      </c>
      <c r="F1657" s="31" cm="1">
        <f t="array" ref="F1657">IF(D1657=0,"",(D1657-C1657)/C1657)</f>
        <v>-3.536693191865687E-3</v>
      </c>
      <c r="G1657" s="32">
        <v>884.16</v>
      </c>
      <c r="H1657" s="10">
        <v>1</v>
      </c>
      <c r="I1657" s="11" cm="1">
        <f t="array" ref="I1657">IF(D1657="","",(G1657*C1657)*0.00075)</f>
        <v>14.9997744</v>
      </c>
      <c r="J1657" s="11" cm="1">
        <f t="array" ref="J1657">IF(D1657="","",(G1657*D1657)*0.00075)</f>
        <v>14.946724799999998</v>
      </c>
      <c r="K1657" s="33" cm="1">
        <f t="array" ref="K1657">IF(D1657="","",J1657+I1657)</f>
        <v>29.946499199999998</v>
      </c>
      <c r="L1657" s="33" cm="1">
        <f t="array" ref="L1657">IF(D1657=0,0,(D1657-C1657)*G1657)</f>
        <v>-70.732800000001632</v>
      </c>
      <c r="M1657" s="12">
        <v>20055.485275200001</v>
      </c>
      <c r="N1657" s="34" cm="1">
        <f t="array" ref="N1657">IFERROR((K1657-J1657)/J1657,"–")</f>
        <v>1.0035492457852708</v>
      </c>
      <c r="O1657" s="33" cm="1">
        <f t="array" ref="O1657">IF(D1657=0,0,L1657-K1657)</f>
        <v>-100.67929920000162</v>
      </c>
      <c r="P1657" s="11"/>
      <c r="Q1657" s="35"/>
    </row>
    <row r="1658" spans="1:17" ht="22.5" customHeight="1">
      <c r="A1658" s="16" t="s">
        <v>132</v>
      </c>
      <c r="B1658" s="17">
        <v>44290</v>
      </c>
      <c r="C1658" s="37">
        <v>2.6100000000000002E-2</v>
      </c>
      <c r="D1658" s="37">
        <v>2.6200000000000001E-2</v>
      </c>
      <c r="E1658" s="19" cm="1">
        <f t="array" ref="E1658">IF(D1658="","",D1658-C1658)</f>
        <v>9.9999999999999395E-5</v>
      </c>
      <c r="F1658" s="20" cm="1">
        <f t="array" ref="F1658">IF(D1658=0,"",(D1658-C1658)/C1658)</f>
        <v>3.8314176245210492E-3</v>
      </c>
      <c r="G1658" s="21">
        <v>383141</v>
      </c>
      <c r="H1658" s="22">
        <v>1</v>
      </c>
      <c r="I1658" s="23" cm="1">
        <f t="array" ref="I1658">IF(D1658="","",(G1658*C1658)*0.00075)</f>
        <v>7.4999850750000006</v>
      </c>
      <c r="J1658" s="23" cm="1">
        <f t="array" ref="J1658">IF(D1658="","",(G1658*D1658)*0.00075)</f>
        <v>7.5287206500000003</v>
      </c>
      <c r="K1658" s="24" cm="1">
        <f t="array" ref="K1658">IF(D1658="","",J1658+I1658)</f>
        <v>15.028705725000002</v>
      </c>
      <c r="L1658" s="24" cm="1">
        <f t="array" ref="L1658">IF(D1658=0,0,(D1658-C1658)*G1658)</f>
        <v>38.314099999999769</v>
      </c>
      <c r="M1658" s="25">
        <v>9954.1372793499995</v>
      </c>
      <c r="N1658" s="26" cm="1">
        <f t="array" ref="N1658">IFERROR((K1658-J1658)/J1658,"–")</f>
        <v>0.99618320610687039</v>
      </c>
      <c r="O1658" s="24" cm="1">
        <f t="array" ref="O1658">IF(D1658=0,0,L1658-K1658)</f>
        <v>23.285394274999767</v>
      </c>
      <c r="P1658" s="23"/>
      <c r="Q1658" s="27"/>
    </row>
    <row r="1659" spans="1:17" ht="22.5" customHeight="1">
      <c r="A1659" s="16" t="s">
        <v>290</v>
      </c>
      <c r="B1659" s="28">
        <v>44290</v>
      </c>
      <c r="C1659" s="36">
        <v>1.833</v>
      </c>
      <c r="D1659" s="36">
        <v>1.8194999999999999</v>
      </c>
      <c r="E1659" s="30" cm="1">
        <f t="array" ref="E1659">IF(D1659="","",D1659-C1659)</f>
        <v>-1.3500000000000068E-2</v>
      </c>
      <c r="F1659" s="31" cm="1">
        <f t="array" ref="F1659">IF(D1659=0,"",(D1659-C1659)/C1659)</f>
        <v>-7.3649754500818704E-3</v>
      </c>
      <c r="G1659" s="32">
        <v>10908.39</v>
      </c>
      <c r="H1659" s="10">
        <v>1</v>
      </c>
      <c r="I1659" s="11" cm="1">
        <f t="array" ref="I1659">IF(D1659="","",(G1659*C1659)*0.00075)</f>
        <v>14.996309152499999</v>
      </c>
      <c r="J1659" s="11" cm="1">
        <f t="array" ref="J1659">IF(D1659="","",(G1659*D1659)*0.00075)</f>
        <v>14.885861703749997</v>
      </c>
      <c r="K1659" s="33" cm="1">
        <f t="array" ref="K1659">IF(D1659="","",J1659+I1659)</f>
        <v>29.882170856249996</v>
      </c>
      <c r="L1659" s="33" cm="1">
        <f t="array" ref="L1659">IF(D1659=0,0,(D1659-C1659)*G1659)</f>
        <v>-147.26326500000073</v>
      </c>
      <c r="M1659" s="12">
        <v>20127.456273296299</v>
      </c>
      <c r="N1659" s="34" cm="1">
        <f t="array" ref="N1659">IFERROR((K1659-J1659)/J1659,"–")</f>
        <v>1.0074196207749382</v>
      </c>
      <c r="O1659" s="33" cm="1">
        <f t="array" ref="O1659">IF(D1659=0,0,L1659-K1659)</f>
        <v>-177.14543585625071</v>
      </c>
      <c r="P1659" s="11"/>
      <c r="Q1659" s="35"/>
    </row>
    <row r="1660" spans="1:17" ht="22.5" customHeight="1">
      <c r="A1660" s="16" t="s">
        <v>64</v>
      </c>
      <c r="B1660" s="17">
        <v>44656</v>
      </c>
      <c r="C1660" s="37">
        <v>0.15740000000000001</v>
      </c>
      <c r="D1660" s="37">
        <v>0.156</v>
      </c>
      <c r="E1660" s="19" cm="1">
        <f t="array" ref="E1660">IF(D1660="","",D1660-C1660)</f>
        <v>-1.4000000000000123E-3</v>
      </c>
      <c r="F1660" s="20" cm="1">
        <f t="array" ref="F1660">IF(D1660=0,"",(D1660-C1660)/C1660)</f>
        <v>-8.8945362134689471E-3</v>
      </c>
      <c r="G1660" s="21">
        <v>63517</v>
      </c>
      <c r="H1660" s="22">
        <v>1</v>
      </c>
      <c r="I1660" s="23" cm="1">
        <f t="array" ref="I1660">IF(D1660="","",(G1660*C1660)*0.00075)</f>
        <v>7.4981818500000008</v>
      </c>
      <c r="J1660" s="23" cm="1">
        <f t="array" ref="J1660">IF(D1660="","",(G1660*D1660)*0.00075)</f>
        <v>7.431489</v>
      </c>
      <c r="K1660" s="24" cm="1">
        <f t="array" ref="K1660">IF(D1660="","",J1660+I1660)</f>
        <v>14.929670850000001</v>
      </c>
      <c r="L1660" s="24" cm="1">
        <f t="array" ref="L1660">IF(D1660=0,0,(D1660-C1660)*G1660)</f>
        <v>-88.923800000000782</v>
      </c>
      <c r="M1660" s="25">
        <v>10079.068111</v>
      </c>
      <c r="N1660" s="26" cm="1">
        <f t="array" ref="N1660">IFERROR((K1660-J1660)/J1660,"–")</f>
        <v>1.0089743589743592</v>
      </c>
      <c r="O1660" s="24" cm="1">
        <f t="array" ref="O1660">IF(D1660=0,0,L1660-K1660)</f>
        <v>-103.85347085000078</v>
      </c>
      <c r="P1660" s="23"/>
      <c r="Q1660" s="27"/>
    </row>
    <row r="1661" spans="1:17" ht="22.5" customHeight="1">
      <c r="A1661" s="16" t="s">
        <v>128</v>
      </c>
      <c r="B1661" s="28">
        <v>44657</v>
      </c>
      <c r="C1661" s="36">
        <v>0.41789999999999999</v>
      </c>
      <c r="D1661" s="36">
        <v>0.4415</v>
      </c>
      <c r="E1661" s="30" cm="1">
        <f t="array" ref="E1661">IF(D1661="","",D1661-C1661)</f>
        <v>2.360000000000001E-2</v>
      </c>
      <c r="F1661" s="31" cm="1">
        <f t="array" ref="F1661">IF(D1661=0,"",(D1661-C1661)/C1661)</f>
        <v>5.6472840392438405E-2</v>
      </c>
      <c r="G1661" s="32">
        <v>15553</v>
      </c>
      <c r="H1661" s="10">
        <v>1</v>
      </c>
      <c r="I1661" s="11" cm="1">
        <f t="array" ref="I1661">IF(D1661="","",(G1661*C1661)*0.00075)</f>
        <v>4.874699025</v>
      </c>
      <c r="J1661" s="11" cm="1">
        <f t="array" ref="J1661">IF(D1661="","",(G1661*D1661)*0.00075)</f>
        <v>5.149987125</v>
      </c>
      <c r="K1661" s="33" cm="1">
        <f t="array" ref="K1661">IF(D1661="","",J1661+I1661)</f>
        <v>10.024686150000001</v>
      </c>
      <c r="L1661" s="33" cm="1">
        <f t="array" ref="L1661">IF(D1661=0,0,(D1661-C1661)*G1661)</f>
        <v>367.05080000000015</v>
      </c>
      <c r="M1661" s="12">
        <v>6127.3979128749997</v>
      </c>
      <c r="N1661" s="34" cm="1">
        <f t="array" ref="N1661">IFERROR((K1661-J1661)/J1661,"–")</f>
        <v>0.94654586636466609</v>
      </c>
      <c r="O1661" s="33" cm="1">
        <f t="array" ref="O1661">IF(D1661=0,0,L1661-K1661)</f>
        <v>357.02611385000017</v>
      </c>
      <c r="P1661" s="11"/>
      <c r="Q1661" s="35"/>
    </row>
    <row r="1662" spans="1:17" ht="22.5" customHeight="1">
      <c r="A1662" s="16" t="s">
        <v>283</v>
      </c>
      <c r="B1662" s="17">
        <v>44657</v>
      </c>
      <c r="C1662" s="37">
        <v>29</v>
      </c>
      <c r="D1662" s="37">
        <v>1</v>
      </c>
      <c r="E1662" s="19" cm="1">
        <f t="array" ref="E1662">IF(D1662="","",D1662-C1662)</f>
        <v>-28</v>
      </c>
      <c r="F1662" s="20" cm="1">
        <f t="array" ref="F1662">IF(D1662=0,"",(D1662-C1662)/C1662)</f>
        <v>-0.96551724137931039</v>
      </c>
      <c r="G1662" s="21">
        <v>1</v>
      </c>
      <c r="H1662" s="22">
        <v>1</v>
      </c>
      <c r="I1662" s="23" cm="1">
        <f t="array" ref="I1662">IF(D1662="","",(G1662*C1662)*0.00075)</f>
        <v>2.1750000000000002E-2</v>
      </c>
      <c r="J1662" s="23" cm="1">
        <f t="array" ref="J1662">IF(D1662="","",(G1662*D1662)*0.00075)</f>
        <v>7.5000000000000002E-4</v>
      </c>
      <c r="K1662" s="24" cm="1">
        <f t="array" ref="K1662">IF(D1662="","",J1662+I1662)</f>
        <v>2.2500000000000003E-2</v>
      </c>
      <c r="L1662" s="24" cm="1">
        <f t="array" ref="L1662">IF(D1662=0,0,(D1662-C1662)*G1662)</f>
        <v>-28</v>
      </c>
      <c r="M1662" s="25">
        <v>56.999250000000004</v>
      </c>
      <c r="N1662" s="26" cm="1">
        <f t="array" ref="N1662">IFERROR((K1662-J1662)/J1662,"–")</f>
        <v>29.000000000000004</v>
      </c>
      <c r="O1662" s="24" cm="1">
        <f t="array" ref="O1662">IF(D1662=0,0,L1662-K1662)</f>
        <v>-28.022500000000001</v>
      </c>
      <c r="P1662" s="23"/>
      <c r="Q1662" s="27"/>
    </row>
    <row r="1663" spans="1:17" ht="22.5" customHeight="1">
      <c r="A1663" s="16" t="s">
        <v>126</v>
      </c>
      <c r="B1663" s="28">
        <v>44657</v>
      </c>
      <c r="C1663" s="36">
        <v>1</v>
      </c>
      <c r="D1663" s="36">
        <v>101</v>
      </c>
      <c r="E1663" s="30" cm="1">
        <f t="array" ref="E1663">IF(D1663="","",D1663-C1663)</f>
        <v>100</v>
      </c>
      <c r="F1663" s="31" cm="1">
        <f t="array" ref="F1663">IF(D1663=0,"",(D1663-C1663)/C1663)</f>
        <v>100</v>
      </c>
      <c r="G1663" s="32">
        <v>1</v>
      </c>
      <c r="H1663" s="10">
        <v>1</v>
      </c>
      <c r="I1663" s="11" cm="1">
        <f t="array" ref="I1663">IF(D1663="","",(G1663*C1663)*0.00075)</f>
        <v>7.5000000000000002E-4</v>
      </c>
      <c r="J1663" s="11" cm="1">
        <f t="array" ref="J1663">IF(D1663="","",(G1663*D1663)*0.00075)</f>
        <v>7.5749999999999998E-2</v>
      </c>
      <c r="K1663" s="33" cm="1">
        <f t="array" ref="K1663">IF(D1663="","",J1663+I1663)</f>
        <v>7.6499999999999999E-2</v>
      </c>
      <c r="L1663" s="33" cm="1">
        <f t="array" ref="L1663">IF(D1663=0,0,(D1663-C1663)*G1663)</f>
        <v>100</v>
      </c>
      <c r="M1663" s="12">
        <v>-99.075749999999999</v>
      </c>
      <c r="N1663" s="34" cm="1">
        <f t="array" ref="N1663">IFERROR((K1663-J1663)/J1663,"–")</f>
        <v>9.9009900990099098E-3</v>
      </c>
      <c r="O1663" s="33" cm="1">
        <f t="array" ref="O1663">IF(D1663=0,0,L1663-K1663)</f>
        <v>99.923500000000004</v>
      </c>
      <c r="P1663" s="11"/>
      <c r="Q1663" s="35"/>
    </row>
    <row r="1664" spans="1:17" ht="22.5" customHeight="1">
      <c r="A1664" s="16" t="s">
        <v>190</v>
      </c>
      <c r="B1664" s="17">
        <v>44657</v>
      </c>
      <c r="C1664" s="37">
        <v>1</v>
      </c>
      <c r="D1664" s="37">
        <v>161</v>
      </c>
      <c r="E1664" s="19" cm="1">
        <f t="array" ref="E1664">IF(D1664="","",D1664-C1664)</f>
        <v>160</v>
      </c>
      <c r="F1664" s="20" cm="1">
        <f t="array" ref="F1664">IF(D1664=0,"",(D1664-C1664)/C1664)</f>
        <v>160</v>
      </c>
      <c r="G1664" s="21">
        <v>1</v>
      </c>
      <c r="H1664" s="22">
        <v>1</v>
      </c>
      <c r="I1664" s="23" cm="1">
        <f t="array" ref="I1664">IF(D1664="","",(G1664*C1664)*0.00075)</f>
        <v>7.5000000000000002E-4</v>
      </c>
      <c r="J1664" s="23" cm="1">
        <f t="array" ref="J1664">IF(D1664="","",(G1664*D1664)*0.00075)</f>
        <v>0.12075</v>
      </c>
      <c r="K1664" s="24" cm="1">
        <f t="array" ref="K1664">IF(D1664="","",J1664+I1664)</f>
        <v>0.1215</v>
      </c>
      <c r="L1664" s="24" cm="1">
        <f t="array" ref="L1664">IF(D1664=0,0,(D1664-C1664)*G1664)</f>
        <v>160</v>
      </c>
      <c r="M1664" s="25">
        <v>-159.12074999999999</v>
      </c>
      <c r="N1664" s="26" cm="1">
        <f t="array" ref="N1664">IFERROR((K1664-J1664)/J1664,"–")</f>
        <v>6.2111801242236081E-3</v>
      </c>
      <c r="O1664" s="24" cm="1">
        <f t="array" ref="O1664">IF(D1664=0,0,L1664-K1664)</f>
        <v>159.8785</v>
      </c>
      <c r="P1664" s="23"/>
      <c r="Q1664" s="27"/>
    </row>
    <row r="1665" spans="1:17" ht="22.5" customHeight="1">
      <c r="A1665" s="16" t="s">
        <v>190</v>
      </c>
      <c r="B1665" s="28">
        <v>44657</v>
      </c>
      <c r="C1665" s="36">
        <v>1</v>
      </c>
      <c r="D1665" s="36">
        <v>36</v>
      </c>
      <c r="E1665" s="30" cm="1">
        <f t="array" ref="E1665">IF(D1665="","",D1665-C1665)</f>
        <v>35</v>
      </c>
      <c r="F1665" s="31" cm="1">
        <f t="array" ref="F1665">IF(D1665=0,"",(D1665-C1665)/C1665)</f>
        <v>35</v>
      </c>
      <c r="G1665" s="32">
        <v>1</v>
      </c>
      <c r="H1665" s="10">
        <v>1</v>
      </c>
      <c r="I1665" s="11" cm="1">
        <f t="array" ref="I1665">IF(D1665="","",(G1665*C1665)*0.00075)</f>
        <v>7.5000000000000002E-4</v>
      </c>
      <c r="J1665" s="11" cm="1">
        <f t="array" ref="J1665">IF(D1665="","",(G1665*D1665)*0.00075)</f>
        <v>2.7E-2</v>
      </c>
      <c r="K1665" s="33" cm="1">
        <f t="array" ref="K1665">IF(D1665="","",J1665+I1665)</f>
        <v>2.775E-2</v>
      </c>
      <c r="L1665" s="33" cm="1">
        <f t="array" ref="L1665">IF(D1665=0,0,(D1665-C1665)*G1665)</f>
        <v>35</v>
      </c>
      <c r="M1665" s="12">
        <v>-34.027000000000001</v>
      </c>
      <c r="N1665" s="34" cm="1">
        <f t="array" ref="N1665">IFERROR((K1665-J1665)/J1665,"–")</f>
        <v>2.7777777777777804E-2</v>
      </c>
      <c r="O1665" s="33" cm="1">
        <f t="array" ref="O1665">IF(D1665=0,0,L1665-K1665)</f>
        <v>34.972250000000003</v>
      </c>
      <c r="P1665" s="11"/>
      <c r="Q1665" s="35"/>
    </row>
    <row r="1666" spans="1:17" ht="22.5" customHeight="1">
      <c r="A1666" s="16" t="s">
        <v>154</v>
      </c>
      <c r="B1666" s="17">
        <v>44657</v>
      </c>
      <c r="C1666" s="37">
        <v>1</v>
      </c>
      <c r="D1666" s="37">
        <v>21</v>
      </c>
      <c r="E1666" s="19" cm="1">
        <f t="array" ref="E1666">IF(D1666="","",D1666-C1666)</f>
        <v>20</v>
      </c>
      <c r="F1666" s="20" cm="1">
        <f t="array" ref="F1666">IF(D1666=0,"",(D1666-C1666)/C1666)</f>
        <v>20</v>
      </c>
      <c r="G1666" s="21">
        <v>1</v>
      </c>
      <c r="H1666" s="22">
        <v>1</v>
      </c>
      <c r="I1666" s="23" cm="1">
        <f t="array" ref="I1666">IF(D1666="","",(G1666*C1666)*0.00075)</f>
        <v>7.5000000000000002E-4</v>
      </c>
      <c r="J1666" s="23" cm="1">
        <f t="array" ref="J1666">IF(D1666="","",(G1666*D1666)*0.00075)</f>
        <v>1.575E-2</v>
      </c>
      <c r="K1666" s="24" cm="1">
        <f t="array" ref="K1666">IF(D1666="","",J1666+I1666)</f>
        <v>1.6500000000000001E-2</v>
      </c>
      <c r="L1666" s="24" cm="1">
        <f t="array" ref="L1666">IF(D1666=0,0,(D1666-C1666)*G1666)</f>
        <v>20</v>
      </c>
      <c r="M1666" s="25">
        <v>-19.015750000000001</v>
      </c>
      <c r="N1666" s="26" cm="1">
        <f t="array" ref="N1666">IFERROR((K1666-J1666)/J1666,"–")</f>
        <v>4.7619047619047658E-2</v>
      </c>
      <c r="O1666" s="24" cm="1">
        <f t="array" ref="O1666">IF(D1666=0,0,L1666-K1666)</f>
        <v>19.983499999999999</v>
      </c>
      <c r="P1666" s="23"/>
      <c r="Q1666" s="27"/>
    </row>
    <row r="1667" spans="1:17" ht="22.5" customHeight="1">
      <c r="A1667" s="16" t="s">
        <v>77</v>
      </c>
      <c r="B1667" s="28">
        <v>44657</v>
      </c>
      <c r="C1667" s="36">
        <v>0.7399</v>
      </c>
      <c r="D1667" s="36">
        <v>0.72699999999999998</v>
      </c>
      <c r="E1667" s="30" cm="1">
        <f t="array" ref="E1667">IF(D1667="","",D1667-C1667)</f>
        <v>-1.2900000000000023E-2</v>
      </c>
      <c r="F1667" s="31" cm="1">
        <f t="array" ref="F1667">IF(D1667=0,"",(D1667-C1667)/C1667)</f>
        <v>-1.7434788484930425E-2</v>
      </c>
      <c r="G1667" s="32">
        <v>6757</v>
      </c>
      <c r="H1667" s="10">
        <v>1</v>
      </c>
      <c r="I1667" s="11" cm="1">
        <f t="array" ref="I1667">IF(D1667="","",(G1667*C1667)*0.00075)</f>
        <v>3.7496282249999999</v>
      </c>
      <c r="J1667" s="11" cm="1">
        <f t="array" ref="J1667">IF(D1667="","",(G1667*D1667)*0.00075)</f>
        <v>3.68425425</v>
      </c>
      <c r="K1667" s="33" cm="1">
        <f t="array" ref="K1667">IF(D1667="","",J1667+I1667)</f>
        <v>7.4338824749999999</v>
      </c>
      <c r="L1667" s="33" cm="1">
        <f t="array" ref="L1667">IF(D1667=0,0,(D1667-C1667)*G1667)</f>
        <v>-87.165300000000158</v>
      </c>
      <c r="M1667" s="12">
        <v>5082.9853457500003</v>
      </c>
      <c r="N1667" s="34" cm="1">
        <f t="array" ref="N1667">IFERROR((K1667-J1667)/J1667,"–")</f>
        <v>1.0177441540577716</v>
      </c>
      <c r="O1667" s="33" cm="1">
        <f t="array" ref="O1667">IF(D1667=0,0,L1667-K1667)</f>
        <v>-94.599182475000163</v>
      </c>
      <c r="P1667" s="11"/>
      <c r="Q1667" s="35"/>
    </row>
    <row r="1668" spans="1:17" ht="22.5" customHeight="1">
      <c r="A1668" s="16" t="s">
        <v>214</v>
      </c>
      <c r="B1668" s="17">
        <v>44658</v>
      </c>
      <c r="C1668" s="37">
        <v>2.6219999999999999</v>
      </c>
      <c r="D1668" s="37">
        <v>2.5884999999999998</v>
      </c>
      <c r="E1668" s="19" cm="1">
        <f t="array" ref="E1668">IF(D1668="","",D1668-C1668)</f>
        <v>-3.3500000000000085E-2</v>
      </c>
      <c r="F1668" s="20" cm="1">
        <f t="array" ref="F1668">IF(D1668=0,"",(D1668-C1668)/C1668)</f>
        <v>-1.2776506483600339E-2</v>
      </c>
      <c r="G1668" s="21">
        <v>1144.3</v>
      </c>
      <c r="H1668" s="22">
        <v>1</v>
      </c>
      <c r="I1668" s="23" cm="1">
        <f t="array" ref="I1668">IF(D1668="","",(G1668*C1668)*0.00075)</f>
        <v>2.2502659499999997</v>
      </c>
      <c r="J1668" s="23" cm="1">
        <f t="array" ref="J1668">IF(D1668="","",(G1668*D1668)*0.00075)</f>
        <v>2.2215154125000001</v>
      </c>
      <c r="K1668" s="24" cm="1">
        <f t="array" ref="K1668">IF(D1668="","",J1668+I1668)</f>
        <v>4.4717813624999998</v>
      </c>
      <c r="L1668" s="24" cm="1">
        <f t="array" ref="L1668">IF(D1668=0,0,(D1668-C1668)*G1668)</f>
        <v>-38.334050000000097</v>
      </c>
      <c r="M1668" s="25">
        <v>3036.4671345874999</v>
      </c>
      <c r="N1668" s="26" cm="1">
        <f t="array" ref="N1668">IFERROR((K1668-J1668)/J1668,"–")</f>
        <v>1.0129418582190457</v>
      </c>
      <c r="O1668" s="24" cm="1">
        <f t="array" ref="O1668">IF(D1668=0,0,L1668-K1668)</f>
        <v>-42.805831362500101</v>
      </c>
      <c r="P1668" s="23"/>
      <c r="Q1668" s="27"/>
    </row>
    <row r="1669" spans="1:17" ht="22.5" customHeight="1">
      <c r="A1669" s="16" t="s">
        <v>213</v>
      </c>
      <c r="B1669" s="28">
        <v>44658</v>
      </c>
      <c r="C1669" s="36">
        <v>5.5445000000000002</v>
      </c>
      <c r="D1669" s="36">
        <v>5.5350000000000001</v>
      </c>
      <c r="E1669" s="30" cm="1">
        <f t="array" ref="E1669">IF(D1669="","",D1669-C1669)</f>
        <v>-9.5000000000000639E-3</v>
      </c>
      <c r="F1669" s="31" cm="1">
        <f t="array" ref="F1669">IF(D1669=0,"",(D1669-C1669)/C1669)</f>
        <v>-1.7134096852737062E-3</v>
      </c>
      <c r="G1669" s="32">
        <v>3603.4</v>
      </c>
      <c r="H1669" s="10">
        <v>1</v>
      </c>
      <c r="I1669" s="11" cm="1">
        <f t="array" ref="I1669">IF(D1669="","",(G1669*C1669)*0.00075)</f>
        <v>14.984288475000003</v>
      </c>
      <c r="J1669" s="11" cm="1">
        <f t="array" ref="J1669">IF(D1669="","",(G1669*D1669)*0.00075)</f>
        <v>14.95861425</v>
      </c>
      <c r="K1669" s="33" cm="1">
        <f t="array" ref="K1669">IF(D1669="","",J1669+I1669)</f>
        <v>29.942902725000003</v>
      </c>
      <c r="L1669" s="33" cm="1">
        <f t="array" ref="L1669">IF(D1669=0,0,(D1669-C1669)*G1669)</f>
        <v>-34.23230000000023</v>
      </c>
      <c r="M1669" s="12">
        <v>19998.324985750001</v>
      </c>
      <c r="N1669" s="34" cm="1">
        <f t="array" ref="N1669">IFERROR((K1669-J1669)/J1669,"–")</f>
        <v>1.0017163504968385</v>
      </c>
      <c r="O1669" s="33" cm="1">
        <f t="array" ref="O1669">IF(D1669=0,0,L1669-K1669)</f>
        <v>-64.175202725000233</v>
      </c>
      <c r="P1669" s="11"/>
      <c r="Q1669" s="35"/>
    </row>
    <row r="1670" spans="1:17" ht="22.5" customHeight="1">
      <c r="A1670" s="16" t="s">
        <v>108</v>
      </c>
      <c r="B1670" s="17">
        <v>44659</v>
      </c>
      <c r="C1670" s="37">
        <v>16</v>
      </c>
      <c r="D1670" s="37">
        <v>1</v>
      </c>
      <c r="E1670" s="19" cm="1">
        <f t="array" ref="E1670">IF(D1670="","",D1670-C1670)</f>
        <v>-15</v>
      </c>
      <c r="F1670" s="20" cm="1">
        <f t="array" ref="F1670">IF(D1670=0,"",(D1670-C1670)/C1670)</f>
        <v>-0.9375</v>
      </c>
      <c r="G1670" s="21">
        <v>1</v>
      </c>
      <c r="H1670" s="22">
        <v>1</v>
      </c>
      <c r="I1670" s="23" cm="1">
        <f t="array" ref="I1670">IF(D1670="","",(G1670*C1670)*0.00075)</f>
        <v>1.2E-2</v>
      </c>
      <c r="J1670" s="23" cm="1">
        <f t="array" ref="J1670">IF(D1670="","",(G1670*D1670)*0.00075)</f>
        <v>7.5000000000000002E-4</v>
      </c>
      <c r="K1670" s="24" cm="1">
        <f t="array" ref="K1670">IF(D1670="","",J1670+I1670)</f>
        <v>1.2750000000000001E-2</v>
      </c>
      <c r="L1670" s="24" cm="1">
        <f t="array" ref="L1670">IF(D1670=0,0,(D1670-C1670)*G1670)</f>
        <v>-15</v>
      </c>
      <c r="M1670" s="25">
        <v>30.99925</v>
      </c>
      <c r="N1670" s="26" cm="1">
        <f t="array" ref="N1670">IFERROR((K1670-J1670)/J1670,"–")</f>
        <v>16</v>
      </c>
      <c r="O1670" s="24" cm="1">
        <f t="array" ref="O1670">IF(D1670=0,0,L1670-K1670)</f>
        <v>-15.01275</v>
      </c>
      <c r="P1670" s="23"/>
      <c r="Q1670" s="27"/>
    </row>
    <row r="1671" spans="1:17" ht="22.5" customHeight="1">
      <c r="A1671" s="16" t="s">
        <v>291</v>
      </c>
      <c r="B1671" s="28">
        <v>44659</v>
      </c>
      <c r="C1671" s="36">
        <v>0.57340000000000002</v>
      </c>
      <c r="D1671" s="36">
        <v>0.57679999999999998</v>
      </c>
      <c r="E1671" s="30" cm="1">
        <f t="array" ref="E1671">IF(D1671="","",D1671-C1671)</f>
        <v>3.3999999999999586E-3</v>
      </c>
      <c r="F1671" s="31" cm="1">
        <f t="array" ref="F1671">IF(D1671=0,"",(D1671-C1671)/C1671)</f>
        <v>5.9295430763863944E-3</v>
      </c>
      <c r="G1671" s="32">
        <v>17438.2</v>
      </c>
      <c r="H1671" s="10">
        <v>1</v>
      </c>
      <c r="I1671" s="11" cm="1">
        <f t="array" ref="I1671">IF(D1671="","",(G1671*C1671)*0.00075)</f>
        <v>7.499297910000001</v>
      </c>
      <c r="J1671" s="11" cm="1">
        <f t="array" ref="J1671">IF(D1671="","",(G1671*D1671)*0.00075)</f>
        <v>7.5437653200000003</v>
      </c>
      <c r="K1671" s="33" cm="1">
        <f t="array" ref="K1671">IF(D1671="","",J1671+I1671)</f>
        <v>15.043063230000001</v>
      </c>
      <c r="L1671" s="33" cm="1">
        <f t="array" ref="L1671">IF(D1671=0,0,(D1671-C1671)*G1671)</f>
        <v>59.289879999999279</v>
      </c>
      <c r="M1671" s="12">
        <v>9932.2302346800006</v>
      </c>
      <c r="N1671" s="34" cm="1">
        <f t="array" ref="N1671">IFERROR((K1671-J1671)/J1671,"–")</f>
        <v>0.99410540915395296</v>
      </c>
      <c r="O1671" s="33" cm="1">
        <f t="array" ref="O1671">IF(D1671=0,0,L1671-K1671)</f>
        <v>44.246816769999278</v>
      </c>
      <c r="P1671" s="11"/>
      <c r="Q1671" s="35"/>
    </row>
    <row r="1672" spans="1:17" ht="22.5" customHeight="1">
      <c r="A1672" s="16" t="s">
        <v>86</v>
      </c>
      <c r="B1672" s="17">
        <v>44659</v>
      </c>
      <c r="C1672" s="37">
        <v>0.25409999999999999</v>
      </c>
      <c r="D1672" s="37">
        <v>0.252</v>
      </c>
      <c r="E1672" s="19" cm="1">
        <f t="array" ref="E1672">IF(D1672="","",D1672-C1672)</f>
        <v>-2.0999999999999908E-3</v>
      </c>
      <c r="F1672" s="20" cm="1">
        <f t="array" ref="F1672">IF(D1672=0,"",(D1672-C1672)/C1672)</f>
        <v>-8.2644628099173192E-3</v>
      </c>
      <c r="G1672" s="21">
        <v>19675</v>
      </c>
      <c r="H1672" s="22">
        <v>1</v>
      </c>
      <c r="I1672" s="23" cm="1">
        <f t="array" ref="I1672">IF(D1672="","",(G1672*C1672)*0.00075)</f>
        <v>3.7495631249999999</v>
      </c>
      <c r="J1672" s="23" cm="1">
        <f t="array" ref="J1672">IF(D1672="","",(G1672*D1672)*0.00075)</f>
        <v>3.7185750000000004</v>
      </c>
      <c r="K1672" s="24" cm="1">
        <f t="array" ref="K1672">IF(D1672="","",J1672+I1672)</f>
        <v>7.4681381250000003</v>
      </c>
      <c r="L1672" s="24" cm="1">
        <f t="array" ref="L1672">IF(D1672=0,0,(D1672-C1672)*G1672)</f>
        <v>-41.317499999999818</v>
      </c>
      <c r="M1672" s="25">
        <v>5037.0164249999998</v>
      </c>
      <c r="N1672" s="26" cm="1">
        <f t="array" ref="N1672">IFERROR((K1672-J1672)/J1672,"–")</f>
        <v>1.0083333333333331</v>
      </c>
      <c r="O1672" s="24" cm="1">
        <f t="array" ref="O1672">IF(D1672=0,0,L1672-K1672)</f>
        <v>-48.785638124999821</v>
      </c>
      <c r="P1672" s="23"/>
      <c r="Q1672" s="27"/>
    </row>
    <row r="1673" spans="1:17" ht="22.5" customHeight="1">
      <c r="A1673" s="16" t="s">
        <v>35</v>
      </c>
      <c r="B1673" s="28">
        <v>44660</v>
      </c>
      <c r="C1673" s="36">
        <v>2.3780000000000001</v>
      </c>
      <c r="D1673" s="36">
        <v>2.4409999999999998</v>
      </c>
      <c r="E1673" s="30" cm="1">
        <f t="array" ref="E1673">IF(D1673="","",D1673-C1673)</f>
        <v>6.2999999999999723E-2</v>
      </c>
      <c r="F1673" s="31" cm="1">
        <f t="array" ref="F1673">IF(D1673=0,"",(D1673-C1673)/C1673)</f>
        <v>2.6492851135407787E-2</v>
      </c>
      <c r="G1673" s="32">
        <v>1720</v>
      </c>
      <c r="H1673" s="10">
        <v>1</v>
      </c>
      <c r="I1673" s="11" cm="1">
        <f t="array" ref="I1673">IF(D1673="","",(G1673*C1673)*0.00075)/2</f>
        <v>1.5338100000000001</v>
      </c>
      <c r="J1673" s="11" cm="1">
        <f t="array" ref="J1673">IF(D1673="","",(G1673*D1673)*0.00075)/2</f>
        <v>1.5744449999999999</v>
      </c>
      <c r="K1673" s="33" cm="1">
        <f t="array" ref="K1673">IF(D1673="","",J1673+I1673)</f>
        <v>3.1082549999999998</v>
      </c>
      <c r="L1673" s="33" cm="1">
        <f t="array" ref="L1673">IF(D1673=0,0,(D1673-C1673)*G1673)</f>
        <v>108.35999999999953</v>
      </c>
      <c r="M1673" s="12">
        <v>3980.225555</v>
      </c>
      <c r="N1673" s="34" cm="1">
        <f t="array" ref="N1673">IFERROR((K1673-J1673)/J1673,"–")</f>
        <v>0.97419090536665298</v>
      </c>
      <c r="O1673" s="33" cm="1">
        <f t="array" ref="O1673">IF(D1673=0,0,L1673-K1673)</f>
        <v>105.25174499999953</v>
      </c>
      <c r="P1673" s="11"/>
      <c r="Q1673" s="35"/>
    </row>
    <row r="1674" spans="1:17" ht="22.5" customHeight="1">
      <c r="A1674" s="16" t="s">
        <v>108</v>
      </c>
      <c r="B1674" s="43">
        <v>44662</v>
      </c>
      <c r="C1674" s="37">
        <v>15.817</v>
      </c>
      <c r="D1674" s="37">
        <v>16.155000000000001</v>
      </c>
      <c r="E1674" s="19" cm="1">
        <f t="array" ref="E1674">IF(D1674="","",D1674-C1674)</f>
        <v>0.33800000000000097</v>
      </c>
      <c r="F1674" s="20" cm="1">
        <f t="array" ref="F1674">IF(D1674=0,"",(D1674-C1674)/C1674)</f>
        <v>2.1369412657267557E-2</v>
      </c>
      <c r="G1674" s="21">
        <v>379</v>
      </c>
      <c r="H1674" s="22">
        <v>1</v>
      </c>
      <c r="I1674" s="23" cm="1">
        <f t="array" ref="I1674">IF(D1674="","",(G1674*C1674)*0.00075)</f>
        <v>4.49598225</v>
      </c>
      <c r="J1674" s="23" cm="1">
        <f t="array" ref="J1674">IF(D1674="","",(G1674*D1674)*0.00075)</f>
        <v>4.5920587500000005</v>
      </c>
      <c r="K1674" s="24" cm="1">
        <f t="array" ref="K1674">IF(D1674="","",J1674+I1674)</f>
        <v>9.0880410000000005</v>
      </c>
      <c r="L1674" s="24" cm="1">
        <f t="array" ref="L1674">IF(D1674=0,0,(D1674-C1674)*G1674)</f>
        <v>128.10200000000037</v>
      </c>
      <c r="M1674" s="25">
        <v>5861.9489412499997</v>
      </c>
      <c r="N1674" s="26" cm="1">
        <f t="array" ref="N1674">IFERROR((K1674-J1674)/J1674,"–")</f>
        <v>0.97907768492726699</v>
      </c>
      <c r="O1674" s="24" cm="1">
        <f t="array" ref="O1674">IF(D1674=0,0,L1674-K1674)</f>
        <v>119.01395900000037</v>
      </c>
      <c r="P1674" s="23"/>
      <c r="Q1674" s="27"/>
    </row>
    <row r="1675" spans="1:17" ht="22.5" customHeight="1">
      <c r="A1675" s="16" t="s">
        <v>61</v>
      </c>
      <c r="B1675" s="42">
        <v>44663</v>
      </c>
      <c r="C1675" s="36">
        <v>122.83</v>
      </c>
      <c r="D1675" s="36">
        <v>125.2</v>
      </c>
      <c r="E1675" s="30" cm="1">
        <f t="array" ref="E1675">IF(D1675="","",D1675-C1675)</f>
        <v>2.3700000000000045</v>
      </c>
      <c r="F1675" s="31" cm="1">
        <f t="array" ref="F1675">IF(D1675=0,"",(D1675-C1675)/C1675)</f>
        <v>1.9294960514532316E-2</v>
      </c>
      <c r="G1675" s="32">
        <v>81.412999999999997</v>
      </c>
      <c r="H1675" s="10">
        <v>1</v>
      </c>
      <c r="I1675" s="11" cm="1">
        <f t="array" ref="I1675">IF(D1675="","",(G1675*C1675)*0.00075)</f>
        <v>7.4999690924999989</v>
      </c>
      <c r="J1675" s="11" cm="1">
        <f t="array" ref="J1675">IF(D1675="","",(G1675*D1675)*0.00075)</f>
        <v>7.6446807000000003</v>
      </c>
      <c r="K1675" s="33" cm="1">
        <f t="array" ref="K1675">IF(D1675="","",J1675+I1675)</f>
        <v>15.144649792499999</v>
      </c>
      <c r="L1675" s="33" cm="1">
        <f t="array" ref="L1675">IF(D1675=0,0,(D1675-C1675)*G1675)</f>
        <v>192.94881000000035</v>
      </c>
      <c r="M1675" s="12">
        <v>9799.3652992999996</v>
      </c>
      <c r="N1675" s="34" cm="1">
        <f t="array" ref="N1675">IFERROR((K1675-J1675)/J1675,"–")</f>
        <v>0.98107028753993586</v>
      </c>
      <c r="O1675" s="33" cm="1">
        <f t="array" ref="O1675">IF(D1675=0,0,L1675-K1675)</f>
        <v>177.80416020750036</v>
      </c>
      <c r="P1675" s="11"/>
      <c r="Q1675" s="35"/>
    </row>
    <row r="1676" spans="1:17" ht="22.5" customHeight="1">
      <c r="A1676" s="16" t="s">
        <v>293</v>
      </c>
      <c r="B1676" s="43">
        <v>44663</v>
      </c>
      <c r="C1676" s="37">
        <v>2.1772999999999998</v>
      </c>
      <c r="D1676" s="37">
        <v>2.1850000000000001</v>
      </c>
      <c r="E1676" s="19" cm="1">
        <f t="array" ref="E1676">IF(D1676="","",D1676-C1676)</f>
        <v>7.7000000000002622E-3</v>
      </c>
      <c r="F1676" s="20" cm="1">
        <f t="array" ref="F1676">IF(D1676=0,"",(D1676-C1676)/C1676)</f>
        <v>3.536490148348993E-3</v>
      </c>
      <c r="G1676" s="21">
        <v>4592</v>
      </c>
      <c r="H1676" s="22">
        <v>1</v>
      </c>
      <c r="I1676" s="23" cm="1">
        <f t="array" ref="I1676">IF(D1676="","",(G1676*C1676)*0.00075)</f>
        <v>7.4986211999999997</v>
      </c>
      <c r="J1676" s="23" cm="1">
        <f t="array" ref="J1676">IF(D1676="","",(G1676*D1676)*0.00075)</f>
        <v>7.5251400000000004</v>
      </c>
      <c r="K1676" s="24" cm="1">
        <f t="array" ref="K1676">IF(D1676="","",J1676+I1676)</f>
        <v>15.023761199999999</v>
      </c>
      <c r="L1676" s="24" cm="1">
        <f t="array" ref="L1676">IF(D1676=0,0,(D1676-C1676)*G1676)</f>
        <v>35.358400000001204</v>
      </c>
      <c r="M1676" s="25">
        <v>9955.2780600000006</v>
      </c>
      <c r="N1676" s="26" cm="1">
        <f t="array" ref="N1676">IFERROR((K1676-J1676)/J1676,"–")</f>
        <v>0.99647597254004561</v>
      </c>
      <c r="O1676" s="24" cm="1">
        <f t="array" ref="O1676">IF(D1676=0,0,L1676-K1676)</f>
        <v>20.334638800001205</v>
      </c>
      <c r="P1676" s="23"/>
      <c r="Q1676" s="27"/>
    </row>
    <row r="1677" spans="1:17" ht="22.5" customHeight="1">
      <c r="A1677" s="16" t="s">
        <v>96</v>
      </c>
      <c r="B1677" s="42">
        <v>44663</v>
      </c>
      <c r="C1677" s="36">
        <v>7.7399999999999997E-2</v>
      </c>
      <c r="D1677" s="36">
        <v>7.85E-2</v>
      </c>
      <c r="E1677" s="30" cm="1">
        <f t="array" ref="E1677">IF(D1677="","",D1677-C1677)</f>
        <v>1.1000000000000038E-3</v>
      </c>
      <c r="F1677" s="31" cm="1">
        <f t="array" ref="F1677">IF(D1677=0,"",(D1677-C1677)/C1677)</f>
        <v>1.421188630490961E-2</v>
      </c>
      <c r="G1677" s="32">
        <v>64567</v>
      </c>
      <c r="H1677" s="10">
        <v>1</v>
      </c>
      <c r="I1677" s="11" cm="1">
        <f t="array" ref="I1677">IF(D1677="","",(G1677*C1677)*0.00075)</f>
        <v>3.7481143499999998</v>
      </c>
      <c r="J1677" s="11" cm="1">
        <f t="array" ref="J1677">IF(D1677="","",(G1677*D1677)*0.00075)</f>
        <v>3.8013821249999999</v>
      </c>
      <c r="K1677" s="33" cm="1">
        <f t="array" ref="K1677">IF(D1677="","",J1677+I1677)</f>
        <v>7.5494964749999998</v>
      </c>
      <c r="L1677" s="33" cm="1">
        <f t="array" ref="L1677">IF(D1677=0,0,(D1677-C1677)*G1677)</f>
        <v>71.023700000000247</v>
      </c>
      <c r="M1677" s="12">
        <v>4922.660717875</v>
      </c>
      <c r="N1677" s="34" cm="1">
        <f t="array" ref="N1677">IFERROR((K1677-J1677)/J1677,"–")</f>
        <v>0.98598726114649682</v>
      </c>
      <c r="O1677" s="33" cm="1">
        <f t="array" ref="O1677">IF(D1677=0,0,L1677-K1677)</f>
        <v>63.474203525000249</v>
      </c>
      <c r="P1677" s="11"/>
      <c r="Q1677" s="35"/>
    </row>
    <row r="1678" spans="1:17" ht="22.5" customHeight="1">
      <c r="A1678" s="16" t="s">
        <v>34</v>
      </c>
      <c r="B1678" s="43">
        <v>44664</v>
      </c>
      <c r="C1678" s="37">
        <v>0.23469999999999999</v>
      </c>
      <c r="D1678" s="37">
        <v>0.23</v>
      </c>
      <c r="E1678" s="19" cm="1">
        <f t="array" ref="E1678">IF(D1678="","",D1678-C1678)</f>
        <v>-4.699999999999982E-3</v>
      </c>
      <c r="F1678" s="20" cm="1">
        <f t="array" ref="F1678">IF(D1678=0,"",(D1678-C1678)/C1678)</f>
        <v>-2.002556455048991E-2</v>
      </c>
      <c r="G1678" s="21">
        <v>42607</v>
      </c>
      <c r="H1678" s="22">
        <v>1</v>
      </c>
      <c r="I1678" s="23" cm="1">
        <f t="array" ref="I1678">IF(D1678="","",(G1678*C1678)*0.00075)</f>
        <v>7.4998971750000001</v>
      </c>
      <c r="J1678" s="23" cm="1">
        <f t="array" ref="J1678">IF(D1678="","",(G1678*D1678)*0.00075)</f>
        <v>7.3497075000000009</v>
      </c>
      <c r="K1678" s="24" cm="1">
        <f t="array" ref="K1678">IF(D1678="","",J1678+I1678)</f>
        <v>14.849604675000002</v>
      </c>
      <c r="L1678" s="24" cm="1">
        <f t="array" ref="L1678">IF(D1678=0,0,(D1678-C1678)*G1678)</f>
        <v>-200.25289999999924</v>
      </c>
      <c r="M1678" s="25">
        <v>10192.7660925</v>
      </c>
      <c r="N1678" s="26" cm="1">
        <f t="array" ref="N1678">IFERROR((K1678-J1678)/J1678,"–")</f>
        <v>1.0204347826086957</v>
      </c>
      <c r="O1678" s="24" cm="1">
        <f t="array" ref="O1678">IF(D1678=0,0,L1678-K1678)</f>
        <v>-215.10250467499924</v>
      </c>
      <c r="P1678" s="23"/>
      <c r="Q1678" s="27"/>
    </row>
    <row r="1679" spans="1:17" ht="22.5" customHeight="1">
      <c r="A1679" s="16" t="s">
        <v>291</v>
      </c>
      <c r="B1679" s="42">
        <v>44665</v>
      </c>
      <c r="C1679" s="36">
        <v>0.48465000000000003</v>
      </c>
      <c r="D1679" s="36">
        <v>0.49919999999999998</v>
      </c>
      <c r="E1679" s="30" cm="1">
        <f t="array" ref="E1679">IF(D1679="","",D1679-C1679)</f>
        <v>1.4549999999999952E-2</v>
      </c>
      <c r="F1679" s="31" cm="1">
        <f t="array" ref="F1679">IF(D1679=0,"",(D1679-C1679)/C1679)</f>
        <v>3.0021665119158054E-2</v>
      </c>
      <c r="G1679" s="32">
        <v>8252.7999999999993</v>
      </c>
      <c r="H1679" s="10">
        <v>1</v>
      </c>
      <c r="I1679" s="11" cm="1">
        <f t="array" ref="I1679">IF(D1679="","",(G1679*C1679)*0.00075)</f>
        <v>2.9997896399999999</v>
      </c>
      <c r="J1679" s="11" cm="1">
        <f t="array" ref="J1679">IF(D1679="","",(G1679*D1679)*0.00075)</f>
        <v>3.0898483199999998</v>
      </c>
      <c r="K1679" s="33" cm="1">
        <f t="array" ref="K1679">IF(D1679="","",J1679+I1679)</f>
        <v>6.0896379599999992</v>
      </c>
      <c r="L1679" s="33" cm="1">
        <f t="array" ref="L1679">IF(D1679=0,0,(D1679-C1679)*G1679)</f>
        <v>120.0782399999996</v>
      </c>
      <c r="M1679" s="12">
        <v>3876.55143168</v>
      </c>
      <c r="N1679" s="34" cm="1">
        <f t="array" ref="N1679">IFERROR((K1679-J1679)/J1679,"–")</f>
        <v>0.97085336538461531</v>
      </c>
      <c r="O1679" s="33" cm="1">
        <f t="array" ref="O1679">IF(D1679=0,0,L1679-K1679)</f>
        <v>113.98860203999959</v>
      </c>
      <c r="P1679" s="11"/>
      <c r="Q1679" s="35"/>
    </row>
    <row r="1680" spans="1:17" ht="22.5" customHeight="1">
      <c r="A1680" s="16" t="s">
        <v>307</v>
      </c>
      <c r="B1680" s="43">
        <v>44665</v>
      </c>
      <c r="C1680" s="37">
        <v>6.1815000000000002E-2</v>
      </c>
      <c r="D1680" s="37">
        <v>6.1765E-2</v>
      </c>
      <c r="E1680" s="19" cm="1">
        <f t="array" ref="E1680">IF(D1680="","",D1680-C1680)</f>
        <v>-5.0000000000001432E-5</v>
      </c>
      <c r="F1680" s="20" cm="1">
        <f t="array" ref="F1680">IF(D1680=0,"",(D1680-C1680)/C1680)</f>
        <v>-8.0886516217748821E-4</v>
      </c>
      <c r="G1680" s="21">
        <v>194127.5</v>
      </c>
      <c r="H1680" s="22">
        <v>1</v>
      </c>
      <c r="I1680" s="23" cm="1">
        <f t="array" ref="I1680">IF(D1680="","",(G1680*C1680)*0.00075)</f>
        <v>8.9999935593749996</v>
      </c>
      <c r="J1680" s="23" cm="1">
        <f t="array" ref="J1680">IF(D1680="","",(G1680*D1680)*0.00075)</f>
        <v>8.9927137781249993</v>
      </c>
      <c r="K1680" s="24" cm="1">
        <f t="array" ref="K1680">IF(D1680="","",J1680+I1680)</f>
        <v>17.992707337500001</v>
      </c>
      <c r="L1680" s="24" cm="1">
        <f t="array" ref="L1680">IF(D1680=0,0,(D1680-C1680)*G1680)</f>
        <v>-9.7063750000002784</v>
      </c>
      <c r="M1680" s="25">
        <v>12000.7050737219</v>
      </c>
      <c r="N1680" s="26" cm="1">
        <f t="array" ref="N1680">IFERROR((K1680-J1680)/J1680,"–")</f>
        <v>1.0008095199546672</v>
      </c>
      <c r="O1680" s="24" cm="1">
        <f t="array" ref="O1680">IF(D1680=0,0,L1680-K1680)</f>
        <v>-27.699082337500279</v>
      </c>
      <c r="P1680" s="23"/>
      <c r="Q1680" s="27"/>
    </row>
    <row r="1681" spans="1:17" ht="22.5" customHeight="1">
      <c r="A1681" s="16" t="s">
        <v>111</v>
      </c>
      <c r="B1681" s="42">
        <v>44665</v>
      </c>
      <c r="C1681" s="36">
        <v>1.9256</v>
      </c>
      <c r="D1681" s="36">
        <v>1.9742</v>
      </c>
      <c r="E1681" s="30" cm="1">
        <f t="array" ref="E1681">IF(D1681="","",D1681-C1681)</f>
        <v>4.8599999999999977E-2</v>
      </c>
      <c r="F1681" s="31" cm="1">
        <f t="array" ref="F1681">IF(D1681=0,"",(D1681-C1681)/C1681)</f>
        <v>2.5238886580805971E-2</v>
      </c>
      <c r="G1681" s="32">
        <v>5192</v>
      </c>
      <c r="H1681" s="10">
        <v>1</v>
      </c>
      <c r="I1681" s="11" cm="1">
        <f t="array" ref="I1681">IF(D1681="","",(G1681*C1681)*0.00075)</f>
        <v>7.4982864000000005</v>
      </c>
      <c r="J1681" s="11" cm="1">
        <f t="array" ref="J1681">IF(D1681="","",(G1681*D1681)*0.00075)</f>
        <v>7.6875347999999999</v>
      </c>
      <c r="K1681" s="33" cm="1">
        <f t="array" ref="K1681">IF(D1681="","",J1681+I1681)</f>
        <v>15.185821199999999</v>
      </c>
      <c r="L1681" s="33" cm="1">
        <f t="array" ref="L1681">IF(D1681=0,0,(D1681-C1681)*G1681)</f>
        <v>252.33119999999988</v>
      </c>
      <c r="M1681" s="12">
        <v>9737.6964652000006</v>
      </c>
      <c r="N1681" s="34" cm="1">
        <f t="array" ref="N1681">IFERROR((K1681-J1681)/J1681,"–")</f>
        <v>0.97538243339074049</v>
      </c>
      <c r="O1681" s="33" cm="1">
        <f t="array" ref="O1681">IF(D1681=0,0,L1681-K1681)</f>
        <v>237.14537879999989</v>
      </c>
      <c r="P1681" s="11"/>
      <c r="Q1681" s="35"/>
    </row>
    <row r="1682" spans="1:17" ht="22.5" customHeight="1">
      <c r="A1682" s="16" t="s">
        <v>153</v>
      </c>
      <c r="B1682" s="43">
        <v>44665</v>
      </c>
      <c r="C1682" s="37">
        <v>0.10979999999999999</v>
      </c>
      <c r="D1682" s="37">
        <v>0.1101</v>
      </c>
      <c r="E1682" s="19" cm="1">
        <f t="array" ref="E1682">IF(D1682="","",D1682-C1682)</f>
        <v>3.0000000000000859E-4</v>
      </c>
      <c r="F1682" s="20" cm="1">
        <f t="array" ref="F1682">IF(D1682=0,"",(D1682-C1682)/C1682)</f>
        <v>2.7322404371585484E-3</v>
      </c>
      <c r="G1682" s="21">
        <v>91004</v>
      </c>
      <c r="H1682" s="22">
        <v>1</v>
      </c>
      <c r="I1682" s="23" cm="1">
        <f t="array" ref="I1682">IF(D1682="","",(G1682*C1682)*0.00075)</f>
        <v>7.4941794000000002</v>
      </c>
      <c r="J1682" s="23" cm="1">
        <f t="array" ref="J1682">IF(D1682="","",(G1682*D1682)*0.00075)</f>
        <v>7.5146553000000003</v>
      </c>
      <c r="K1682" s="24" cm="1">
        <f t="array" ref="K1682">IF(D1682="","",J1682+I1682)</f>
        <v>15.008834700000001</v>
      </c>
      <c r="L1682" s="24" cm="1">
        <f t="array" ref="L1682">IF(D1682=0,0,(D1682-C1682)*G1682)</f>
        <v>27.301200000000783</v>
      </c>
      <c r="M1682" s="25">
        <v>9957.4233447000006</v>
      </c>
      <c r="N1682" s="26" cm="1">
        <f t="array" ref="N1682">IFERROR((K1682-J1682)/J1682,"–")</f>
        <v>0.9972752043596731</v>
      </c>
      <c r="O1682" s="24" cm="1">
        <f t="array" ref="O1682">IF(D1682=0,0,L1682-K1682)</f>
        <v>12.292365300000782</v>
      </c>
      <c r="P1682" s="23"/>
      <c r="Q1682" s="27"/>
    </row>
    <row r="1683" spans="1:17" ht="22.5" customHeight="1">
      <c r="A1683" s="16" t="s">
        <v>202</v>
      </c>
      <c r="B1683" s="42">
        <v>44665</v>
      </c>
      <c r="C1683" s="36">
        <v>9.5180000000000007</v>
      </c>
      <c r="D1683" s="36">
        <v>9.52</v>
      </c>
      <c r="E1683" s="30" cm="1">
        <f t="array" ref="E1683">IF(D1683="","",D1683-C1683)</f>
        <v>1.9999999999988916E-3</v>
      </c>
      <c r="F1683" s="31" cm="1">
        <f t="array" ref="F1683">IF(D1683=0,"",(D1683-C1683)/C1683)</f>
        <v>2.1012817818857863E-4</v>
      </c>
      <c r="G1683" s="32">
        <v>100</v>
      </c>
      <c r="H1683" s="10">
        <v>1</v>
      </c>
      <c r="I1683" s="11" cm="1">
        <f t="array" ref="I1683">IF(D1683="","",(G1683*C1683)*0.00075)</f>
        <v>0.7138500000000001</v>
      </c>
      <c r="J1683" s="11" cm="1">
        <f t="array" ref="J1683">IF(D1683="","",(G1683*D1683)*0.00075)</f>
        <v>0.71399999999999997</v>
      </c>
      <c r="K1683" s="33" cm="1">
        <f t="array" ref="K1683">IF(D1683="","",J1683+I1683)</f>
        <v>1.4278500000000001</v>
      </c>
      <c r="L1683" s="33" cm="1">
        <f t="array" ref="L1683">IF(D1683=0,0,(D1683-C1683)*G1683)</f>
        <v>0.19999999999988916</v>
      </c>
      <c r="M1683" s="12">
        <v>950.88599999999997</v>
      </c>
      <c r="N1683" s="34" cm="1">
        <f t="array" ref="N1683">IFERROR((K1683-J1683)/J1683,"–")</f>
        <v>0.99978991596638678</v>
      </c>
      <c r="O1683" s="33" cm="1">
        <f t="array" ref="O1683">IF(D1683=0,0,L1683-K1683)</f>
        <v>-1.2278500000001109</v>
      </c>
      <c r="P1683" s="11"/>
      <c r="Q1683" s="35"/>
    </row>
    <row r="1684" spans="1:17" ht="22.5" customHeight="1">
      <c r="A1684" s="16" t="s">
        <v>30</v>
      </c>
      <c r="B1684" s="43">
        <v>44665</v>
      </c>
      <c r="C1684" s="37">
        <v>40120</v>
      </c>
      <c r="D1684" s="37">
        <v>39850</v>
      </c>
      <c r="E1684" s="19" cm="1">
        <f t="array" ref="E1684">IF(D1684="","",D1684-C1684)</f>
        <v>-270</v>
      </c>
      <c r="F1684" s="20" cm="1">
        <f t="array" ref="F1684">IF(D1684=0,"",(D1684-C1684)/C1684)</f>
        <v>-6.7298105682951142E-3</v>
      </c>
      <c r="G1684" s="21">
        <v>0.4</v>
      </c>
      <c r="H1684" s="22">
        <v>1</v>
      </c>
      <c r="I1684" s="23" cm="1">
        <f t="array" ref="I1684">IF(D1684="","",(G1684*C1684)*0.00075)/3</f>
        <v>4.0119999999999996</v>
      </c>
      <c r="J1684" s="23" cm="1">
        <f t="array" ref="J1684">IF(D1684="","",(G1684*D1684)*0.00075)/3</f>
        <v>3.9849999999999999</v>
      </c>
      <c r="K1684" s="24" cm="1">
        <f t="array" ref="K1684">IF(D1684="","",J1684+I1684)</f>
        <v>7.9969999999999999</v>
      </c>
      <c r="L1684" s="24" cm="1">
        <f t="array" ref="L1684">IF(D1684=0,0,(D1684-C1684)*G1684)</f>
        <v>-108</v>
      </c>
      <c r="M1684" s="25">
        <v>16152.014999999999</v>
      </c>
      <c r="N1684" s="26" cm="1">
        <f t="array" ref="N1684">IFERROR((K1684-J1684)/J1684,"–")</f>
        <v>1.006775407779172</v>
      </c>
      <c r="O1684" s="24" cm="1">
        <f t="array" ref="O1684">IF(D1684=0,0,L1684-K1684)</f>
        <v>-115.997</v>
      </c>
      <c r="P1684" s="23"/>
      <c r="Q1684" s="27"/>
    </row>
    <row r="1685" spans="1:17" ht="22.5" customHeight="1">
      <c r="A1685" s="16" t="s">
        <v>190</v>
      </c>
      <c r="B1685" s="42">
        <v>44665</v>
      </c>
      <c r="C1685" s="36">
        <v>77.56</v>
      </c>
      <c r="D1685" s="36">
        <v>77.099999999999994</v>
      </c>
      <c r="E1685" s="30" cm="1">
        <f t="array" ref="E1685">IF(D1685="","",D1685-C1685)</f>
        <v>-0.46000000000000796</v>
      </c>
      <c r="F1685" s="31" cm="1">
        <f t="array" ref="F1685">IF(D1685=0,"",(D1685-C1685)/C1685)</f>
        <v>-5.9308922124807623E-3</v>
      </c>
      <c r="G1685" s="32">
        <v>65</v>
      </c>
      <c r="H1685" s="10">
        <v>1</v>
      </c>
      <c r="I1685" s="11" cm="1">
        <f t="array" ref="I1685">IF(D1685="","",(G1685*C1685)*0.00075)</f>
        <v>3.7810500000000005</v>
      </c>
      <c r="J1685" s="11" cm="1">
        <f t="array" ref="J1685">IF(D1685="","",(G1685*D1685)*0.00075)</f>
        <v>3.7586249999999999</v>
      </c>
      <c r="K1685" s="33" cm="1">
        <f t="array" ref="K1685">IF(D1685="","",J1685+I1685)</f>
        <v>7.5396750000000008</v>
      </c>
      <c r="L1685" s="33" cm="1">
        <f t="array" ref="L1685">IF(D1685=0,0,(D1685-C1685)*G1685)</f>
        <v>-29.900000000000517</v>
      </c>
      <c r="M1685" s="12">
        <v>5067.5413749999998</v>
      </c>
      <c r="N1685" s="34" cm="1">
        <f t="array" ref="N1685">IFERROR((K1685-J1685)/J1685,"–")</f>
        <v>1.0059662775616085</v>
      </c>
      <c r="O1685" s="33" cm="1">
        <f t="array" ref="O1685">IF(D1685=0,0,L1685-K1685)</f>
        <v>-37.43967500000052</v>
      </c>
      <c r="P1685" s="11"/>
      <c r="Q1685" s="35"/>
    </row>
    <row r="1686" spans="1:17" ht="22.5" customHeight="1">
      <c r="A1686" s="16" t="s">
        <v>202</v>
      </c>
      <c r="B1686" s="43">
        <v>44665</v>
      </c>
      <c r="C1686" s="37">
        <v>9.4359999999999999</v>
      </c>
      <c r="D1686" s="37">
        <v>9.4149999999999991</v>
      </c>
      <c r="E1686" s="19" cm="1">
        <f t="array" ref="E1686">IF(D1686="","",D1686-C1686)</f>
        <v>-2.1000000000000796E-2</v>
      </c>
      <c r="F1686" s="20" cm="1">
        <f t="array" ref="F1686">IF(D1686=0,"",(D1686-C1686)/C1686)</f>
        <v>-2.2255192878339121E-3</v>
      </c>
      <c r="G1686" s="21">
        <v>531</v>
      </c>
      <c r="H1686" s="22">
        <v>1</v>
      </c>
      <c r="I1686" s="23" cm="1">
        <f t="array" ref="I1686">IF(D1686="","",(G1686*C1686)*0.00075)/2</f>
        <v>1.8789434999999999</v>
      </c>
      <c r="J1686" s="23" cm="1">
        <f t="array" ref="J1686">IF(D1686="","",(G1686*D1686)*0.00075)/2</f>
        <v>1.8747618749999999</v>
      </c>
      <c r="K1686" s="24" cm="1">
        <f t="array" ref="K1686">IF(D1686="","",J1686+I1686)/2</f>
        <v>1.8768526875</v>
      </c>
      <c r="L1686" s="24" cm="1">
        <f t="array" ref="L1686">IF(D1686=0,0,(D1686-C1686)*G1686)</f>
        <v>-11.151000000000423</v>
      </c>
      <c r="M1686" s="25">
        <v>5019.792238125</v>
      </c>
      <c r="N1686" s="26" cm="1">
        <f t="array" ref="N1686">IFERROR((K1686-J1686)/J1686,"–")</f>
        <v>1.1152416356877827E-3</v>
      </c>
      <c r="O1686" s="24" cm="1">
        <f t="array" ref="O1686">IF(D1686=0,0,L1686-K1686)</f>
        <v>-13.027852687500422</v>
      </c>
      <c r="P1686" s="23"/>
      <c r="Q1686" s="27"/>
    </row>
    <row r="1687" spans="1:17" ht="22.5" customHeight="1">
      <c r="A1687" s="16" t="s">
        <v>108</v>
      </c>
      <c r="B1687" s="42">
        <v>44665</v>
      </c>
      <c r="C1687" s="36">
        <v>15.977</v>
      </c>
      <c r="D1687" s="36">
        <v>15.9</v>
      </c>
      <c r="E1687" s="30" cm="1">
        <f t="array" ref="E1687">IF(D1687="","",D1687-C1687)</f>
        <v>-7.6999999999999957E-2</v>
      </c>
      <c r="F1687" s="31" cm="1">
        <f t="array" ref="F1687">IF(D1687=0,"",(D1687-C1687)/C1687)</f>
        <v>-4.8194279276459881E-3</v>
      </c>
      <c r="G1687" s="32">
        <v>1000</v>
      </c>
      <c r="H1687" s="10">
        <v>1</v>
      </c>
      <c r="I1687" s="11" cm="1">
        <f t="array" ref="I1687">IF(D1687="","",(G1687*C1687)*0.00075)/2</f>
        <v>5.9913750000000006</v>
      </c>
      <c r="J1687" s="11" cm="1">
        <f t="array" ref="J1687">IF(D1687="","",(G1687*D1687)*0.00075)/2</f>
        <v>5.9625000000000004</v>
      </c>
      <c r="K1687" s="33" cm="1">
        <f t="array" ref="K1687">IF(D1687="","",J1687+I1687)</f>
        <v>11.953875</v>
      </c>
      <c r="L1687" s="33" cm="1">
        <f t="array" ref="L1687">IF(D1687=0,0,(D1687-C1687)*G1687)</f>
        <v>-76.999999999999957</v>
      </c>
      <c r="M1687" s="12">
        <v>16048.0375</v>
      </c>
      <c r="N1687" s="34" cm="1">
        <f t="array" ref="N1687">IFERROR((K1687-J1687)/J1687,"–")</f>
        <v>1.0048427672955973</v>
      </c>
      <c r="O1687" s="33" cm="1">
        <f t="array" ref="O1687">IF(D1687=0,0,L1687-K1687)</f>
        <v>-88.953874999999954</v>
      </c>
      <c r="P1687" s="11"/>
      <c r="Q1687" s="35"/>
    </row>
    <row r="1688" spans="1:17" ht="22.5" customHeight="1">
      <c r="A1688" s="16" t="s">
        <v>108</v>
      </c>
      <c r="B1688" s="43">
        <v>44668</v>
      </c>
      <c r="C1688" s="37">
        <v>16.449000000000002</v>
      </c>
      <c r="D1688" s="37">
        <v>16.074999999999999</v>
      </c>
      <c r="E1688" s="19" cm="1">
        <f t="array" ref="E1688">IF(D1688="","",D1688-C1688)</f>
        <v>-0.37400000000000233</v>
      </c>
      <c r="F1688" s="20" cm="1">
        <f t="array" ref="F1688">IF(D1688=0,"",(D1688-C1688)/C1688)</f>
        <v>-2.2736944495106225E-2</v>
      </c>
      <c r="G1688" s="21">
        <v>729.4</v>
      </c>
      <c r="H1688" s="22">
        <v>1</v>
      </c>
      <c r="I1688" s="23" cm="1">
        <f t="array" ref="I1688">IF(D1688="","",(G1688*C1688)*0.00075)</f>
        <v>8.9984254500000009</v>
      </c>
      <c r="J1688" s="23" cm="1">
        <f t="array" ref="J1688">IF(D1688="","",(G1688*D1688)*0.00075)</f>
        <v>8.7938287499999994</v>
      </c>
      <c r="K1688" s="24" cm="1">
        <f t="array" ref="K1688">IF(D1688="","",J1688+I1688)</f>
        <v>17.792254200000002</v>
      </c>
      <c r="L1688" s="24" cm="1">
        <f t="array" ref="L1688">IF(D1688=0,0,(D1688-C1688)*G1688)</f>
        <v>-272.79560000000168</v>
      </c>
      <c r="M1688" s="25">
        <v>12261.90237125</v>
      </c>
      <c r="N1688" s="26" cm="1">
        <f t="array" ref="N1688">IFERROR((K1688-J1688)/J1688,"–")</f>
        <v>1.0232659409020222</v>
      </c>
      <c r="O1688" s="24" cm="1">
        <f t="array" ref="O1688">IF(D1688=0,0,L1688-K1688)</f>
        <v>-290.58785420000169</v>
      </c>
      <c r="P1688" s="23"/>
      <c r="Q1688" s="27"/>
    </row>
    <row r="1689" spans="1:17" ht="22.5" customHeight="1">
      <c r="A1689" s="16" t="s">
        <v>308</v>
      </c>
      <c r="B1689" s="42">
        <v>44669</v>
      </c>
      <c r="C1689" s="36">
        <v>2.4860000000000002</v>
      </c>
      <c r="D1689" s="36">
        <v>2.5049999999999999</v>
      </c>
      <c r="E1689" s="30" cm="1">
        <f t="array" ref="E1689">IF(D1689="","",D1689-C1689)</f>
        <v>1.8999999999999684E-2</v>
      </c>
      <c r="F1689" s="31" cm="1">
        <f t="array" ref="F1689">IF(D1689=0,"",(D1689-C1689)/C1689)</f>
        <v>7.6427996781977805E-3</v>
      </c>
      <c r="G1689" s="32">
        <v>4022.7</v>
      </c>
      <c r="H1689" s="10">
        <v>1</v>
      </c>
      <c r="I1689" s="11" cm="1">
        <f t="array" ref="I1689">IF(D1689="","",(G1689*C1689)*0.00075)</f>
        <v>7.5003241500000009</v>
      </c>
      <c r="J1689" s="11" cm="1">
        <f t="array" ref="J1689">IF(D1689="","",(G1689*D1689)*0.00075)</f>
        <v>7.5576476249999995</v>
      </c>
      <c r="K1689" s="33" cm="1">
        <f t="array" ref="K1689">IF(D1689="","",J1689+I1689)</f>
        <v>15.057971775</v>
      </c>
      <c r="L1689" s="33" cm="1">
        <f t="array" ref="L1689">IF(D1689=0,0,(D1689-C1689)*G1689)</f>
        <v>76.431299999998728</v>
      </c>
      <c r="M1689" s="12">
        <v>9916.4432523750002</v>
      </c>
      <c r="N1689" s="34" cm="1">
        <f t="array" ref="N1689">IFERROR((K1689-J1689)/J1689,"–")</f>
        <v>0.99241516966067878</v>
      </c>
      <c r="O1689" s="33" cm="1">
        <f t="array" ref="O1689">IF(D1689=0,0,L1689-K1689)</f>
        <v>61.37332822499873</v>
      </c>
      <c r="P1689" s="11"/>
      <c r="Q1689" s="35"/>
    </row>
    <row r="1690" spans="1:17" ht="22.5" customHeight="1">
      <c r="A1690" s="16" t="s">
        <v>308</v>
      </c>
      <c r="B1690" s="43">
        <v>44669</v>
      </c>
      <c r="C1690" s="37">
        <v>2.5390000000000001</v>
      </c>
      <c r="D1690" s="37">
        <v>2.5259999999999998</v>
      </c>
      <c r="E1690" s="19" cm="1">
        <f t="array" ref="E1690">IF(D1690="","",D1690-C1690)</f>
        <v>-1.3000000000000345E-2</v>
      </c>
      <c r="F1690" s="20" cm="1">
        <f t="array" ref="F1690">IF(D1690=0,"",(D1690-C1690)/C1690)</f>
        <v>-5.1201260338717388E-3</v>
      </c>
      <c r="G1690" s="21">
        <v>3938.5</v>
      </c>
      <c r="H1690" s="22">
        <v>1</v>
      </c>
      <c r="I1690" s="23" cm="1">
        <f t="array" ref="I1690">IF(D1690="","",(G1690*C1690)*0.00075)</f>
        <v>7.4998886250000005</v>
      </c>
      <c r="J1690" s="23" cm="1">
        <f t="array" ref="J1690">IF(D1690="","",(G1690*D1690)*0.00075)</f>
        <v>7.4614882500000004</v>
      </c>
      <c r="K1690" s="24" cm="1">
        <f t="array" ref="K1690">IF(D1690="","",J1690+I1690)</f>
        <v>14.961376875000001</v>
      </c>
      <c r="L1690" s="24" cm="1">
        <f t="array" ref="L1690">IF(D1690=0,0,(D1690-C1690)*G1690)</f>
        <v>-51.200500000001355</v>
      </c>
      <c r="M1690" s="25">
        <v>10043.590511750001</v>
      </c>
      <c r="N1690" s="26" cm="1">
        <f t="array" ref="N1690">IFERROR((K1690-J1690)/J1690,"–")</f>
        <v>1.0051464766429137</v>
      </c>
      <c r="O1690" s="24" cm="1">
        <f t="array" ref="O1690">IF(D1690=0,0,L1690-K1690)</f>
        <v>-66.161876875001354</v>
      </c>
      <c r="P1690" s="23"/>
      <c r="Q1690" s="27"/>
    </row>
    <row r="1691" spans="1:17" ht="22.5" customHeight="1">
      <c r="A1691" s="16" t="s">
        <v>108</v>
      </c>
      <c r="B1691" s="42">
        <v>44669</v>
      </c>
      <c r="C1691" s="36">
        <v>15.266999999999999</v>
      </c>
      <c r="D1691" s="36">
        <v>15.41</v>
      </c>
      <c r="E1691" s="30" cm="1">
        <f t="array" ref="E1691">IF(D1691="","",D1691-C1691)</f>
        <v>0.14300000000000068</v>
      </c>
      <c r="F1691" s="31" cm="1">
        <f t="array" ref="F1691">IF(D1691=0,"",(D1691-C1691)/C1691)</f>
        <v>9.3666077159887794E-3</v>
      </c>
      <c r="G1691" s="32">
        <v>654.9</v>
      </c>
      <c r="H1691" s="10">
        <v>1</v>
      </c>
      <c r="I1691" s="11" cm="1">
        <f t="array" ref="I1691">IF(D1691="","",(G1691*C1691)*0.00075)</f>
        <v>7.4987687249999997</v>
      </c>
      <c r="J1691" s="11" cm="1">
        <f t="array" ref="J1691">IF(D1691="","",(G1691*D1691)*0.00075)</f>
        <v>7.5690067499999998</v>
      </c>
      <c r="K1691" s="33" cm="1">
        <f t="array" ref="K1691">IF(D1691="","",J1691+I1691)</f>
        <v>15.067775474999999</v>
      </c>
      <c r="L1691" s="33" cm="1">
        <f t="array" ref="L1691">IF(D1691=0,0,(D1691-C1691)*G1691)</f>
        <v>93.650700000000441</v>
      </c>
      <c r="M1691" s="12">
        <v>9897.1385932499998</v>
      </c>
      <c r="N1691" s="34" cm="1">
        <f t="array" ref="N1691">IFERROR((K1691-J1691)/J1691,"–")</f>
        <v>0.990720311486048</v>
      </c>
      <c r="O1691" s="33" cm="1">
        <f t="array" ref="O1691">IF(D1691=0,0,L1691-K1691)</f>
        <v>78.582924525000436</v>
      </c>
      <c r="P1691" s="11"/>
      <c r="Q1691" s="35"/>
    </row>
    <row r="1692" spans="1:17" ht="22.5" customHeight="1">
      <c r="A1692" s="16" t="s">
        <v>309</v>
      </c>
      <c r="B1692" s="43">
        <v>44670</v>
      </c>
      <c r="C1692" s="37">
        <v>20.079999999999998</v>
      </c>
      <c r="D1692" s="37">
        <v>20.05</v>
      </c>
      <c r="E1692" s="19" cm="1">
        <f t="array" ref="E1692">IF(D1692="","",D1692-C1692)</f>
        <v>-2.9999999999997584E-2</v>
      </c>
      <c r="F1692" s="20" cm="1">
        <f t="array" ref="F1692">IF(D1692=0,"",(D1692-C1692)/C1692)</f>
        <v>-1.49402390438235E-3</v>
      </c>
      <c r="G1692" s="21">
        <v>298.8</v>
      </c>
      <c r="H1692" s="22">
        <v>1</v>
      </c>
      <c r="I1692" s="23" cm="1">
        <f t="array" ref="I1692">IF(D1692="","",(G1692*C1692)*0.00075)</f>
        <v>4.4999279999999997</v>
      </c>
      <c r="J1692" s="23" cm="1">
        <f t="array" ref="J1692">IF(D1692="","",(G1692*D1692)*0.00075)</f>
        <v>4.4932050000000006</v>
      </c>
      <c r="K1692" s="24" cm="1">
        <f t="array" ref="K1692">IF(D1692="","",J1692+I1692)</f>
        <v>8.9931330000000003</v>
      </c>
      <c r="L1692" s="24" cm="1">
        <f t="array" ref="L1692">IF(D1692=0,0,(D1692-C1692)*G1692)</f>
        <v>-8.9639999999992792</v>
      </c>
      <c r="M1692" s="25">
        <v>6004.3747949999997</v>
      </c>
      <c r="N1692" s="26" cm="1">
        <f t="array" ref="N1692">IFERROR((K1692-J1692)/J1692,"–")</f>
        <v>1.0014962593516208</v>
      </c>
      <c r="O1692" s="24" cm="1">
        <f t="array" ref="O1692">IF(D1692=0,0,L1692-K1692)</f>
        <v>-17.957132999999281</v>
      </c>
      <c r="P1692" s="23"/>
      <c r="Q1692" s="27"/>
    </row>
    <row r="1693" spans="1:17" ht="22.5" customHeight="1">
      <c r="A1693" s="16" t="s">
        <v>310</v>
      </c>
      <c r="B1693" s="42">
        <v>44670</v>
      </c>
      <c r="C1693" s="36">
        <v>107.13500000000001</v>
      </c>
      <c r="D1693" s="36">
        <v>107</v>
      </c>
      <c r="E1693" s="30" cm="1">
        <f t="array" ref="E1693">IF(D1693="","",D1693-C1693)</f>
        <v>-0.13500000000000512</v>
      </c>
      <c r="F1693" s="31" cm="1">
        <f t="array" ref="F1693">IF(D1693=0,"",(D1693-C1693)/C1693)</f>
        <v>-1.2600924067765447E-3</v>
      </c>
      <c r="G1693" s="32">
        <v>112</v>
      </c>
      <c r="H1693" s="10">
        <v>1</v>
      </c>
      <c r="I1693" s="11" cm="1">
        <f t="array" ref="I1693">IF(D1693="","",(G1693*C1693)*0.00075)</f>
        <v>8.9993400000000001</v>
      </c>
      <c r="J1693" s="11" cm="1">
        <f t="array" ref="J1693">IF(D1693="","",(G1693*D1693)*0.00075)</f>
        <v>8.9879999999999995</v>
      </c>
      <c r="K1693" s="33" cm="1">
        <f t="array" ref="K1693">IF(D1693="","",J1693+I1693)</f>
        <v>17.98734</v>
      </c>
      <c r="L1693" s="33" cm="1">
        <f t="array" ref="L1693">IF(D1693=0,0,(D1693-C1693)*G1693)</f>
        <v>-15.120000000000573</v>
      </c>
      <c r="M1693" s="12">
        <v>12005.252</v>
      </c>
      <c r="N1693" s="34" cm="1">
        <f t="array" ref="N1693">IFERROR((K1693-J1693)/J1693,"–")</f>
        <v>1.0012616822429907</v>
      </c>
      <c r="O1693" s="33" cm="1">
        <f t="array" ref="O1693">IF(D1693=0,0,L1693-K1693)</f>
        <v>-33.107340000000576</v>
      </c>
      <c r="P1693" s="11"/>
      <c r="Q1693" s="35"/>
    </row>
    <row r="1694" spans="1:17" ht="22.5" customHeight="1">
      <c r="A1694" s="16" t="s">
        <v>273</v>
      </c>
      <c r="B1694" s="43">
        <v>44670</v>
      </c>
      <c r="C1694" s="37">
        <v>1.123</v>
      </c>
      <c r="D1694" s="37">
        <v>1.1328</v>
      </c>
      <c r="E1694" s="19" cm="1">
        <f t="array" ref="E1694">IF(D1694="","",D1694-C1694)</f>
        <v>9.8000000000000309E-3</v>
      </c>
      <c r="F1694" s="20" cm="1">
        <f t="array" ref="F1694">IF(D1694=0,"",(D1694-C1694)/C1694)</f>
        <v>8.726625111309021E-3</v>
      </c>
      <c r="G1694" s="21">
        <v>1780</v>
      </c>
      <c r="H1694" s="22">
        <v>1</v>
      </c>
      <c r="I1694" s="23" cm="1">
        <f t="array" ref="I1694">IF(D1694="","",(G1694*C1694)*0.00075)</f>
        <v>1.4992050000000001</v>
      </c>
      <c r="J1694" s="23" cm="1">
        <f t="array" ref="J1694">IF(D1694="","",(G1694*D1694)*0.00075)</f>
        <v>1.5122880000000001</v>
      </c>
      <c r="K1694" s="24" cm="1">
        <f t="array" ref="K1694">IF(D1694="","",J1694+I1694)</f>
        <v>3.0114930000000002</v>
      </c>
      <c r="L1694" s="24" cm="1">
        <f t="array" ref="L1694">IF(D1694=0,0,(D1694-C1694)*G1694)</f>
        <v>17.444000000000056</v>
      </c>
      <c r="M1694" s="25">
        <v>1979.983712</v>
      </c>
      <c r="N1694" s="26" cm="1">
        <f t="array" ref="N1694">IFERROR((K1694-J1694)/J1694,"–")</f>
        <v>0.99134887005649719</v>
      </c>
      <c r="O1694" s="24" cm="1">
        <f t="array" ref="O1694">IF(D1694=0,0,L1694-K1694)</f>
        <v>14.432507000000056</v>
      </c>
      <c r="P1694" s="23"/>
      <c r="Q1694" s="27"/>
    </row>
    <row r="1695" spans="1:17" ht="22.5" customHeight="1">
      <c r="A1695" s="16" t="s">
        <v>24</v>
      </c>
      <c r="B1695" s="42">
        <v>44670</v>
      </c>
      <c r="C1695" s="36">
        <v>2.852E-2</v>
      </c>
      <c r="D1695" s="36">
        <v>2.92E-2</v>
      </c>
      <c r="E1695" s="30" cm="1">
        <f t="array" ref="E1695">IF(D1695="","",D1695-C1695)</f>
        <v>6.8000000000000005E-4</v>
      </c>
      <c r="F1695" s="31" cm="1">
        <f t="array" ref="F1695">IF(D1695=0,"",(D1695-C1695)/C1695)</f>
        <v>2.3842917251051896E-2</v>
      </c>
      <c r="G1695" s="32">
        <v>210342.59</v>
      </c>
      <c r="H1695" s="10">
        <v>1</v>
      </c>
      <c r="I1695" s="11" cm="1">
        <f t="array" ref="I1695">IF(D1695="","",(G1695*C1695)*0.00075)</f>
        <v>4.4992280000999996</v>
      </c>
      <c r="J1695" s="11" cm="1">
        <f t="array" ref="J1695">IF(D1695="","",(G1695*D1695)*0.00075)</f>
        <v>4.606502721</v>
      </c>
      <c r="K1695" s="33" cm="1">
        <f t="array" ref="K1695">IF(D1695="","",J1695+I1695)</f>
        <v>9.1057307210999987</v>
      </c>
      <c r="L1695" s="33" cm="1">
        <f t="array" ref="L1695">IF(D1695=0,0,(D1695-C1695)*G1695)</f>
        <v>143.03296120000002</v>
      </c>
      <c r="M1695" s="12">
        <v>5851.3312028789996</v>
      </c>
      <c r="N1695" s="34" cm="1">
        <f t="array" ref="N1695">IFERROR((K1695-J1695)/J1695,"–")</f>
        <v>0.97671232876712299</v>
      </c>
      <c r="O1695" s="33" cm="1">
        <f t="array" ref="O1695">IF(D1695=0,0,L1695-K1695)</f>
        <v>133.92723047890001</v>
      </c>
      <c r="P1695" s="11"/>
      <c r="Q1695" s="35"/>
    </row>
    <row r="1696" spans="1:17" ht="22.5" customHeight="1">
      <c r="A1696" s="16" t="s">
        <v>170</v>
      </c>
      <c r="B1696" s="43">
        <v>44670</v>
      </c>
      <c r="C1696" s="37">
        <v>0.37480000000000002</v>
      </c>
      <c r="D1696" s="37">
        <v>0.37019999999999997</v>
      </c>
      <c r="E1696" s="19" cm="1">
        <f t="array" ref="E1696">IF(D1696="","",D1696-C1696)</f>
        <v>-4.6000000000000485E-3</v>
      </c>
      <c r="F1696" s="20" cm="1">
        <f t="array" ref="F1696">IF(D1696=0,"",(D1696-C1696)/C1696)</f>
        <v>-1.2273212379936095E-2</v>
      </c>
      <c r="G1696" s="21">
        <v>26678</v>
      </c>
      <c r="H1696" s="22">
        <v>1</v>
      </c>
      <c r="I1696" s="23" cm="1">
        <f t="array" ref="I1696">IF(D1696="","",(G1696*C1696)*0.00075)</f>
        <v>7.4991858000000011</v>
      </c>
      <c r="J1696" s="23" cm="1">
        <f t="array" ref="J1696">IF(D1696="","",(G1696*D1696)*0.00075)</f>
        <v>7.4071466999999993</v>
      </c>
      <c r="K1696" s="24" cm="1">
        <f t="array" ref="K1696">IF(D1696="","",J1696+I1696)</f>
        <v>14.906332500000001</v>
      </c>
      <c r="L1696" s="24" cm="1">
        <f t="array" ref="L1696">IF(D1696=0,0,(D1696-C1696)*G1696)</f>
        <v>-122.71880000000129</v>
      </c>
      <c r="M1696" s="25">
        <v>10114.226053300001</v>
      </c>
      <c r="N1696" s="26" cm="1">
        <f t="array" ref="N1696">IFERROR((K1696-J1696)/J1696,"–")</f>
        <v>1.0124257158292818</v>
      </c>
      <c r="O1696" s="24" cm="1">
        <f t="array" ref="O1696">IF(D1696=0,0,L1696-K1696)</f>
        <v>-137.62513250000129</v>
      </c>
      <c r="P1696" s="23"/>
      <c r="Q1696" s="27"/>
    </row>
    <row r="1697" spans="1:17" ht="22.5" customHeight="1">
      <c r="A1697" s="16" t="s">
        <v>122</v>
      </c>
      <c r="B1697" s="42">
        <v>44670</v>
      </c>
      <c r="C1697" s="36">
        <v>0.752</v>
      </c>
      <c r="D1697" s="36">
        <v>0.745</v>
      </c>
      <c r="E1697" s="30" cm="1">
        <f t="array" ref="E1697">IF(D1697="","",D1697-C1697)</f>
        <v>-7.0000000000000062E-3</v>
      </c>
      <c r="F1697" s="31" cm="1">
        <f t="array" ref="F1697">IF(D1697=0,"",(D1697-C1697)/C1697)</f>
        <v>-9.3085106382978806E-3</v>
      </c>
      <c r="G1697" s="32">
        <v>1329.7</v>
      </c>
      <c r="H1697" s="10">
        <v>1</v>
      </c>
      <c r="I1697" s="11" cm="1">
        <f t="array" ref="I1697">IF(D1697="","",(G1697*C1697)*0.00075)</f>
        <v>0.74995080000000003</v>
      </c>
      <c r="J1697" s="11" cm="1">
        <f t="array" ref="J1697">IF(D1697="","",(G1697*D1697)*0.00075)</f>
        <v>0.74296987500000011</v>
      </c>
      <c r="K1697" s="33" cm="1">
        <f t="array" ref="K1697">IF(D1697="","",J1697+I1697)</f>
        <v>1.4929206750000001</v>
      </c>
      <c r="L1697" s="33" cm="1">
        <f t="array" ref="L1697">IF(D1697=0,0,(D1697-C1697)*G1697)</f>
        <v>-9.3079000000000089</v>
      </c>
      <c r="M1697" s="12">
        <v>1008.499330125</v>
      </c>
      <c r="N1697" s="34" cm="1">
        <f t="array" ref="N1697">IFERROR((K1697-J1697)/J1697,"–")</f>
        <v>1.0093959731543622</v>
      </c>
      <c r="O1697" s="33" cm="1">
        <f t="array" ref="O1697">IF(D1697=0,0,L1697-K1697)</f>
        <v>-10.80082067500001</v>
      </c>
      <c r="P1697" s="11"/>
      <c r="Q1697" s="35"/>
    </row>
    <row r="1698" spans="1:17" ht="22.5" customHeight="1">
      <c r="A1698" s="16" t="s">
        <v>173</v>
      </c>
      <c r="B1698" s="43">
        <v>44670</v>
      </c>
      <c r="C1698" s="37">
        <v>6.1440000000000001</v>
      </c>
      <c r="D1698" s="37">
        <v>6.28</v>
      </c>
      <c r="E1698" s="19" cm="1">
        <f t="array" ref="E1698">IF(D1698="","",D1698-C1698)</f>
        <v>0.13600000000000012</v>
      </c>
      <c r="F1698" s="20" cm="1">
        <f t="array" ref="F1698">IF(D1698=0,"",(D1698-C1698)/C1698)</f>
        <v>2.2135416666666685E-2</v>
      </c>
      <c r="G1698" s="21">
        <v>1138</v>
      </c>
      <c r="H1698" s="22">
        <v>1</v>
      </c>
      <c r="I1698" s="23" cm="1">
        <f t="array" ref="I1698">IF(D1698="","",(G1698*C1698)*0.00075)</f>
        <v>5.2439040000000006</v>
      </c>
      <c r="J1698" s="23" cm="1">
        <f t="array" ref="J1698">IF(D1698="","",(G1698*D1698)*0.00075)</f>
        <v>5.3599800000000002</v>
      </c>
      <c r="K1698" s="24" cm="1">
        <f t="array" ref="K1698">IF(D1698="","",J1698+I1698)</f>
        <v>10.603884000000001</v>
      </c>
      <c r="L1698" s="24" cm="1">
        <f t="array" ref="L1698">IF(D1698=0,0,(D1698-C1698)*G1698)</f>
        <v>154.76800000000014</v>
      </c>
      <c r="M1698" s="25">
        <v>6831.7440200000001</v>
      </c>
      <c r="N1698" s="26" cm="1">
        <f t="array" ref="N1698">IFERROR((K1698-J1698)/J1698,"–")</f>
        <v>0.9783439490445861</v>
      </c>
      <c r="O1698" s="24" cm="1">
        <f t="array" ref="O1698">IF(D1698=0,0,L1698-K1698)</f>
        <v>144.16411600000015</v>
      </c>
      <c r="P1698" s="23"/>
      <c r="Q1698" s="27"/>
    </row>
    <row r="1699" spans="1:17" ht="22.5" customHeight="1">
      <c r="A1699" s="16" t="s">
        <v>213</v>
      </c>
      <c r="B1699" s="42">
        <v>44670</v>
      </c>
      <c r="C1699" s="36">
        <v>4.8294499999999996</v>
      </c>
      <c r="D1699" s="36">
        <v>4.8543000000000003</v>
      </c>
      <c r="E1699" s="30" cm="1">
        <f t="array" ref="E1699">IF(D1699="","",D1699-C1699)</f>
        <v>2.4850000000000705E-2</v>
      </c>
      <c r="F1699" s="31" cm="1">
        <f t="array" ref="F1699">IF(D1699=0,"",(D1699-C1699)/C1699)</f>
        <v>5.1455134642662635E-3</v>
      </c>
      <c r="G1699" s="32">
        <v>4140.8</v>
      </c>
      <c r="H1699" s="10">
        <v>1</v>
      </c>
      <c r="I1699" s="11" cm="1">
        <f t="array" ref="I1699">IF(D1699="","",(G1699*C1699)*0.00075)</f>
        <v>14.998339920000001</v>
      </c>
      <c r="J1699" s="11" cm="1">
        <f t="array" ref="J1699">IF(D1699="","",(G1699*D1699)*0.00075)</f>
        <v>15.075514080000001</v>
      </c>
      <c r="K1699" s="33" cm="1">
        <f t="array" ref="K1699">IF(D1699="","",J1699+I1699)</f>
        <v>30.073854000000004</v>
      </c>
      <c r="L1699" s="33" cm="1">
        <f t="array" ref="L1699">IF(D1699=0,0,(D1699-C1699)*G1699)</f>
        <v>102.89888000000292</v>
      </c>
      <c r="M1699" s="12">
        <v>19879.812165920001</v>
      </c>
      <c r="N1699" s="34" cm="1">
        <f t="array" ref="N1699">IFERROR((K1699-J1699)/J1699,"–")</f>
        <v>0.99488082730774785</v>
      </c>
      <c r="O1699" s="33" cm="1">
        <f t="array" ref="O1699">IF(D1699=0,0,L1699-K1699)</f>
        <v>72.825026000002907</v>
      </c>
      <c r="P1699" s="11"/>
      <c r="Q1699" s="35"/>
    </row>
    <row r="1700" spans="1:17" ht="22.5" customHeight="1">
      <c r="A1700" s="16" t="s">
        <v>294</v>
      </c>
      <c r="B1700" s="43">
        <v>44670</v>
      </c>
      <c r="C1700" s="37">
        <v>540.29999999999995</v>
      </c>
      <c r="D1700" s="37">
        <v>540</v>
      </c>
      <c r="E1700" s="19" cm="1">
        <f t="array" ref="E1700">IF(D1700="","",D1700-C1700)</f>
        <v>-0.29999999999995453</v>
      </c>
      <c r="F1700" s="20" cm="1">
        <f t="array" ref="F1700">IF(D1700=0,"",(D1700-C1700)/C1700)</f>
        <v>-5.5524708495271991E-4</v>
      </c>
      <c r="G1700" s="21">
        <v>7.4020000000000001</v>
      </c>
      <c r="H1700" s="22">
        <v>1</v>
      </c>
      <c r="I1700" s="23" cm="1">
        <f t="array" ref="I1700">IF(D1700="","",(G1700*C1700)*0.00075)</f>
        <v>2.9994754499999998</v>
      </c>
      <c r="J1700" s="23" cm="1">
        <f t="array" ref="J1700">IF(D1700="","",(G1700*D1700)*0.00075)</f>
        <v>2.9978099999999999</v>
      </c>
      <c r="K1700" s="24" cm="1">
        <f t="array" ref="K1700">IF(D1700="","",J1700+I1700)</f>
        <v>5.9972854499999997</v>
      </c>
      <c r="L1700" s="24" cm="1">
        <f t="array" ref="L1700">IF(D1700=0,0,(D1700-C1700)*G1700)</f>
        <v>-2.2205999999996635</v>
      </c>
      <c r="M1700" s="25">
        <v>3998.5233899999998</v>
      </c>
      <c r="N1700" s="26" cm="1">
        <f t="array" ref="N1700">IFERROR((K1700-J1700)/J1700,"–")</f>
        <v>1.0005555555555556</v>
      </c>
      <c r="O1700" s="24" cm="1">
        <f t="array" ref="O1700">IF(D1700=0,0,L1700-K1700)</f>
        <v>-8.2178854499996632</v>
      </c>
      <c r="P1700" s="23"/>
      <c r="Q1700" s="27"/>
    </row>
    <row r="1701" spans="1:17" ht="22.5" customHeight="1">
      <c r="A1701" s="16" t="s">
        <v>311</v>
      </c>
      <c r="B1701" s="42">
        <v>44670</v>
      </c>
      <c r="C1701" s="36">
        <v>5.0599999999999999E-2</v>
      </c>
      <c r="D1701" s="36">
        <v>5.0049999999999997E-2</v>
      </c>
      <c r="E1701" s="30" cm="1">
        <f t="array" ref="E1701">IF(D1701="","",D1701-C1701)</f>
        <v>-5.5000000000000188E-4</v>
      </c>
      <c r="F1701" s="31" cm="1">
        <f t="array" ref="F1701">IF(D1701=0,"",(D1701-C1701)/C1701)</f>
        <v>-1.0869565217391342E-2</v>
      </c>
      <c r="G1701" s="32">
        <v>197596</v>
      </c>
      <c r="H1701" s="10">
        <v>1</v>
      </c>
      <c r="I1701" s="11" cm="1">
        <f t="array" ref="I1701">IF(D1701="","",(G1701*C1701)*0.00075)</f>
        <v>7.4987681999999998</v>
      </c>
      <c r="J1701" s="11" cm="1">
        <f t="array" ref="J1701">IF(D1701="","",(G1701*D1701)*0.00075)</f>
        <v>7.4172598499999998</v>
      </c>
      <c r="K1701" s="33" cm="1">
        <f t="array" ref="K1701">IF(D1701="","",J1701+I1701)</f>
        <v>14.91602805</v>
      </c>
      <c r="L1701" s="33" cm="1">
        <f t="array" ref="L1701">IF(D1701=0,0,(D1701-C1701)*G1701)</f>
        <v>-108.67780000000037</v>
      </c>
      <c r="M1701" s="12">
        <v>10099.61814015</v>
      </c>
      <c r="N1701" s="34" cm="1">
        <f t="array" ref="N1701">IFERROR((K1701-J1701)/J1701,"–")</f>
        <v>1.0109890109890109</v>
      </c>
      <c r="O1701" s="33" cm="1">
        <f t="array" ref="O1701">IF(D1701=0,0,L1701-K1701)</f>
        <v>-123.59382805000037</v>
      </c>
      <c r="P1701" s="11"/>
      <c r="Q1701" s="35"/>
    </row>
    <row r="1702" spans="1:17" ht="22.5" customHeight="1">
      <c r="A1702" s="16" t="s">
        <v>199</v>
      </c>
      <c r="B1702" s="43">
        <v>44671</v>
      </c>
      <c r="C1702" s="37">
        <v>47.04</v>
      </c>
      <c r="D1702" s="37">
        <v>47.02</v>
      </c>
      <c r="E1702" s="19" cm="1">
        <f t="array" ref="E1702">IF(D1702="","",D1702-C1702)</f>
        <v>-1.9999999999996021E-2</v>
      </c>
      <c r="F1702" s="20" cm="1">
        <f t="array" ref="F1702">IF(D1702=0,"",(D1702-C1702)/C1702)</f>
        <v>-4.251700680271263E-4</v>
      </c>
      <c r="G1702" s="21">
        <v>85.01</v>
      </c>
      <c r="H1702" s="22">
        <v>1</v>
      </c>
      <c r="I1702" s="23" cm="1">
        <f t="array" ref="I1702">IF(D1702="","",(G1702*C1702)*0.00075)</f>
        <v>2.9991528000000001</v>
      </c>
      <c r="J1702" s="23" cm="1">
        <f t="array" ref="J1702">IF(D1702="","",(G1702*D1702)*0.00075)</f>
        <v>2.9978776500000004</v>
      </c>
      <c r="K1702" s="24" cm="1">
        <f t="array" ref="K1702">IF(D1702="","",J1702+I1702)</f>
        <v>5.9970304500000005</v>
      </c>
      <c r="L1702" s="24" cm="1">
        <f t="array" ref="L1702">IF(D1702=0,0,(D1702-C1702)*G1702)</f>
        <v>-1.7001999999996618</v>
      </c>
      <c r="M1702" s="25">
        <v>3997.5727223499998</v>
      </c>
      <c r="N1702" s="26" cm="1">
        <f t="array" ref="N1702">IFERROR((K1702-J1702)/J1702,"–")</f>
        <v>1.0004253509145045</v>
      </c>
      <c r="O1702" s="24" cm="1">
        <f t="array" ref="O1702">IF(D1702=0,0,L1702-K1702)</f>
        <v>-7.6972304499996618</v>
      </c>
      <c r="P1702" s="23"/>
      <c r="Q1702" s="27"/>
    </row>
    <row r="1703" spans="1:17" ht="22.5" customHeight="1">
      <c r="A1703" s="16" t="s">
        <v>50</v>
      </c>
      <c r="B1703" s="42">
        <v>44671</v>
      </c>
      <c r="C1703" s="36">
        <v>6.72</v>
      </c>
      <c r="D1703" s="36">
        <v>6.72</v>
      </c>
      <c r="E1703" s="30" cm="1">
        <f t="array" ref="E1703">IF(D1703="","",D1703-C1703)</f>
        <v>0</v>
      </c>
      <c r="F1703" s="31" cm="1">
        <f t="array" ref="F1703">IF(D1703=0,"",(D1703-C1703)/C1703)</f>
        <v>0</v>
      </c>
      <c r="G1703" s="32">
        <v>595.23</v>
      </c>
      <c r="H1703" s="10">
        <v>1</v>
      </c>
      <c r="I1703" s="11" cm="1">
        <f t="array" ref="I1703">IF(D1703="","",(G1703*C1703)*0.00075)</f>
        <v>2.9999592000000002</v>
      </c>
      <c r="J1703" s="11" cm="1">
        <f t="array" ref="J1703">IF(D1703="","",(G1703*D1703)*0.00075)</f>
        <v>2.9999592000000002</v>
      </c>
      <c r="K1703" s="33" cm="1">
        <f t="array" ref="K1703">IF(D1703="","",J1703+I1703)</f>
        <v>5.9999184000000003</v>
      </c>
      <c r="L1703" s="33" cm="1">
        <f t="array" ref="L1703">IF(D1703=0,0,(D1703-C1703)*G1703)</f>
        <v>0</v>
      </c>
      <c r="M1703" s="12">
        <v>3996.9456408000001</v>
      </c>
      <c r="N1703" s="34" cm="1">
        <f t="array" ref="N1703">IFERROR((K1703-J1703)/J1703,"–")</f>
        <v>1</v>
      </c>
      <c r="O1703" s="33" cm="1">
        <f t="array" ref="O1703">IF(D1703=0,0,L1703-K1703)</f>
        <v>-5.9999184000000003</v>
      </c>
      <c r="P1703" s="11"/>
      <c r="Q1703" s="35"/>
    </row>
    <row r="1704" spans="1:17" ht="22.5" customHeight="1">
      <c r="A1704" s="16" t="s">
        <v>95</v>
      </c>
      <c r="B1704" s="43">
        <v>44671</v>
      </c>
      <c r="C1704" s="37">
        <v>0.1033</v>
      </c>
      <c r="D1704" s="37">
        <v>0.1033</v>
      </c>
      <c r="E1704" s="19" cm="1">
        <f t="array" ref="E1704">IF(D1704="","",D1704-C1704)</f>
        <v>0</v>
      </c>
      <c r="F1704" s="20" cm="1">
        <f t="array" ref="F1704">IF(D1704=0,"",(D1704-C1704)/C1704)</f>
        <v>0</v>
      </c>
      <c r="G1704" s="21">
        <v>29069</v>
      </c>
      <c r="H1704" s="22">
        <v>1</v>
      </c>
      <c r="I1704" s="23" cm="1">
        <f t="array" ref="I1704">IF(D1704="","",(G1704*C1704)*0.00075)</f>
        <v>2.2521207750000003</v>
      </c>
      <c r="J1704" s="23" cm="1">
        <f t="array" ref="J1704">IF(D1704="","",(G1704*D1704)*0.00075)</f>
        <v>2.2521207750000003</v>
      </c>
      <c r="K1704" s="24" cm="1">
        <f t="array" ref="K1704">IF(D1704="","",J1704+I1704)</f>
        <v>4.5042415500000006</v>
      </c>
      <c r="L1704" s="24" cm="1">
        <f t="array" ref="L1704">IF(D1704=0,0,(D1704-C1704)*G1704)</f>
        <v>0</v>
      </c>
      <c r="M1704" s="25">
        <v>3000.5755792250002</v>
      </c>
      <c r="N1704" s="26" cm="1">
        <f t="array" ref="N1704">IFERROR((K1704-J1704)/J1704,"–")</f>
        <v>1</v>
      </c>
      <c r="O1704" s="24" cm="1">
        <f t="array" ref="O1704">IF(D1704=0,0,L1704-K1704)</f>
        <v>-4.5042415500000006</v>
      </c>
      <c r="P1704" s="23"/>
      <c r="Q1704" s="27"/>
    </row>
    <row r="1705" spans="1:17" ht="22.5" customHeight="1">
      <c r="A1705" s="16" t="s">
        <v>312</v>
      </c>
      <c r="B1705" s="42">
        <v>44671</v>
      </c>
      <c r="C1705" s="36">
        <v>0.22875000000000001</v>
      </c>
      <c r="D1705" s="36">
        <v>0.23100000000000001</v>
      </c>
      <c r="E1705" s="30" cm="1">
        <f t="array" ref="E1705">IF(D1705="","",D1705-C1705)</f>
        <v>2.250000000000002E-3</v>
      </c>
      <c r="F1705" s="31" cm="1">
        <f t="array" ref="F1705">IF(D1705=0,"",(D1705-C1705)/C1705)</f>
        <v>9.8360655737704996E-3</v>
      </c>
      <c r="G1705" s="32">
        <v>13119.5</v>
      </c>
      <c r="H1705" s="10">
        <v>1</v>
      </c>
      <c r="I1705" s="11" cm="1">
        <f t="array" ref="I1705">IF(D1705="","",(G1705*C1705)*0.00075)</f>
        <v>2.25081421875</v>
      </c>
      <c r="J1705" s="11" cm="1">
        <f t="array" ref="J1705">IF(D1705="","",(G1705*D1705)*0.00075)</f>
        <v>2.2729533750000002</v>
      </c>
      <c r="K1705" s="33" cm="1">
        <f t="array" ref="K1705">IF(D1705="","",J1705+I1705)</f>
        <v>4.5237675937499997</v>
      </c>
      <c r="L1705" s="33" cm="1">
        <f t="array" ref="L1705">IF(D1705=0,0,(D1705-C1705)*G1705)</f>
        <v>29.518875000000026</v>
      </c>
      <c r="M1705" s="12">
        <v>2969.2937966250001</v>
      </c>
      <c r="N1705" s="34" cm="1">
        <f t="array" ref="N1705">IFERROR((K1705-J1705)/J1705,"–")</f>
        <v>0.99025974025973995</v>
      </c>
      <c r="O1705" s="33" cm="1">
        <f t="array" ref="O1705">IF(D1705=0,0,L1705-K1705)</f>
        <v>24.995107406250028</v>
      </c>
      <c r="P1705" s="11"/>
      <c r="Q1705" s="35"/>
    </row>
    <row r="1706" spans="1:17" ht="22.5" customHeight="1">
      <c r="A1706" s="16" t="s">
        <v>308</v>
      </c>
      <c r="B1706" s="43">
        <v>44671</v>
      </c>
      <c r="C1706" s="37">
        <v>3.7170999999999998</v>
      </c>
      <c r="D1706" s="37">
        <v>3.76</v>
      </c>
      <c r="E1706" s="19" cm="1">
        <f t="array" ref="E1706">IF(D1706="","",D1706-C1706)</f>
        <v>4.2899999999999938E-2</v>
      </c>
      <c r="F1706" s="20" cm="1">
        <f t="array" ref="F1706">IF(D1706=0,"",(D1706-C1706)/C1706)</f>
        <v>1.1541255279653478E-2</v>
      </c>
      <c r="G1706" s="21">
        <v>2690.1</v>
      </c>
      <c r="H1706" s="22">
        <v>1</v>
      </c>
      <c r="I1706" s="23" cm="1">
        <f t="array" ref="I1706">IF(D1706="","",(G1706*C1706)*0.00075)</f>
        <v>7.4995280324999998</v>
      </c>
      <c r="J1706" s="23" cm="1">
        <f t="array" ref="J1706">IF(D1706="","",(G1706*D1706)*0.00075)</f>
        <v>7.5860820000000002</v>
      </c>
      <c r="K1706" s="24" cm="1">
        <f t="array" ref="K1706">IF(D1706="","",J1706+I1706)</f>
        <v>15.0856100325</v>
      </c>
      <c r="L1706" s="24" cm="1">
        <f t="array" ref="L1706">IF(D1706=0,0,(D1706-C1706)*G1706)</f>
        <v>115.40528999999982</v>
      </c>
      <c r="M1706" s="25">
        <v>9876.3793380000006</v>
      </c>
      <c r="N1706" s="26" cm="1">
        <f t="array" ref="N1706">IFERROR((K1706-J1706)/J1706,"–")</f>
        <v>0.98859042553191478</v>
      </c>
      <c r="O1706" s="24" cm="1">
        <f t="array" ref="O1706">IF(D1706=0,0,L1706-K1706)</f>
        <v>100.31967996749982</v>
      </c>
      <c r="P1706" s="23"/>
      <c r="Q1706" s="27"/>
    </row>
    <row r="1707" spans="1:17" ht="22.5" customHeight="1">
      <c r="A1707" s="16" t="s">
        <v>82</v>
      </c>
      <c r="B1707" s="42">
        <v>44671</v>
      </c>
      <c r="C1707" s="36">
        <v>8.0170000000000005E-2</v>
      </c>
      <c r="D1707" s="36">
        <v>7.8810000000000005E-2</v>
      </c>
      <c r="E1707" s="30" cm="1">
        <f t="array" ref="E1707">IF(D1707="","",D1707-C1707)</f>
        <v>-1.3600000000000001E-3</v>
      </c>
      <c r="F1707" s="31" cm="1">
        <f t="array" ref="F1707">IF(D1707=0,"",(D1707-C1707)/C1707)</f>
        <v>-1.6963951602843957E-2</v>
      </c>
      <c r="G1707" s="32">
        <v>486452</v>
      </c>
      <c r="H1707" s="10">
        <v>1</v>
      </c>
      <c r="I1707" s="11" cm="1">
        <f t="array" ref="I1707">IF(D1707="","",(G1707*C1707)*0.00075)</f>
        <v>29.249142630000001</v>
      </c>
      <c r="J1707" s="11" cm="1">
        <f t="array" ref="J1707">IF(D1707="","",(G1707*D1707)*0.00075)</f>
        <v>28.752961590000002</v>
      </c>
      <c r="K1707" s="33" cm="1">
        <f t="array" ref="K1707">IF(D1707="","",J1707+I1707)</f>
        <v>58.002104220000007</v>
      </c>
      <c r="L1707" s="33" cm="1">
        <f t="array" ref="L1707">IF(D1707=0,0,(D1707-C1707)*G1707)</f>
        <v>-661.57472000000007</v>
      </c>
      <c r="M1707" s="12">
        <v>39631.678598409999</v>
      </c>
      <c r="N1707" s="34" cm="1">
        <f t="array" ref="N1707">IFERROR((K1707-J1707)/J1707,"–")</f>
        <v>1.0172566933130314</v>
      </c>
      <c r="O1707" s="33" cm="1">
        <f t="array" ref="O1707">IF(D1707=0,0,L1707-K1707)</f>
        <v>-719.57682422000005</v>
      </c>
      <c r="P1707" s="11"/>
      <c r="Q1707" s="35"/>
    </row>
    <row r="1708" spans="1:17" ht="22.5" customHeight="1">
      <c r="A1708" s="7"/>
      <c r="B1708" s="40"/>
      <c r="C1708" s="37"/>
      <c r="D1708" s="37"/>
      <c r="E1708" s="40" t="str" cm="1">
        <f t="array" ref="E1708">IF(D1708="","",D1708-C1708)</f>
        <v/>
      </c>
      <c r="F1708" s="40" t="str" cm="1">
        <f t="array" ref="F1708">IF(D1708=0,"",(D1708-C1708)/C1708)</f>
        <v/>
      </c>
      <c r="G1708" s="21"/>
      <c r="H1708" s="22">
        <v>1</v>
      </c>
      <c r="I1708" s="40" t="str" cm="1">
        <f t="array" ref="I1708">IF(D1708="","",(G1708*C1708)*0.00075)</f>
        <v/>
      </c>
      <c r="J1708" s="40" t="str" cm="1">
        <f t="array" ref="J1708">IF(D1708="","",(G1708*D1708)*0.00075)</f>
        <v/>
      </c>
      <c r="K1708" s="40" t="str" cm="1">
        <f t="array" ref="K1708">IF(D1708="","",J1708+I1708)</f>
        <v/>
      </c>
      <c r="L1708" s="24" cm="1">
        <f t="array" ref="L1708">IF(D1708=0,0,(D1708-C1708)*G1708)</f>
        <v>0</v>
      </c>
      <c r="M1708" s="46" t="s">
        <v>13</v>
      </c>
      <c r="N1708" s="47" t="str" cm="1">
        <f t="array" ref="N1708">IFERROR((K1708-J1708)/J1708,"–")</f>
        <v>–</v>
      </c>
      <c r="O1708" s="24" cm="1">
        <f t="array" ref="O1708">IF(D1708=0,0,L1708-K1708)</f>
        <v>0</v>
      </c>
      <c r="P1708" s="23"/>
      <c r="Q1708" s="27"/>
    </row>
    <row r="1709" spans="1:17" ht="36.6" customHeight="1">
      <c r="A1709" s="16"/>
      <c r="B1709" s="8"/>
      <c r="C1709" s="36"/>
      <c r="D1709" s="36"/>
      <c r="E1709" s="8" t="str" cm="1">
        <f t="array" ref="E1709">IF(D1709="","",D1709-C1709)</f>
        <v/>
      </c>
      <c r="F1709" s="8" t="str" cm="1">
        <f t="array" ref="F1709">IF(D1709=0,"",(D1709-C1709)/C1709)</f>
        <v/>
      </c>
      <c r="G1709" s="33"/>
      <c r="H1709" s="10">
        <v>1</v>
      </c>
      <c r="I1709" s="8" t="str" cm="1">
        <f t="array" ref="I1709">IF(D1709="","",(G1709*C1709)*0.00075)</f>
        <v/>
      </c>
      <c r="J1709" s="8" t="str" cm="1">
        <f t="array" ref="J1709">IF(D1709="","",(G1709*D1709)*0.00075)</f>
        <v/>
      </c>
      <c r="K1709" s="8" t="str" cm="1">
        <f t="array" ref="K1709">IF(D1709="","",J1709+I1709)</f>
        <v/>
      </c>
      <c r="L1709" s="33" cm="1">
        <f t="array" ref="L1709">IF(D1709=0,0,(D1709-C1709)*G1709)</f>
        <v>0</v>
      </c>
      <c r="M1709" s="45" t="s">
        <v>13</v>
      </c>
      <c r="N1709" s="13" t="str" cm="1">
        <f t="array" ref="N1709">IFERROR((K1709-J1709)/J1709,"–")</f>
        <v>–</v>
      </c>
      <c r="O1709" s="33" cm="1">
        <f t="array" ref="O1709">IF(D1709=0,0,L1709-K1709)</f>
        <v>0</v>
      </c>
      <c r="P1709" s="11"/>
      <c r="Q1709" s="35"/>
    </row>
    <row r="1710" spans="1:17" ht="50.45" customHeight="1">
      <c r="A1710" s="16"/>
      <c r="B1710" s="44"/>
      <c r="C1710" s="40"/>
      <c r="D1710" s="37"/>
      <c r="E1710" s="40" t="str" cm="1">
        <f t="array" ref="E1710">IF(D1710="","",D1710-C1710)</f>
        <v/>
      </c>
      <c r="F1710" s="40" t="str" cm="1">
        <f t="array" ref="F1710">IF(D1710=0,"",(D1710-C1710)/C1710)</f>
        <v/>
      </c>
      <c r="G1710" s="21"/>
      <c r="H1710" s="22">
        <v>1</v>
      </c>
      <c r="I1710" s="40" t="str" cm="1">
        <f t="array" ref="I1710">IF(D1710="","",(G1710*C1710)*0.00075)</f>
        <v/>
      </c>
      <c r="J1710" s="40" t="str" cm="1">
        <f t="array" ref="J1710">IF(D1710="","",(G1710*D1710)*0.00075)</f>
        <v/>
      </c>
      <c r="K1710" s="40" t="str" cm="1">
        <f t="array" ref="K1710">IF(D1710="","",J1710+I1710)</f>
        <v/>
      </c>
      <c r="L1710" s="24" cm="1">
        <f t="array" ref="L1710">IF(D1710=0,0,(D1710-C1710)*G1710)</f>
        <v>0</v>
      </c>
      <c r="M1710" s="46" t="s">
        <v>13</v>
      </c>
      <c r="N1710" s="47" t="str" cm="1">
        <f t="array" ref="N1710">IFERROR((K1710-J1710)/J1710,"–")</f>
        <v>–</v>
      </c>
      <c r="O1710" s="24" cm="1">
        <f t="array" ref="O1710">IF(D1710=0,0,L1710-K1710)</f>
        <v>0</v>
      </c>
      <c r="P1710" s="23"/>
      <c r="Q1710" s="27"/>
    </row>
    <row r="1711" spans="1:17" ht="50.45" customHeight="1">
      <c r="A1711" s="16"/>
      <c r="B1711" s="14"/>
      <c r="C1711" s="36"/>
      <c r="D1711" s="36"/>
      <c r="E1711" s="8" t="str" cm="1">
        <f t="array" ref="E1711">IF(D1711="","",D1711-C1711)</f>
        <v/>
      </c>
      <c r="F1711" s="8" t="str" cm="1">
        <f t="array" ref="F1711">IF(D1711=0,"",(D1711-C1711)/C1711)</f>
        <v/>
      </c>
      <c r="G1711" s="32"/>
      <c r="H1711" s="10">
        <v>1</v>
      </c>
      <c r="I1711" s="8" t="str" cm="1">
        <f t="array" ref="I1711">IF(D1711="","",(G1711*C1711)*0.00075)</f>
        <v/>
      </c>
      <c r="J1711" s="8" t="str" cm="1">
        <f t="array" ref="J1711">IF(D1711="","",(G1711*D1711)*0.00075)</f>
        <v/>
      </c>
      <c r="K1711" s="8" t="str" cm="1">
        <f t="array" ref="K1711">IF(D1711="","",J1711+I1711)</f>
        <v/>
      </c>
      <c r="L1711" s="33" cm="1">
        <f t="array" ref="L1711">IF(D1711=0,0,(D1711-C1711)*G1711)</f>
        <v>0</v>
      </c>
      <c r="M1711" s="45" t="s">
        <v>13</v>
      </c>
      <c r="N1711" s="13" t="str" cm="1">
        <f t="array" ref="N1711">IFERROR((K1711-J1711)/J1711,"–")</f>
        <v>–</v>
      </c>
      <c r="O1711" s="33" cm="1">
        <f t="array" ref="O1711">IF(D1711=0,0,L1711-K1711)</f>
        <v>0</v>
      </c>
      <c r="P1711" s="11"/>
      <c r="Q1711" s="35"/>
    </row>
    <row r="1712" spans="1:17" ht="22.5" customHeight="1">
      <c r="A1712" s="7"/>
      <c r="B1712" s="40"/>
      <c r="C1712" s="37"/>
      <c r="D1712" s="37"/>
      <c r="E1712" s="40" t="str" cm="1">
        <f t="array" ref="E1712">IF(D1712="","",D1712-C1712)</f>
        <v/>
      </c>
      <c r="F1712" s="40" t="str" cm="1">
        <f t="array" ref="F1712">IF(D1712=0,"",(D1712-C1712)/C1712)</f>
        <v/>
      </c>
      <c r="G1712" s="21"/>
      <c r="H1712" s="22">
        <v>1</v>
      </c>
      <c r="I1712" s="40" t="str" cm="1">
        <f t="array" ref="I1712">IF(D1712="","",(G1712*C1712)*0.00075)</f>
        <v/>
      </c>
      <c r="J1712" s="40" t="str" cm="1">
        <f t="array" ref="J1712">IF(D1712="","",(G1712*D1712)*0.00075)</f>
        <v/>
      </c>
      <c r="K1712" s="40" t="str" cm="1">
        <f t="array" ref="K1712">IF(D1712="","",J1712+I1712)</f>
        <v/>
      </c>
      <c r="L1712" s="24" cm="1">
        <f t="array" ref="L1712">IF(D1712=0,0,(D1712-C1712)*G1712)</f>
        <v>0</v>
      </c>
      <c r="M1712" s="46" t="s">
        <v>13</v>
      </c>
      <c r="N1712" s="47" t="str" cm="1">
        <f t="array" ref="N1712">IFERROR((K1712-J1712)/J1712,"–")</f>
        <v>–</v>
      </c>
      <c r="O1712" s="24" cm="1">
        <f t="array" ref="O1712">IF(D1712=0,0,L1712-K1712)</f>
        <v>0</v>
      </c>
      <c r="P1712" s="23"/>
      <c r="Q1712" s="27"/>
    </row>
    <row r="1713" spans="1:18" ht="22.5" customHeight="1">
      <c r="A1713" s="7"/>
      <c r="B1713" s="8"/>
      <c r="C1713" s="36"/>
      <c r="D1713" s="36"/>
      <c r="E1713" s="8" t="str" cm="1">
        <f t="array" ref="E1713">IF(D1713="","",D1713-C1713)</f>
        <v/>
      </c>
      <c r="F1713" s="8" t="str" cm="1">
        <f t="array" ref="F1713">IF(D1713=0,"",(D1713-C1713)/C1713)</f>
        <v/>
      </c>
      <c r="G1713" s="32"/>
      <c r="H1713" s="10">
        <v>1</v>
      </c>
      <c r="I1713" s="8" t="str" cm="1">
        <f t="array" ref="I1713">IF(D1713="","",(G1713*C1713)*0.00075)</f>
        <v/>
      </c>
      <c r="J1713" s="8" t="str" cm="1">
        <f t="array" ref="J1713">IF(D1713="","",(G1713*D1713)*0.00075)</f>
        <v/>
      </c>
      <c r="K1713" s="8" t="str" cm="1">
        <f t="array" ref="K1713">IF(D1713="","",J1713+I1713)</f>
        <v/>
      </c>
      <c r="L1713" s="33" cm="1">
        <f t="array" ref="L1713">IF(D1713=0,0,(D1713-C1713)*G1713)</f>
        <v>0</v>
      </c>
      <c r="M1713" s="45" t="s">
        <v>13</v>
      </c>
      <c r="N1713" s="13" t="str" cm="1">
        <f t="array" ref="N1713">IFERROR((K1713-J1713)/J1713,"–")</f>
        <v>–</v>
      </c>
      <c r="O1713" s="33" cm="1">
        <f t="array" ref="O1713">IF(D1713=0,0,L1713-K1713)</f>
        <v>0</v>
      </c>
      <c r="P1713" s="11"/>
      <c r="Q1713" s="35"/>
    </row>
    <row r="1714" spans="1:18" ht="22.5" customHeight="1">
      <c r="A1714" s="7"/>
      <c r="B1714" s="40"/>
      <c r="C1714" s="37"/>
      <c r="D1714" s="37"/>
      <c r="E1714" s="40" t="str" cm="1">
        <f t="array" ref="E1714">IF(D1714="","",D1714-C1714)</f>
        <v/>
      </c>
      <c r="F1714" s="40" t="str" cm="1">
        <f t="array" ref="F1714">IF(D1714=0,"",(D1714-C1714)/C1714)</f>
        <v/>
      </c>
      <c r="G1714" s="21"/>
      <c r="H1714" s="22">
        <v>1</v>
      </c>
      <c r="I1714" s="40" t="str" cm="1">
        <f t="array" ref="I1714">IF(D1714="","",(G1714*C1714)*0.00075)</f>
        <v/>
      </c>
      <c r="J1714" s="40" t="str" cm="1">
        <f t="array" ref="J1714">IF(D1714="","",(G1714*D1714)*0.00075)</f>
        <v/>
      </c>
      <c r="K1714" s="40" t="str" cm="1">
        <f t="array" ref="K1714">IF(D1714="","",J1714+I1714)</f>
        <v/>
      </c>
      <c r="L1714" s="24" cm="1">
        <f t="array" ref="L1714">IF(D1714=0,0,(D1714-C1714)*G1714)</f>
        <v>0</v>
      </c>
      <c r="M1714" s="46" t="s">
        <v>13</v>
      </c>
      <c r="N1714" s="47" t="str" cm="1">
        <f t="array" ref="N1714">IFERROR((K1714-J1714)/J1714,"–")</f>
        <v>–</v>
      </c>
      <c r="O1714" s="24" cm="1">
        <f t="array" ref="O1714">IF(D1714=0,0,L1714-K1714)</f>
        <v>0</v>
      </c>
      <c r="P1714" s="23"/>
      <c r="Q1714" s="27"/>
    </row>
    <row r="1715" spans="1:18" ht="22.5" customHeight="1">
      <c r="A1715" s="7"/>
      <c r="B1715" s="8"/>
      <c r="C1715" s="36"/>
      <c r="D1715" s="36"/>
      <c r="E1715" s="8" t="str" cm="1">
        <f t="array" ref="E1715">IF(D1715="","",D1715-C1715)</f>
        <v/>
      </c>
      <c r="F1715" s="8" t="str" cm="1">
        <f t="array" ref="F1715">IF(D1715=0,"",(D1715-C1715)/C1715)</f>
        <v/>
      </c>
      <c r="G1715" s="32"/>
      <c r="H1715" s="10">
        <v>1</v>
      </c>
      <c r="I1715" s="8" t="str" cm="1">
        <f t="array" ref="I1715">IF(D1715="","",(G1715*C1715)*0.00075)</f>
        <v/>
      </c>
      <c r="J1715" s="8" t="str" cm="1">
        <f t="array" ref="J1715">IF(D1715="","",(G1715*D1715)*0.00075)</f>
        <v/>
      </c>
      <c r="K1715" s="8" t="str" cm="1">
        <f t="array" ref="K1715">IF(D1715="","",J1715+I1715)</f>
        <v/>
      </c>
      <c r="L1715" s="33" cm="1">
        <f t="array" ref="L1715">IF(D1715=0,0,(D1715-C1715)*G1715)</f>
        <v>0</v>
      </c>
      <c r="M1715" s="45" t="s">
        <v>13</v>
      </c>
      <c r="N1715" s="13" t="str" cm="1">
        <f t="array" ref="N1715">IFERROR((K1715-J1715)/J1715,"–")</f>
        <v>–</v>
      </c>
      <c r="O1715" s="33" cm="1">
        <f t="array" ref="O1715">IF(D1715=0,0,L1715-K1715)</f>
        <v>0</v>
      </c>
      <c r="P1715" s="11"/>
      <c r="Q1715" s="35"/>
    </row>
    <row r="1716" spans="1:18" ht="22.5" customHeight="1">
      <c r="A1716" s="7"/>
      <c r="B1716" s="40"/>
      <c r="C1716" s="37"/>
      <c r="D1716" s="37"/>
      <c r="E1716" s="40" t="str" cm="1">
        <f t="array" ref="E1716">IF(D1716="","",D1716-C1716)</f>
        <v/>
      </c>
      <c r="F1716" s="40" t="str" cm="1">
        <f t="array" ref="F1716">IF(D1716=0,"",(D1716-C1716)/C1716)</f>
        <v/>
      </c>
      <c r="G1716" s="21"/>
      <c r="H1716" s="22">
        <v>1</v>
      </c>
      <c r="I1716" s="40" t="str" cm="1">
        <f t="array" ref="I1716">IF(D1716="","",(G1716*C1716)*0.00075)</f>
        <v/>
      </c>
      <c r="J1716" s="40" t="str" cm="1">
        <f t="array" ref="J1716">IF(D1716="","",(G1716*D1716)*0.00075)</f>
        <v/>
      </c>
      <c r="K1716" s="40" t="str" cm="1">
        <f t="array" ref="K1716">IF(D1716="","",J1716+I1716)</f>
        <v/>
      </c>
      <c r="L1716" s="24" cm="1">
        <f t="array" ref="L1716">IF(D1716=0,0,(D1716-C1716)*G1716)</f>
        <v>0</v>
      </c>
      <c r="M1716" s="46" t="s">
        <v>13</v>
      </c>
      <c r="N1716" s="47" t="str" cm="1">
        <f t="array" ref="N1716">IFERROR((K1716-J1716)/J1716,"–")</f>
        <v>–</v>
      </c>
      <c r="O1716" s="24" cm="1">
        <f t="array" ref="O1716">IF(D1716=0,0,L1716-K1716)/2</f>
        <v>0</v>
      </c>
      <c r="P1716" s="23"/>
      <c r="Q1716" s="27"/>
    </row>
    <row r="1717" spans="1:18" ht="22.5" customHeight="1">
      <c r="A1717" s="7"/>
      <c r="B1717" s="8"/>
      <c r="C1717" s="36"/>
      <c r="D1717" s="36"/>
      <c r="E1717" s="8" t="str" cm="1">
        <f t="array" ref="E1717">IF(D1717="","",D1717-C1717)</f>
        <v/>
      </c>
      <c r="F1717" s="8" t="str" cm="1">
        <f t="array" ref="F1717">IF(D1717=0,"",(D1717-C1717)/C1717)</f>
        <v/>
      </c>
      <c r="G1717" s="32"/>
      <c r="H1717" s="10">
        <v>1</v>
      </c>
      <c r="I1717" s="8" t="str" cm="1">
        <f t="array" ref="I1717">IF(D1717="","",(G1717*C1717)*0.00075)</f>
        <v/>
      </c>
      <c r="J1717" s="8" t="str" cm="1">
        <f t="array" ref="J1717">IF(D1717="","",(G1717*D1717)*0.00075)</f>
        <v/>
      </c>
      <c r="K1717" s="8" t="str" cm="1">
        <f t="array" ref="K1717">IF(D1717="","",J1717+I1717)</f>
        <v/>
      </c>
      <c r="L1717" s="33" cm="1">
        <f t="array" ref="L1717">IF(D1717=0,0,(D1717-C1717)*G1717)</f>
        <v>0</v>
      </c>
      <c r="M1717" s="45" t="s">
        <v>13</v>
      </c>
      <c r="N1717" s="13" t="str" cm="1">
        <f t="array" ref="N1717">IFERROR((K1717-J1717)/J1717,"–")</f>
        <v>–</v>
      </c>
      <c r="O1717" s="33" cm="1">
        <f t="array" ref="O1717">IF(D1717=0,0,L1717-K1717)*0.712121</f>
        <v>0</v>
      </c>
      <c r="P1717" s="11"/>
      <c r="Q1717" s="35"/>
    </row>
    <row r="1718" spans="1:18" ht="22.5" customHeight="1">
      <c r="A1718" s="7"/>
      <c r="B1718" s="40"/>
      <c r="C1718" s="37"/>
      <c r="D1718" s="37"/>
      <c r="E1718" s="40" t="str" cm="1">
        <f t="array" ref="E1718">IF(D1718="","",D1718-C1718)</f>
        <v/>
      </c>
      <c r="F1718" s="40" t="str" cm="1">
        <f t="array" ref="F1718">IF(D1718=0,"",(D1718-C1718)/C1718)</f>
        <v/>
      </c>
      <c r="G1718" s="21"/>
      <c r="H1718" s="22">
        <v>1</v>
      </c>
      <c r="I1718" s="40" t="str" cm="1">
        <f t="array" ref="I1718">IF(D1718="","",(G1718*C1718)*0.00075)</f>
        <v/>
      </c>
      <c r="J1718" s="40" t="str" cm="1">
        <f t="array" ref="J1718">IF(D1718="","",(G1718*D1718)*0.00075)</f>
        <v/>
      </c>
      <c r="K1718" s="40" t="str" cm="1">
        <f t="array" ref="K1718">IF(D1718="","",J1718+I1718)</f>
        <v/>
      </c>
      <c r="L1718" s="24" cm="1">
        <f t="array" ref="L1718">IF(D1718=0,0,(D1718-C1718)*G1718)</f>
        <v>0</v>
      </c>
      <c r="M1718" s="46" t="s">
        <v>13</v>
      </c>
      <c r="N1718" s="47" t="str" cm="1">
        <f t="array" ref="N1718">IFERROR((K1718-J1718)/J1718,"–")</f>
        <v>–</v>
      </c>
      <c r="O1718" s="24" cm="1">
        <f t="array" ref="O1718">IF(D1718=0,0,L1718-K1718)/2</f>
        <v>0</v>
      </c>
      <c r="P1718" s="46"/>
      <c r="Q1718" s="27"/>
    </row>
    <row r="1719" spans="1:18" ht="22.5" customHeight="1">
      <c r="A1719" s="7"/>
      <c r="B1719" s="8"/>
      <c r="C1719" s="36"/>
      <c r="D1719" s="36"/>
      <c r="E1719" s="8" t="str" cm="1">
        <f t="array" ref="E1719">IF(D1719="","",D1719-C1719)</f>
        <v/>
      </c>
      <c r="F1719" s="8" t="str" cm="1">
        <f t="array" ref="F1719">IF(D1719=0,"",(D1719-C1719)/C1719)</f>
        <v/>
      </c>
      <c r="G1719" s="32"/>
      <c r="H1719" s="10">
        <v>1</v>
      </c>
      <c r="I1719" s="8" t="str" cm="1">
        <f t="array" ref="I1719">IF(D1719="","",(G1719*C1719)*0.00075)</f>
        <v/>
      </c>
      <c r="J1719" s="8" t="str" cm="1">
        <f t="array" ref="J1719">IF(D1719="","",(G1719*D1719)*0.00075)</f>
        <v/>
      </c>
      <c r="K1719" s="8" t="str" cm="1">
        <f t="array" ref="K1719">IF(D1719="","",J1719+I1719)</f>
        <v/>
      </c>
      <c r="L1719" s="33" cm="1">
        <f t="array" ref="L1719">IF(D1719=0,0,(D1719-C1719)*G1719)</f>
        <v>0</v>
      </c>
      <c r="M1719" s="45" t="s">
        <v>13</v>
      </c>
      <c r="N1719" s="13" t="str" cm="1">
        <f t="array" ref="N1719">IFERROR((K1719-J1719)/J1719,"–")</f>
        <v>–</v>
      </c>
      <c r="O1719" s="33" cm="1">
        <f t="array" ref="O1719">IF(D1719=0,0,L1719-K1719)</f>
        <v>0</v>
      </c>
      <c r="P1719" s="45"/>
      <c r="Q1719" s="35"/>
    </row>
    <row r="1720" spans="1:18" ht="22.5" customHeight="1">
      <c r="A1720" s="7"/>
      <c r="B1720" s="40"/>
      <c r="C1720" s="37"/>
      <c r="D1720" s="37"/>
      <c r="E1720" s="40" t="str" cm="1">
        <f t="array" ref="E1720">IF(D1720="","",D1720-C1720)</f>
        <v/>
      </c>
      <c r="F1720" s="40" t="str" cm="1">
        <f t="array" ref="F1720">IF(D1720=0,"",(D1720-C1720)/C1720)</f>
        <v/>
      </c>
      <c r="G1720" s="21"/>
      <c r="H1720" s="22">
        <v>1</v>
      </c>
      <c r="I1720" s="40" t="str" cm="1">
        <f t="array" ref="I1720">IF(D1720="","",(G1720*C1720)*0.00075)</f>
        <v/>
      </c>
      <c r="J1720" s="40" t="str" cm="1">
        <f t="array" ref="J1720">IF(D1720="","",(G1720*D1720)*0.00075)</f>
        <v/>
      </c>
      <c r="K1720" s="40" t="str" cm="1">
        <f t="array" ref="K1720">IF(D1720="","",J1720+I1720)</f>
        <v/>
      </c>
      <c r="L1720" s="24" cm="1">
        <f t="array" ref="L1720">IF(D1720=0,0,(D1720-C1720)*G1720)</f>
        <v>0</v>
      </c>
      <c r="M1720" s="46" t="s">
        <v>13</v>
      </c>
      <c r="N1720" s="47" t="str" cm="1">
        <f t="array" ref="N1720">IFERROR((K1720-J1720)/J1720,"–")</f>
        <v>–</v>
      </c>
      <c r="O1720" s="24" cm="1">
        <f t="array" ref="O1720">IF(D1720=0,0,L1720-K1720)</f>
        <v>0</v>
      </c>
      <c r="P1720" s="23"/>
      <c r="Q1720" s="27"/>
    </row>
    <row r="1721" spans="1:18" ht="22.7" customHeight="1">
      <c r="A1721" s="59"/>
      <c r="B1721" s="60"/>
      <c r="C1721" s="61"/>
      <c r="D1721" s="61"/>
      <c r="E1721" s="60" t="str" cm="1">
        <f t="array" ref="E1721">IF(D1721="","",D1721-C1721)</f>
        <v/>
      </c>
      <c r="F1721" s="60" t="str" cm="1">
        <f t="array" ref="F1721">IF(D1721=0,"",(D1721-C1721)/C1721)</f>
        <v/>
      </c>
      <c r="G1721" s="62"/>
      <c r="H1721" s="63">
        <v>1</v>
      </c>
      <c r="I1721" s="60" t="str" cm="1">
        <f t="array" ref="I1721">IF(D1721="","",(G1721*C1721)*0.00075)</f>
        <v/>
      </c>
      <c r="J1721" s="60" t="str" cm="1">
        <f t="array" ref="J1721">IF(D1721="","",(G1721*D1721)*0.00075)</f>
        <v/>
      </c>
      <c r="K1721" s="60" t="str" cm="1">
        <f t="array" ref="K1721">IF(D1721="","",J1721+I1721)</f>
        <v/>
      </c>
      <c r="L1721" s="64" cm="1">
        <f t="array" ref="L1721">IF(D1721=0,0,(D1721-C1721)*G1721)</f>
        <v>0</v>
      </c>
      <c r="M1721" s="65" t="s">
        <v>13</v>
      </c>
      <c r="N1721" s="66" t="str" cm="1">
        <f t="array" ref="N1721">IFERROR((K1721-J1721)/J1721,"–")</f>
        <v>–</v>
      </c>
      <c r="O1721" s="64" cm="1">
        <f t="array" ref="O1721">IF(D1721=0,0,L1721-K1721)</f>
        <v>0</v>
      </c>
      <c r="P1721" s="67"/>
      <c r="Q1721" s="68"/>
    </row>
    <row r="1722" spans="1:18" ht="22.9" customHeight="1">
      <c r="A1722" s="69" t="s">
        <v>313</v>
      </c>
      <c r="B1722" s="70"/>
      <c r="C1722" s="71"/>
      <c r="D1722" s="71"/>
      <c r="E1722" s="72"/>
      <c r="F1722" s="72"/>
      <c r="G1722" s="72"/>
      <c r="H1722" s="73"/>
      <c r="I1722" s="71"/>
      <c r="J1722" s="74"/>
      <c r="K1722" s="74" cm="1">
        <f t="array" ref="K1722">SUM(K3:K1721)</f>
        <v>21116.143562485653</v>
      </c>
      <c r="L1722" s="74" cm="1">
        <f t="array" ref="L1722">SUM(L3:L1721)</f>
        <v>121647.57178836573</v>
      </c>
      <c r="M1722" s="75" cm="1">
        <f t="array" ref="M1722">SUM(M3:M1721)</f>
        <v>13868719.204794241</v>
      </c>
      <c r="N1722" s="76" t="e" cm="1">
        <f t="array" ref="N1722">(K1722-J1722)/J1722</f>
        <v>#DIV/0!</v>
      </c>
      <c r="O1722" s="74" cm="1">
        <f t="array" ref="O1722">SUM(O3:O1721)</f>
        <v>88709.399742586698</v>
      </c>
      <c r="P1722" s="74" cm="1">
        <f t="array" ref="P1722">SUM(P3:P1721)</f>
        <v>88150.253513821517</v>
      </c>
      <c r="Q1722" s="77"/>
    </row>
    <row r="1724" spans="1:18" ht="39.6" customHeight="1">
      <c r="R1724" s="78"/>
    </row>
  </sheetData>
  <pageMargins left="0.41666700000000001" right="0.41666700000000001" top="0.25" bottom="0.25" header="0.25" footer="0.25"/>
  <pageSetup orientation="landscape"/>
  <headerFooter>
    <oddFooter>&amp;C&amp;"Avenir Next Regular,Regular"&amp;12&amp;K000000&amp;P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37"/>
  <sheetViews>
    <sheetView showGridLines="0" workbookViewId="0"/>
  </sheetViews>
  <sheetFormatPr defaultColWidth="11.7109375" defaultRowHeight="21.6" customHeight="1"/>
  <cols>
    <col min="1" max="1" width="10.28515625" style="1" customWidth="1"/>
    <col min="2" max="2" width="15.28515625" style="1" customWidth="1"/>
    <col min="3" max="4" width="11.7109375" style="1" customWidth="1"/>
    <col min="5" max="5" width="12.140625" style="1" customWidth="1"/>
    <col min="6" max="6" width="11.140625" style="1" customWidth="1"/>
    <col min="7" max="7" width="8.7109375" style="1" customWidth="1"/>
    <col min="8" max="8" width="11.7109375" style="1" hidden="1" customWidth="1"/>
    <col min="9" max="10" width="11.85546875" style="1" customWidth="1"/>
    <col min="11" max="11" width="12.42578125" style="1" customWidth="1"/>
    <col min="12" max="12" width="11.85546875" style="1" customWidth="1"/>
    <col min="13" max="14" width="11.7109375" style="1" hidden="1" customWidth="1"/>
    <col min="15" max="16" width="11.85546875" style="1" customWidth="1"/>
    <col min="17" max="18" width="29.28515625" style="1" customWidth="1"/>
    <col min="19" max="19" width="28.85546875" style="1" customWidth="1"/>
    <col min="20" max="20" width="16.28515625" style="1" customWidth="1"/>
    <col min="21" max="22" width="19.28515625" style="1" customWidth="1"/>
    <col min="23" max="24" width="16.7109375" style="1" customWidth="1"/>
    <col min="25" max="25" width="11.7109375" style="1" customWidth="1"/>
    <col min="26" max="16384" width="11.7109375" style="1"/>
  </cols>
  <sheetData>
    <row r="1" spans="1:16" ht="393.75" customHeight="1"/>
    <row r="2" spans="1:16" ht="36.6" customHeight="1">
      <c r="A2" s="2" t="s">
        <v>0</v>
      </c>
      <c r="B2" s="3" t="s">
        <v>1</v>
      </c>
      <c r="C2" s="3" t="s">
        <v>314</v>
      </c>
      <c r="D2" s="3" t="s">
        <v>315</v>
      </c>
      <c r="E2" s="3" t="s">
        <v>2</v>
      </c>
      <c r="F2" s="3" t="s">
        <v>3</v>
      </c>
      <c r="G2" s="3" t="s">
        <v>4</v>
      </c>
      <c r="H2" s="4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5" t="s">
        <v>10</v>
      </c>
      <c r="N2" s="5" t="s">
        <v>11</v>
      </c>
      <c r="O2" s="3" t="s">
        <v>12</v>
      </c>
      <c r="P2" s="6" t="s">
        <v>316</v>
      </c>
    </row>
    <row r="3" spans="1:16" ht="22.5" customHeight="1">
      <c r="A3" s="7"/>
      <c r="B3" s="45"/>
      <c r="C3" s="45"/>
      <c r="D3" s="45"/>
      <c r="E3" s="45"/>
      <c r="F3" s="45"/>
      <c r="G3" s="45"/>
      <c r="H3" s="10">
        <v>1</v>
      </c>
      <c r="I3" s="45"/>
      <c r="J3" s="45"/>
      <c r="K3" s="45"/>
      <c r="L3" s="45"/>
      <c r="M3" s="56">
        <v>0</v>
      </c>
      <c r="N3" s="13" t="str" cm="1">
        <f t="array" ref="N3">IFERROR((K3-J3)/J3,"–")</f>
        <v>–</v>
      </c>
      <c r="O3" s="45"/>
      <c r="P3" s="79" t="s">
        <v>317</v>
      </c>
    </row>
    <row r="4" spans="1:16" ht="22.5" customHeight="1">
      <c r="A4" s="16" t="s">
        <v>318</v>
      </c>
      <c r="B4" s="46"/>
      <c r="C4" s="80">
        <v>11.88</v>
      </c>
      <c r="D4" s="80">
        <v>11.96</v>
      </c>
      <c r="E4" s="80" cm="1">
        <f t="array" ref="E4">D4-_xlfn.SINGLE(C2:C104)</f>
        <v>8.0000000000000071E-2</v>
      </c>
      <c r="F4" s="20" cm="1">
        <f t="array" ref="F4">IF(D4=0,"",(D4-C4)/C4)</f>
        <v>6.7340067340067398E-3</v>
      </c>
      <c r="G4" s="21">
        <v>353</v>
      </c>
      <c r="H4" s="22">
        <v>1</v>
      </c>
      <c r="I4" s="80" cm="1">
        <f t="array" ref="I4">(G4*C4)*0.0015</f>
        <v>6.2904600000000004</v>
      </c>
      <c r="J4" s="80" cm="1">
        <f t="array" ref="J4">(D4*G4)*0.0015</f>
        <v>6.3328199999999999</v>
      </c>
      <c r="K4" s="81" cm="1">
        <f t="array" ref="K4">(I4+J4)*1.05</f>
        <v>13.254444000000001</v>
      </c>
      <c r="L4" s="81" cm="1">
        <f t="array" ref="L4">IF(D4=0,0,(D4-C4)*G4)</f>
        <v>28.240000000000023</v>
      </c>
      <c r="M4" s="46" t="s">
        <v>13</v>
      </c>
      <c r="N4" s="26" cm="1">
        <f t="array" ref="N4">IFERROR((K4-J4)/J4,"–")</f>
        <v>1.0929765886287628</v>
      </c>
      <c r="O4" s="81" cm="1">
        <f t="array" ref="O4">IF(D4=0,0,L4-K4)</f>
        <v>14.985556000000022</v>
      </c>
      <c r="P4" s="82"/>
    </row>
    <row r="5" spans="1:16" ht="22.5" customHeight="1">
      <c r="A5" s="16" t="s">
        <v>319</v>
      </c>
      <c r="B5" s="45"/>
      <c r="C5" s="83">
        <v>5.55</v>
      </c>
      <c r="D5" s="83">
        <v>5.63</v>
      </c>
      <c r="E5" s="83" cm="1">
        <f t="array" ref="E5">D5-_xlfn.SINGLE(C2:C104)</f>
        <v>8.0000000000000071E-2</v>
      </c>
      <c r="F5" s="31" cm="1">
        <f t="array" ref="F5">IF(D5=0,"",(D5-C5)/C5)</f>
        <v>1.4414414414414429E-2</v>
      </c>
      <c r="G5" s="32">
        <v>720</v>
      </c>
      <c r="H5" s="10">
        <v>1</v>
      </c>
      <c r="I5" s="83" cm="1">
        <f t="array" ref="I5">(G5*C5)*0.0015</f>
        <v>5.9939999999999998</v>
      </c>
      <c r="J5" s="83" cm="1">
        <f t="array" ref="J5">(D5*G5)*0.0015</f>
        <v>6.0804</v>
      </c>
      <c r="K5" s="84" cm="1">
        <f t="array" ref="K5">(I5+J5)*1.05</f>
        <v>12.678120000000002</v>
      </c>
      <c r="L5" s="84" cm="1">
        <f t="array" ref="L5">IF(D5=0,0,(D5-C5)*G5)</f>
        <v>57.600000000000051</v>
      </c>
      <c r="M5" s="45" t="s">
        <v>13</v>
      </c>
      <c r="N5" s="34" cm="1">
        <f t="array" ref="N5">IFERROR((K5-J5)/J5,"–")</f>
        <v>1.085079928952043</v>
      </c>
      <c r="O5" s="84" cm="1">
        <f t="array" ref="O5">IF(D5=0,0,L5-K5)</f>
        <v>44.921880000000051</v>
      </c>
      <c r="P5" s="85"/>
    </row>
    <row r="6" spans="1:16" ht="22.5" customHeight="1">
      <c r="A6" s="16" t="s">
        <v>320</v>
      </c>
      <c r="B6" s="46"/>
      <c r="C6" s="80">
        <v>14.39</v>
      </c>
      <c r="D6" s="80">
        <v>14.5</v>
      </c>
      <c r="E6" s="80" cm="1">
        <f t="array" ref="E6">D6-_xlfn.SINGLE(C2:C104)</f>
        <v>0.10999999999999943</v>
      </c>
      <c r="F6" s="20" cm="1">
        <f t="array" ref="F6">IF(D6=0,"",(D6-C6)/C6)</f>
        <v>7.6441973592772357E-3</v>
      </c>
      <c r="G6" s="21">
        <v>300</v>
      </c>
      <c r="H6" s="22">
        <v>1</v>
      </c>
      <c r="I6" s="80" cm="1">
        <f t="array" ref="I6">(G6*C6)*0.0015</f>
        <v>6.4755000000000003</v>
      </c>
      <c r="J6" s="80" cm="1">
        <f t="array" ref="J6">(D6*G6)*0.0015</f>
        <v>6.5250000000000004</v>
      </c>
      <c r="K6" s="81" cm="1">
        <f t="array" ref="K6">(I6+J6)*1.05</f>
        <v>13.650525000000002</v>
      </c>
      <c r="L6" s="81" cm="1">
        <f t="array" ref="L6">IF(D6=0,0,(D6-C6)*G6)</f>
        <v>32.999999999999829</v>
      </c>
      <c r="M6" s="46" t="s">
        <v>13</v>
      </c>
      <c r="N6" s="26" cm="1">
        <f t="array" ref="N6">IFERROR((K6-J6)/J6,"–")</f>
        <v>1.0920344827586208</v>
      </c>
      <c r="O6" s="81" cm="1">
        <f t="array" ref="O6">IF(D6=0,0,L6-K6)</f>
        <v>19.349474999999828</v>
      </c>
      <c r="P6" s="82"/>
    </row>
    <row r="7" spans="1:16" ht="22.5" customHeight="1">
      <c r="A7" s="16" t="s">
        <v>321</v>
      </c>
      <c r="B7" s="45"/>
      <c r="C7" s="83">
        <v>3.76</v>
      </c>
      <c r="D7" s="83">
        <v>3.82</v>
      </c>
      <c r="E7" s="83" cm="1">
        <f t="array" ref="E7">D7-_xlfn.SINGLE(C2:C104)</f>
        <v>6.0000000000000053E-2</v>
      </c>
      <c r="F7" s="31" cm="1">
        <f t="array" ref="F7">IF(D7=0,"",(D7-C7)/C7)</f>
        <v>1.5957446808510654E-2</v>
      </c>
      <c r="G7" s="32">
        <v>1100</v>
      </c>
      <c r="H7" s="10">
        <v>1</v>
      </c>
      <c r="I7" s="83" cm="1">
        <f t="array" ref="I7">(G7*C7)*0.0015</f>
        <v>6.2039999999999997</v>
      </c>
      <c r="J7" s="83" cm="1">
        <f t="array" ref="J7">(D7*G7)*0.0015</f>
        <v>6.3029999999999999</v>
      </c>
      <c r="K7" s="84" cm="1">
        <f t="array" ref="K7">(I7+J7)*1.05</f>
        <v>13.132350000000001</v>
      </c>
      <c r="L7" s="84" cm="1">
        <f t="array" ref="L7">IF(D7=0,0,(D7-C7)*G7)</f>
        <v>66.000000000000057</v>
      </c>
      <c r="M7" s="45" t="s">
        <v>13</v>
      </c>
      <c r="N7" s="34" cm="1">
        <f t="array" ref="N7">IFERROR((K7-J7)/J7,"–")</f>
        <v>1.0835078534031415</v>
      </c>
      <c r="O7" s="84" cm="1">
        <f t="array" ref="O7">IF(D7=0,0,L7-K7)</f>
        <v>52.867650000000054</v>
      </c>
      <c r="P7" s="85"/>
    </row>
    <row r="8" spans="1:16" ht="22.5" customHeight="1">
      <c r="A8" s="16" t="s">
        <v>322</v>
      </c>
      <c r="B8" s="46"/>
      <c r="C8" s="80">
        <v>3.01</v>
      </c>
      <c r="D8" s="80">
        <v>2.98</v>
      </c>
      <c r="E8" s="80" cm="1">
        <f t="array" ref="E8">D8-_xlfn.SINGLE(C2:C104)</f>
        <v>-2.9999999999999805E-2</v>
      </c>
      <c r="F8" s="20" cm="1">
        <f t="array" ref="F8">IF(D8=0,"",(D8-C8)/C8)</f>
        <v>-9.9667774086378089E-3</v>
      </c>
      <c r="G8" s="21">
        <v>1165</v>
      </c>
      <c r="H8" s="22">
        <v>1</v>
      </c>
      <c r="I8" s="80" cm="1">
        <f t="array" ref="I8">(G8*C8)*0.0015</f>
        <v>5.2599749999999998</v>
      </c>
      <c r="J8" s="80" cm="1">
        <f t="array" ref="J8">(D8*G8)*0.0015</f>
        <v>5.2075499999999995</v>
      </c>
      <c r="K8" s="81" cm="1">
        <f t="array" ref="K8">(I8+J8)*1.05</f>
        <v>10.990901249999999</v>
      </c>
      <c r="L8" s="81" cm="1">
        <f t="array" ref="L8">IF(D8=0,0,(D8-C8)*G8)</f>
        <v>-34.949999999999775</v>
      </c>
      <c r="M8" s="46" t="s">
        <v>13</v>
      </c>
      <c r="N8" s="26" cm="1">
        <f t="array" ref="N8">IFERROR((K8-J8)/J8,"–")</f>
        <v>1.1105704697986576</v>
      </c>
      <c r="O8" s="81" cm="1">
        <f t="array" ref="O8">IF(D8=0,0,L8-K8)</f>
        <v>-45.940901249999776</v>
      </c>
      <c r="P8" s="82"/>
    </row>
    <row r="9" spans="1:16" ht="22.5" customHeight="1">
      <c r="A9" s="16" t="s">
        <v>323</v>
      </c>
      <c r="B9" s="45"/>
      <c r="C9" s="83">
        <v>23.03</v>
      </c>
      <c r="D9" s="83">
        <v>24.24</v>
      </c>
      <c r="E9" s="83" cm="1">
        <f t="array" ref="E9">D9-_xlfn.SINGLE(C2:C104)</f>
        <v>1.2099999999999973</v>
      </c>
      <c r="F9" s="31" cm="1">
        <f t="array" ref="F9">IF(D9=0,"",(D9-C9)/C9)</f>
        <v>5.2540165002170965E-2</v>
      </c>
      <c r="G9" s="32">
        <v>260</v>
      </c>
      <c r="H9" s="10">
        <v>1</v>
      </c>
      <c r="I9" s="83" cm="1">
        <f t="array" ref="I9">(G9*C9)*0.0015</f>
        <v>8.9817</v>
      </c>
      <c r="J9" s="83" cm="1">
        <f t="array" ref="J9">(D9*G9)*0.0015</f>
        <v>9.4535999999999998</v>
      </c>
      <c r="K9" s="84" cm="1">
        <f t="array" ref="K9">(I9+J9)*1.05</f>
        <v>19.357064999999999</v>
      </c>
      <c r="L9" s="84" cm="1">
        <f t="array" ref="L9">IF(D9=0,0,(D9-C9)*G9)</f>
        <v>314.59999999999928</v>
      </c>
      <c r="M9" s="45" t="s">
        <v>13</v>
      </c>
      <c r="N9" s="34" cm="1">
        <f t="array" ref="N9">IFERROR((K9-J9)/J9,"–")</f>
        <v>1.0475866336633661</v>
      </c>
      <c r="O9" s="84" cm="1">
        <f t="array" ref="O9">IF(D9=0,0,L9-K9)</f>
        <v>295.24293499999931</v>
      </c>
      <c r="P9" s="85"/>
    </row>
    <row r="10" spans="1:16" ht="22.5" customHeight="1">
      <c r="A10" s="16" t="s">
        <v>319</v>
      </c>
      <c r="B10" s="46"/>
      <c r="C10" s="80">
        <v>5.1349999999999998</v>
      </c>
      <c r="D10" s="80">
        <v>5.33</v>
      </c>
      <c r="E10" s="80" cm="1">
        <f t="array" ref="E10">D10-_xlfn.SINGLE(C2:C104)</f>
        <v>0.19500000000000028</v>
      </c>
      <c r="F10" s="20" cm="1">
        <f t="array" ref="F10">IF(D10=0,"",(D10-C10)/C10)</f>
        <v>3.7974683544303854E-2</v>
      </c>
      <c r="G10" s="21">
        <v>2360</v>
      </c>
      <c r="H10" s="22">
        <v>1</v>
      </c>
      <c r="I10" s="80" cm="1">
        <f t="array" ref="I10">(G10*C10)*0.0015</f>
        <v>18.177900000000001</v>
      </c>
      <c r="J10" s="80" cm="1">
        <f t="array" ref="J10">(D10*G10)*0.0015</f>
        <v>18.868199999999998</v>
      </c>
      <c r="K10" s="81" cm="1">
        <f t="array" ref="K10">(I10+J10)*1.05</f>
        <v>38.898404999999997</v>
      </c>
      <c r="L10" s="81" cm="1">
        <f t="array" ref="L10">IF(D10=0,0,(D10-C10)*G10)</f>
        <v>460.20000000000067</v>
      </c>
      <c r="M10" s="46" t="s">
        <v>13</v>
      </c>
      <c r="N10" s="26" cm="1">
        <f t="array" ref="N10">IFERROR((K10-J10)/J10,"–")</f>
        <v>1.0615853658536585</v>
      </c>
      <c r="O10" s="81" cm="1">
        <f t="array" ref="O10">IF(D10=0,0,L10-K10)</f>
        <v>421.3015950000007</v>
      </c>
      <c r="P10" s="82"/>
    </row>
    <row r="11" spans="1:16" ht="22.5" customHeight="1">
      <c r="A11" s="16" t="s">
        <v>320</v>
      </c>
      <c r="B11" s="45"/>
      <c r="C11" s="83">
        <v>19.559999999999999</v>
      </c>
      <c r="D11" s="83">
        <v>19.68</v>
      </c>
      <c r="E11" s="83" cm="1">
        <f t="array" ref="E11">D11-_xlfn.SINGLE(C2:C104)</f>
        <v>0.12000000000000099</v>
      </c>
      <c r="F11" s="31" cm="1">
        <f t="array" ref="F11">IF(D11=0,"",(D11-C11)/C11)</f>
        <v>6.1349693251534256E-3</v>
      </c>
      <c r="G11" s="32">
        <v>102</v>
      </c>
      <c r="H11" s="10">
        <v>1</v>
      </c>
      <c r="I11" s="83" cm="1">
        <f t="array" ref="I11">(G11*C11)*0.0015</f>
        <v>2.99268</v>
      </c>
      <c r="J11" s="83" cm="1">
        <f t="array" ref="J11">(D11*G11)*0.0015</f>
        <v>3.0110399999999999</v>
      </c>
      <c r="K11" s="84" cm="1">
        <f t="array" ref="K11">(I11+J11)*1.05</f>
        <v>6.3039059999999996</v>
      </c>
      <c r="L11" s="84" cm="1">
        <f t="array" ref="L11">IF(D11=0,0,(D11-C11)*G11)</f>
        <v>12.240000000000101</v>
      </c>
      <c r="M11" s="45" t="s">
        <v>13</v>
      </c>
      <c r="N11" s="34" cm="1">
        <f t="array" ref="N11">IFERROR((K11-J11)/J11,"–")</f>
        <v>1.0935975609756097</v>
      </c>
      <c r="O11" s="84" cm="1">
        <f t="array" ref="O11">IF(D11=0,0,L11-K11)</f>
        <v>5.9360940000001019</v>
      </c>
      <c r="P11" s="85"/>
    </row>
    <row r="12" spans="1:16" ht="22.5" customHeight="1">
      <c r="A12" s="16" t="s">
        <v>324</v>
      </c>
      <c r="B12" s="46"/>
      <c r="C12" s="80">
        <v>6.12</v>
      </c>
      <c r="D12" s="80">
        <v>6.14</v>
      </c>
      <c r="E12" s="80" cm="1">
        <f t="array" ref="E12">D12-_xlfn.SINGLE(C2:C104)</f>
        <v>1.9999999999999574E-2</v>
      </c>
      <c r="F12" s="20" cm="1">
        <f t="array" ref="F12">IF(D12=0,"",(D12-C12)/C12)</f>
        <v>3.2679738562090806E-3</v>
      </c>
      <c r="G12" s="21">
        <v>1500</v>
      </c>
      <c r="H12" s="22">
        <v>1</v>
      </c>
      <c r="I12" s="80" cm="1">
        <f t="array" ref="I12">(G12*C12)*0.0015</f>
        <v>13.77</v>
      </c>
      <c r="J12" s="80" cm="1">
        <f t="array" ref="J12">(D12*G12)*0.0015</f>
        <v>13.815</v>
      </c>
      <c r="K12" s="81" cm="1">
        <f t="array" ref="K12">(I12+J12)*1.05</f>
        <v>28.964250000000003</v>
      </c>
      <c r="L12" s="81" cm="1">
        <f t="array" ref="L12">IF(D12=0,0,(D12-C12)*G12)</f>
        <v>29.999999999999361</v>
      </c>
      <c r="M12" s="46" t="s">
        <v>13</v>
      </c>
      <c r="N12" s="26" cm="1">
        <f t="array" ref="N12">IFERROR((K12-J12)/J12,"–")</f>
        <v>1.0965798045602608</v>
      </c>
      <c r="O12" s="81" cm="1">
        <f t="array" ref="O12">IF(D12=0,0,L12-K12)</f>
        <v>1.0357499999993571</v>
      </c>
      <c r="P12" s="82"/>
    </row>
    <row r="13" spans="1:16" ht="22.5" customHeight="1">
      <c r="A13" s="16" t="s">
        <v>325</v>
      </c>
      <c r="B13" s="45"/>
      <c r="C13" s="83">
        <v>7.05</v>
      </c>
      <c r="D13" s="83">
        <v>8.98</v>
      </c>
      <c r="E13" s="83" cm="1">
        <f t="array" ref="E13">D13-_xlfn.SINGLE(C2:C104)</f>
        <v>1.9300000000000006</v>
      </c>
      <c r="F13" s="31" cm="1">
        <f t="array" ref="F13">IF(D13=0,"",(D13-C13)/C13)</f>
        <v>0.27375886524822707</v>
      </c>
      <c r="G13" s="32">
        <v>300</v>
      </c>
      <c r="H13" s="10">
        <v>1</v>
      </c>
      <c r="I13" s="83" cm="1">
        <f t="array" ref="I13">(G13*C13)*0.0015</f>
        <v>3.1724999999999999</v>
      </c>
      <c r="J13" s="83" cm="1">
        <f t="array" ref="J13">(D13*G13)*0.0015</f>
        <v>4.0410000000000004</v>
      </c>
      <c r="K13" s="84" cm="1">
        <f t="array" ref="K13">(I13+J13)*1.05</f>
        <v>7.5741750000000003</v>
      </c>
      <c r="L13" s="84" cm="1">
        <f t="array" ref="L13">IF(D13=0,0,(D13-C13)*G13)</f>
        <v>579.00000000000023</v>
      </c>
      <c r="M13" s="45" t="s">
        <v>13</v>
      </c>
      <c r="N13" s="34" cm="1">
        <f t="array" ref="N13">IFERROR((K13-J13)/J13,"–")</f>
        <v>0.87433184855233848</v>
      </c>
      <c r="O13" s="84" cm="1">
        <f t="array" ref="O13">IF(D13=0,0,L13-K13)</f>
        <v>571.42582500000026</v>
      </c>
      <c r="P13" s="85"/>
    </row>
    <row r="14" spans="1:16" ht="22.5" customHeight="1">
      <c r="A14" s="16" t="s">
        <v>326</v>
      </c>
      <c r="B14" s="46"/>
      <c r="C14" s="80">
        <v>17.84</v>
      </c>
      <c r="D14" s="80">
        <v>17.95</v>
      </c>
      <c r="E14" s="80" cm="1">
        <f t="array" ref="E14">D14-_xlfn.SINGLE(C2:C104)</f>
        <v>0.10999999999999943</v>
      </c>
      <c r="F14" s="20" cm="1">
        <f t="array" ref="F14">IF(D14=0,"",(D14-C14)/C14)</f>
        <v>6.1659192825111791E-3</v>
      </c>
      <c r="G14" s="21">
        <v>360</v>
      </c>
      <c r="H14" s="22">
        <v>1</v>
      </c>
      <c r="I14" s="80" cm="1">
        <f t="array" ref="I14">(G14*C14)*0.0015</f>
        <v>9.6335999999999995</v>
      </c>
      <c r="J14" s="80" cm="1">
        <f t="array" ref="J14">(D14*G14)*0.0015</f>
        <v>9.6929999999999996</v>
      </c>
      <c r="K14" s="81" cm="1">
        <f t="array" ref="K14">(I14+J14)*1.05</f>
        <v>20.292929999999998</v>
      </c>
      <c r="L14" s="81" cm="1">
        <f t="array" ref="L14">IF(D14=0,0,(D14-C14)*G14)</f>
        <v>39.599999999999795</v>
      </c>
      <c r="M14" s="46" t="s">
        <v>13</v>
      </c>
      <c r="N14" s="26" cm="1">
        <f t="array" ref="N14">IFERROR((K14-J14)/J14,"–")</f>
        <v>1.0935654596100277</v>
      </c>
      <c r="O14" s="81" cm="1">
        <f t="array" ref="O14">IF(D14=0,0,L14-K14)</f>
        <v>19.307069999999797</v>
      </c>
      <c r="P14" s="82"/>
    </row>
    <row r="15" spans="1:16" ht="22.5" customHeight="1">
      <c r="A15" s="16" t="s">
        <v>326</v>
      </c>
      <c r="B15" s="45"/>
      <c r="C15" s="83">
        <v>17.84</v>
      </c>
      <c r="D15" s="83">
        <v>17.989999999999998</v>
      </c>
      <c r="E15" s="83" cm="1">
        <f t="array" ref="E15">D15-_xlfn.SINGLE(C2:C104)</f>
        <v>0.14999999999999858</v>
      </c>
      <c r="F15" s="31" cm="1">
        <f t="array" ref="F15">IF(D15=0,"",(D15-C15)/C15)</f>
        <v>8.408071748878844E-3</v>
      </c>
      <c r="G15" s="32">
        <v>200</v>
      </c>
      <c r="H15" s="10">
        <v>1</v>
      </c>
      <c r="I15" s="83" cm="1">
        <f t="array" ref="I15">(G15*C15)*0.0015</f>
        <v>5.3520000000000003</v>
      </c>
      <c r="J15" s="83" cm="1">
        <f t="array" ref="J15">(D15*G15)*0.0015</f>
        <v>5.3969999999999994</v>
      </c>
      <c r="K15" s="84" cm="1">
        <f t="array" ref="K15">(I15+J15)*1.05</f>
        <v>11.286449999999999</v>
      </c>
      <c r="L15" s="84" cm="1">
        <f t="array" ref="L15">IF(D15=0,0,(D15-C15)*G15)</f>
        <v>29.999999999999716</v>
      </c>
      <c r="M15" s="45" t="s">
        <v>13</v>
      </c>
      <c r="N15" s="34" cm="1">
        <f t="array" ref="N15">IFERROR((K15-J15)/J15,"–")</f>
        <v>1.0912451361867703</v>
      </c>
      <c r="O15" s="84" cm="1">
        <f t="array" ref="O15">IF(D15=0,0,L15-K15)</f>
        <v>18.713549999999717</v>
      </c>
      <c r="P15" s="85"/>
    </row>
    <row r="16" spans="1:16" ht="22.5" customHeight="1">
      <c r="A16" s="16" t="s">
        <v>327</v>
      </c>
      <c r="B16" s="46"/>
      <c r="C16" s="80">
        <v>6.35</v>
      </c>
      <c r="D16" s="80">
        <v>5.8730000000000002</v>
      </c>
      <c r="E16" s="80" cm="1">
        <f t="array" ref="E16">D16-_xlfn.SINGLE(C2:C104)</f>
        <v>-0.47699999999999942</v>
      </c>
      <c r="F16" s="20" cm="1">
        <f t="array" ref="F16">IF(D16=0,"",(D16-C16)/C16)</f>
        <v>-7.5118110236220392E-2</v>
      </c>
      <c r="G16" s="21">
        <v>1000</v>
      </c>
      <c r="H16" s="22">
        <v>1</v>
      </c>
      <c r="I16" s="80" cm="1">
        <f t="array" ref="I16">(G16*C16)*0.0015</f>
        <v>9.5250000000000004</v>
      </c>
      <c r="J16" s="80" cm="1">
        <f t="array" ref="J16">(D16*G16)*0.0015</f>
        <v>8.8094999999999999</v>
      </c>
      <c r="K16" s="81" cm="1">
        <f t="array" ref="K16">(I16+J16)*1.05</f>
        <v>19.251224999999998</v>
      </c>
      <c r="L16" s="81" cm="1">
        <f t="array" ref="L16">IF(D16=0,0,(D16-C16)*G16)</f>
        <v>-476.99999999999943</v>
      </c>
      <c r="M16" s="46" t="s">
        <v>13</v>
      </c>
      <c r="N16" s="26" cm="1">
        <f t="array" ref="N16">IFERROR((K16-J16)/J16,"–")</f>
        <v>1.1852800953516089</v>
      </c>
      <c r="O16" s="81" cm="1">
        <f t="array" ref="O16">IF(D16=0,0,L16-K16)</f>
        <v>-496.25122499999941</v>
      </c>
      <c r="P16" s="82"/>
    </row>
    <row r="17" spans="1:16" ht="22.5" customHeight="1">
      <c r="A17" s="16" t="s">
        <v>328</v>
      </c>
      <c r="B17" s="45"/>
      <c r="C17" s="83">
        <v>11.55</v>
      </c>
      <c r="D17" s="83">
        <v>11.17</v>
      </c>
      <c r="E17" s="83" cm="1">
        <f t="array" ref="E17">D17-_xlfn.SINGLE(C2:C104)</f>
        <v>-0.38000000000000078</v>
      </c>
      <c r="F17" s="31" cm="1">
        <f t="array" ref="F17">IF(D17=0,"",(D17-C17)/C17)</f>
        <v>-3.2900432900432965E-2</v>
      </c>
      <c r="G17" s="32">
        <v>600</v>
      </c>
      <c r="H17" s="10">
        <v>1</v>
      </c>
      <c r="I17" s="83" cm="1">
        <f t="array" ref="I17">(G17*C17)*0.0015</f>
        <v>10.395</v>
      </c>
      <c r="J17" s="83" cm="1">
        <f t="array" ref="J17">(D17*G17)*0.0015</f>
        <v>10.053000000000001</v>
      </c>
      <c r="K17" s="84" cm="1">
        <f t="array" ref="K17">(I17+J17)*1.05</f>
        <v>21.470400000000001</v>
      </c>
      <c r="L17" s="84" cm="1">
        <f t="array" ref="L17">IF(D17=0,0,(D17-C17)*G17)</f>
        <v>-228.00000000000045</v>
      </c>
      <c r="M17" s="45" t="s">
        <v>13</v>
      </c>
      <c r="N17" s="34" cm="1">
        <f t="array" ref="N17">IFERROR((K17-J17)/J17,"–")</f>
        <v>1.1357206803939122</v>
      </c>
      <c r="O17" s="84" cm="1">
        <f t="array" ref="O17">IF(D17=0,0,L17-K17)</f>
        <v>-249.47040000000047</v>
      </c>
      <c r="P17" s="85"/>
    </row>
    <row r="18" spans="1:16" ht="22.5" customHeight="1">
      <c r="A18" s="16" t="s">
        <v>329</v>
      </c>
      <c r="B18" s="46"/>
      <c r="C18" s="80">
        <v>6.2</v>
      </c>
      <c r="D18" s="80">
        <v>5.64</v>
      </c>
      <c r="E18" s="80" cm="1">
        <f t="array" ref="E18">D18-_xlfn.SINGLE(C2:C104)</f>
        <v>-0.5600000000000005</v>
      </c>
      <c r="F18" s="20" cm="1">
        <f t="array" ref="F18">IF(D18=0,"",(D18-C18)/C18)</f>
        <v>-9.0322580645161368E-2</v>
      </c>
      <c r="G18" s="21">
        <v>700</v>
      </c>
      <c r="H18" s="22">
        <v>1</v>
      </c>
      <c r="I18" s="80" cm="1">
        <f t="array" ref="I18">(G18*C18)*0.0015</f>
        <v>6.51</v>
      </c>
      <c r="J18" s="80" cm="1">
        <f t="array" ref="J18">(D18*G18)*0.0015</f>
        <v>5.9219999999999997</v>
      </c>
      <c r="K18" s="81" cm="1">
        <f t="array" ref="K18">(I18+J18)*1.05</f>
        <v>13.053599999999999</v>
      </c>
      <c r="L18" s="81" cm="1">
        <f t="array" ref="L18">IF(D18=0,0,(D18-C18)*G18)</f>
        <v>-392.00000000000034</v>
      </c>
      <c r="M18" s="46" t="s">
        <v>13</v>
      </c>
      <c r="N18" s="26" cm="1">
        <f t="array" ref="N18">IFERROR((K18-J18)/J18,"–")</f>
        <v>1.2042553191489362</v>
      </c>
      <c r="O18" s="81" cm="1">
        <f t="array" ref="O18">IF(D18=0,0,L18-K18)</f>
        <v>-405.05360000000036</v>
      </c>
      <c r="P18" s="82"/>
    </row>
    <row r="19" spans="1:16" ht="22.5" customHeight="1">
      <c r="A19" s="16" t="s">
        <v>330</v>
      </c>
      <c r="B19" s="45"/>
      <c r="C19" s="86">
        <v>16.936</v>
      </c>
      <c r="D19" s="83">
        <v>16.059999999999999</v>
      </c>
      <c r="E19" s="83" cm="1">
        <f t="array" ref="E19">D19-_xlfn.SINGLE(C2:C104)</f>
        <v>-0.87600000000000122</v>
      </c>
      <c r="F19" s="31" cm="1">
        <f t="array" ref="F19">IF(D19=0,"",(D19-C19)/C19)</f>
        <v>-5.1724137931034558E-2</v>
      </c>
      <c r="G19" s="32">
        <v>465</v>
      </c>
      <c r="H19" s="10">
        <v>1</v>
      </c>
      <c r="I19" s="83" cm="1">
        <f t="array" ref="I19">(G19*C19)*0.0015</f>
        <v>11.812860000000001</v>
      </c>
      <c r="J19" s="83" cm="1">
        <f t="array" ref="J19">(D19*G19)*0.0015</f>
        <v>11.20185</v>
      </c>
      <c r="K19" s="84" cm="1">
        <f t="array" ref="K19">(I19+J19)*1.05</f>
        <v>24.165445500000001</v>
      </c>
      <c r="L19" s="84" cm="1">
        <f t="array" ref="L19">IF(D19=0,0,(D19-C19)*G19)</f>
        <v>-407.34000000000054</v>
      </c>
      <c r="M19" s="45" t="s">
        <v>13</v>
      </c>
      <c r="N19" s="34" cm="1">
        <f t="array" ref="N19">IFERROR((K19-J19)/J19,"–")</f>
        <v>1.1572727272727272</v>
      </c>
      <c r="O19" s="84" cm="1">
        <f t="array" ref="O19">IF(D19=0,0,L19-K19)</f>
        <v>-431.50544550000052</v>
      </c>
      <c r="P19" s="85"/>
    </row>
    <row r="20" spans="1:16" ht="22.5" customHeight="1">
      <c r="A20" s="7"/>
      <c r="B20" s="46"/>
      <c r="C20" s="46"/>
      <c r="D20" s="46"/>
      <c r="E20" s="46"/>
      <c r="F20" s="40"/>
      <c r="G20" s="46"/>
      <c r="H20" s="22">
        <v>1</v>
      </c>
      <c r="I20" s="46"/>
      <c r="J20" s="46"/>
      <c r="K20" s="87"/>
      <c r="L20" s="87"/>
      <c r="M20" s="88">
        <v>0</v>
      </c>
      <c r="N20" s="47" t="str" cm="1">
        <f t="array" ref="N20">IFERROR((K20-J20)/J20,"–")</f>
        <v>–</v>
      </c>
      <c r="O20" s="87"/>
      <c r="P20" s="89" cm="1">
        <f t="array" ref="P20">SUM(O3:O19)+1000</f>
        <v>836.86580824999874</v>
      </c>
    </row>
    <row r="21" spans="1:16" ht="22.5" customHeight="1">
      <c r="A21" s="7"/>
      <c r="B21" s="90" t="s">
        <v>331</v>
      </c>
      <c r="C21" s="45"/>
      <c r="D21" s="45"/>
      <c r="E21" s="45"/>
      <c r="F21" s="8"/>
      <c r="G21" s="45"/>
      <c r="H21" s="10">
        <v>1</v>
      </c>
      <c r="I21" s="45"/>
      <c r="J21" s="45"/>
      <c r="K21" s="91"/>
      <c r="L21" s="91"/>
      <c r="M21" s="56">
        <v>0</v>
      </c>
      <c r="N21" s="13" t="str" cm="1">
        <f t="array" ref="N21">IFERROR((K21-J21)/J21,"–")</f>
        <v>–</v>
      </c>
      <c r="O21" s="91"/>
      <c r="P21" s="92"/>
    </row>
    <row r="22" spans="1:16" ht="22.5" customHeight="1">
      <c r="A22" s="16" t="s">
        <v>324</v>
      </c>
      <c r="B22" s="44" t="s">
        <v>332</v>
      </c>
      <c r="C22" s="80">
        <v>5.49</v>
      </c>
      <c r="D22" s="80">
        <v>5.65</v>
      </c>
      <c r="E22" s="80" cm="1">
        <f t="array" ref="E22">D22-_xlfn.SINGLE(C2:C104)</f>
        <v>0.16000000000000014</v>
      </c>
      <c r="F22" s="20" cm="1">
        <f t="array" ref="F22">IF(D22=0,"",(D22-C22)/C22)</f>
        <v>2.9143897996357037E-2</v>
      </c>
      <c r="G22" s="21">
        <v>740</v>
      </c>
      <c r="H22" s="22">
        <v>1</v>
      </c>
      <c r="I22" s="80" cm="1">
        <f t="array" ref="I22">(G22*C22)*0.000425</f>
        <v>1.7266050000000002</v>
      </c>
      <c r="J22" s="80" cm="1">
        <f t="array" ref="J22">(D22*G22)*0.000425</f>
        <v>1.7769249999999999</v>
      </c>
      <c r="K22" s="81" cm="1">
        <f t="array" ref="K22">(I22+J22)*1.05</f>
        <v>3.6787065000000001</v>
      </c>
      <c r="L22" s="81" cm="1">
        <f t="array" ref="L22">IF(D22=0,0,(D22-C22)*G22)</f>
        <v>118.40000000000011</v>
      </c>
      <c r="M22" s="46" t="s">
        <v>13</v>
      </c>
      <c r="N22" s="26" cm="1">
        <f t="array" ref="N22">IFERROR((K22-J22)/J22,"–")</f>
        <v>1.070265486725664</v>
      </c>
      <c r="O22" s="81" cm="1">
        <f t="array" ref="O22">IF(D22=0,0,L22-K22)</f>
        <v>114.7212935000001</v>
      </c>
      <c r="P22" s="58" t="s">
        <v>333</v>
      </c>
    </row>
    <row r="23" spans="1:16" ht="22.5" customHeight="1">
      <c r="A23" s="16" t="s">
        <v>334</v>
      </c>
      <c r="B23" s="14" t="s">
        <v>335</v>
      </c>
      <c r="C23" s="83">
        <v>2.27</v>
      </c>
      <c r="D23" s="83">
        <v>2.1800000000000002</v>
      </c>
      <c r="E23" s="83" cm="1">
        <f t="array" ref="E23">D23-_xlfn.SINGLE(C2:C104)</f>
        <v>-8.9999999999999858E-2</v>
      </c>
      <c r="F23" s="31" cm="1">
        <f t="array" ref="F23">IF(D23=0,"",(D23-C23)/C23)</f>
        <v>-3.9647577092510954E-2</v>
      </c>
      <c r="G23" s="32">
        <v>3260</v>
      </c>
      <c r="H23" s="10">
        <v>1</v>
      </c>
      <c r="I23" s="83" cm="1">
        <f t="array" ref="I23">(G23*C23)*0.000425</f>
        <v>3.1450849999999999</v>
      </c>
      <c r="J23" s="83" cm="1">
        <f t="array" ref="J23">(D23*G23)*0.000425</f>
        <v>3.0203899999999999</v>
      </c>
      <c r="K23" s="84" cm="1">
        <f t="array" ref="K23">(I23+J23)*1.05</f>
        <v>6.4737487500000004</v>
      </c>
      <c r="L23" s="84" cm="1">
        <f t="array" ref="L23">IF(D23=0,0,(D23-C23)*G23)</f>
        <v>-293.39999999999952</v>
      </c>
      <c r="M23" s="45" t="s">
        <v>13</v>
      </c>
      <c r="N23" s="34" cm="1">
        <f t="array" ref="N23">IFERROR((K23-J23)/J23,"–")</f>
        <v>1.1433486238532111</v>
      </c>
      <c r="O23" s="84" cm="1">
        <f t="array" ref="O23">IF(D23=0,0,L23-K23)</f>
        <v>-299.87374874999955</v>
      </c>
      <c r="P23" s="85"/>
    </row>
    <row r="24" spans="1:16" ht="22.5" customHeight="1">
      <c r="A24" s="16" t="s">
        <v>336</v>
      </c>
      <c r="B24" s="44" t="s">
        <v>337</v>
      </c>
      <c r="C24" s="80">
        <v>4.1100000000000003</v>
      </c>
      <c r="D24" s="80">
        <v>3.99</v>
      </c>
      <c r="E24" s="80" cm="1">
        <f t="array" ref="E24">D24-_xlfn.SINGLE(C2:C104)</f>
        <v>-0.12000000000000011</v>
      </c>
      <c r="F24" s="20" cm="1">
        <f t="array" ref="F24">IF(D24=0,"",(D24-C24)/C24)</f>
        <v>-2.9197080291970826E-2</v>
      </c>
      <c r="G24" s="21">
        <v>950</v>
      </c>
      <c r="H24" s="22">
        <v>1</v>
      </c>
      <c r="I24" s="80" cm="1">
        <f t="array" ref="I24">(G24*C24)*0.000425</f>
        <v>1.6594125000000002</v>
      </c>
      <c r="J24" s="80" cm="1">
        <f t="array" ref="J24">(D24*G24)*0.000425</f>
        <v>1.6109624999999999</v>
      </c>
      <c r="K24" s="81" cm="1">
        <f t="array" ref="K24">(I24+J24)*1.05</f>
        <v>3.4338937500000002</v>
      </c>
      <c r="L24" s="81" cm="1">
        <f t="array" ref="L24">IF(D24=0,0,(D24-C24)*G24)</f>
        <v>-114.0000000000001</v>
      </c>
      <c r="M24" s="46" t="s">
        <v>13</v>
      </c>
      <c r="N24" s="26" cm="1">
        <f t="array" ref="N24">IFERROR((K24-J24)/J24,"–")</f>
        <v>1.1315789473684215</v>
      </c>
      <c r="O24" s="81" cm="1">
        <f t="array" ref="O24">IF(D24=0,0,L24-K24)</f>
        <v>-117.4338937500001</v>
      </c>
      <c r="P24" s="82"/>
    </row>
    <row r="25" spans="1:16" ht="22.5" customHeight="1">
      <c r="A25" s="16" t="s">
        <v>336</v>
      </c>
      <c r="B25" s="14" t="s">
        <v>338</v>
      </c>
      <c r="C25" s="83">
        <v>4.08</v>
      </c>
      <c r="D25" s="83">
        <v>3.99</v>
      </c>
      <c r="E25" s="83" cm="1">
        <f t="array" ref="E25">D25-_xlfn.SINGLE(C2:C104)</f>
        <v>-8.9999999999999858E-2</v>
      </c>
      <c r="F25" s="31" cm="1">
        <f t="array" ref="F25">IF(D25=0,"",(D25-C25)/C25)</f>
        <v>-2.2058823529411728E-2</v>
      </c>
      <c r="G25" s="32">
        <v>1000</v>
      </c>
      <c r="H25" s="10">
        <v>1</v>
      </c>
      <c r="I25" s="83" cm="1">
        <f t="array" ref="I25">(G25*C25)*0.000425</f>
        <v>1.734</v>
      </c>
      <c r="J25" s="83" cm="1">
        <f t="array" ref="J25">(D25*G25)*0.000425</f>
        <v>1.6957499999999999</v>
      </c>
      <c r="K25" s="84" cm="1">
        <f t="array" ref="K25">(I25+J25)*1.05</f>
        <v>3.6012374999999999</v>
      </c>
      <c r="L25" s="84" cm="1">
        <f t="array" ref="L25">IF(D25=0,0,(D25-C25)*G25)</f>
        <v>-89.999999999999858</v>
      </c>
      <c r="M25" s="45" t="s">
        <v>13</v>
      </c>
      <c r="N25" s="34" cm="1">
        <f t="array" ref="N25">IFERROR((K25-J25)/J25,"–")</f>
        <v>1.1236842105263158</v>
      </c>
      <c r="O25" s="84" cm="1">
        <f t="array" ref="O25">IF(D25=0,0,L25-K25)</f>
        <v>-93.601237499999854</v>
      </c>
      <c r="P25" s="85"/>
    </row>
    <row r="26" spans="1:16" ht="22.5" customHeight="1">
      <c r="A26" s="16" t="s">
        <v>324</v>
      </c>
      <c r="B26" s="44" t="s">
        <v>337</v>
      </c>
      <c r="C26" s="80">
        <v>5.65</v>
      </c>
      <c r="D26" s="80">
        <v>5.5</v>
      </c>
      <c r="E26" s="80" cm="1">
        <f t="array" ref="E26">D26-_xlfn.SINGLE(C2:C104)</f>
        <v>-0.15000000000000036</v>
      </c>
      <c r="F26" s="20" cm="1">
        <f t="array" ref="F26">IF(D26=0,"",(D26-C26)/C26)</f>
        <v>-2.6548672566371743E-2</v>
      </c>
      <c r="G26" s="21">
        <v>800</v>
      </c>
      <c r="H26" s="22">
        <v>1</v>
      </c>
      <c r="I26" s="80" cm="1">
        <f t="array" ref="I26">(G26*C26)*0.000425</f>
        <v>1.9209999999999998</v>
      </c>
      <c r="J26" s="80" cm="1">
        <f t="array" ref="J26">(D26*G26)*0.000425</f>
        <v>1.8699999999999999</v>
      </c>
      <c r="K26" s="81" cm="1">
        <f t="array" ref="K26">(I26+J26)*1.05</f>
        <v>3.9805499999999996</v>
      </c>
      <c r="L26" s="81" cm="1">
        <f t="array" ref="L26">IF(D26=0,0,(D26-C26)*G26)</f>
        <v>-120.00000000000028</v>
      </c>
      <c r="M26" s="46" t="s">
        <v>13</v>
      </c>
      <c r="N26" s="26" cm="1">
        <f t="array" ref="N26">IFERROR((K26-J26)/J26,"–")</f>
        <v>1.1286363636363637</v>
      </c>
      <c r="O26" s="81" cm="1">
        <f t="array" ref="O26">IF(D26=0,0,L26-K26)</f>
        <v>-123.98055000000028</v>
      </c>
      <c r="P26" s="82"/>
    </row>
    <row r="27" spans="1:16" ht="22.5" customHeight="1">
      <c r="A27" s="16" t="s">
        <v>334</v>
      </c>
      <c r="B27" s="14" t="s">
        <v>339</v>
      </c>
      <c r="C27" s="83">
        <v>2.1800000000000002</v>
      </c>
      <c r="D27" s="83">
        <v>2.4</v>
      </c>
      <c r="E27" s="83" cm="1">
        <f t="array" ref="E27">D27-_xlfn.SINGLE(C2:C104)</f>
        <v>0.21999999999999975</v>
      </c>
      <c r="F27" s="31" cm="1">
        <f t="array" ref="F27">IF(D27=0,"",(D27-C27)/C27)</f>
        <v>0.10091743119266043</v>
      </c>
      <c r="G27" s="32">
        <v>3240</v>
      </c>
      <c r="H27" s="10">
        <v>1</v>
      </c>
      <c r="I27" s="83" cm="1">
        <f t="array" ref="I27">(G27*C27)*0.000425</f>
        <v>3.0018600000000002</v>
      </c>
      <c r="J27" s="83" cm="1">
        <f t="array" ref="J27">(D27*G27)*0.000425</f>
        <v>3.3047999999999997</v>
      </c>
      <c r="K27" s="84" cm="1">
        <f t="array" ref="K27">(I27+J27)*1.05</f>
        <v>6.6219929999999998</v>
      </c>
      <c r="L27" s="84" cm="1">
        <f t="array" ref="L27">IF(D27=0,0,(D27-C27)*G27)</f>
        <v>712.79999999999916</v>
      </c>
      <c r="M27" s="45" t="s">
        <v>13</v>
      </c>
      <c r="N27" s="34" cm="1">
        <f t="array" ref="N27">IFERROR((K27-J27)/J27,"–")</f>
        <v>1.0037500000000001</v>
      </c>
      <c r="O27" s="84" cm="1">
        <f t="array" ref="O27">IF(D27=0,0,L27-K27)</f>
        <v>706.17800699999918</v>
      </c>
      <c r="P27" s="85"/>
    </row>
    <row r="28" spans="1:16" ht="22.5" customHeight="1">
      <c r="A28" s="16" t="s">
        <v>334</v>
      </c>
      <c r="B28" s="44" t="s">
        <v>339</v>
      </c>
      <c r="C28" s="80">
        <v>2.11</v>
      </c>
      <c r="D28" s="80">
        <v>2.4</v>
      </c>
      <c r="E28" s="80" cm="1">
        <f t="array" ref="E28">D28-_xlfn.SINGLE(C2:C104)</f>
        <v>0.29000000000000004</v>
      </c>
      <c r="F28" s="20" cm="1">
        <f t="array" ref="F28">IF(D28=0,"",(D28-C28)/C28)</f>
        <v>0.13744075829383889</v>
      </c>
      <c r="G28" s="21">
        <v>3700</v>
      </c>
      <c r="H28" s="22">
        <v>1</v>
      </c>
      <c r="I28" s="80" cm="1">
        <f t="array" ref="I28">(G28*C28)*0.000425</f>
        <v>3.3179749999999992</v>
      </c>
      <c r="J28" s="80" cm="1">
        <f t="array" ref="J28">(D28*G28)*0.000425</f>
        <v>3.7739999999999996</v>
      </c>
      <c r="K28" s="81" cm="1">
        <f t="array" ref="K28">(I28+J28)*1.05</f>
        <v>7.4465737499999989</v>
      </c>
      <c r="L28" s="81" cm="1">
        <f t="array" ref="L28">IF(D28=0,0,(D28-C28)*G28)</f>
        <v>1073.0000000000002</v>
      </c>
      <c r="M28" s="46" t="s">
        <v>13</v>
      </c>
      <c r="N28" s="26" cm="1">
        <f t="array" ref="N28">IFERROR((K28-J28)/J28,"–")</f>
        <v>0.97312499999999991</v>
      </c>
      <c r="O28" s="81" cm="1">
        <f t="array" ref="O28">IF(D28=0,0,L28-K28)</f>
        <v>1065.5534262500003</v>
      </c>
      <c r="P28" s="82"/>
    </row>
    <row r="29" spans="1:16" ht="22.5" customHeight="1">
      <c r="A29" s="16" t="s">
        <v>334</v>
      </c>
      <c r="B29" s="14" t="s">
        <v>340</v>
      </c>
      <c r="C29" s="83">
        <v>2.44</v>
      </c>
      <c r="D29" s="83">
        <v>2.4500000000000002</v>
      </c>
      <c r="E29" s="83" cm="1">
        <f t="array" ref="E29">D29-_xlfn.SINGLE(C2:C104)</f>
        <v>1.0000000000000231E-2</v>
      </c>
      <c r="F29" s="31" cm="1">
        <f t="array" ref="F29">IF(D29=0,"",(D29-C29)/C29)</f>
        <v>4.0983606557377997E-3</v>
      </c>
      <c r="G29" s="32">
        <v>6860</v>
      </c>
      <c r="H29" s="10">
        <v>1</v>
      </c>
      <c r="I29" s="83" cm="1">
        <f t="array" ref="I29">(G29*C29)*0.000425</f>
        <v>7.1138199999999987</v>
      </c>
      <c r="J29" s="83" cm="1">
        <f t="array" ref="J29">(D29*G29)*0.000425</f>
        <v>7.1429749999999999</v>
      </c>
      <c r="K29" s="84" cm="1">
        <f t="array" ref="K29">(I29+J29)*1.05</f>
        <v>14.969634749999999</v>
      </c>
      <c r="L29" s="84" cm="1">
        <f t="array" ref="L29">IF(D29=0,0,(D29-C29)*G29)</f>
        <v>68.600000000001586</v>
      </c>
      <c r="M29" s="45" t="s">
        <v>13</v>
      </c>
      <c r="N29" s="34" cm="1">
        <f t="array" ref="N29">IFERROR((K29-J29)/J29,"–")</f>
        <v>1.0957142857142856</v>
      </c>
      <c r="O29" s="84" cm="1">
        <f t="array" ref="O29">IF(D29=0,0,L29-K29)</f>
        <v>53.630365250001589</v>
      </c>
      <c r="P29" s="85"/>
    </row>
    <row r="30" spans="1:16" ht="22.5" customHeight="1">
      <c r="A30" s="16" t="s">
        <v>330</v>
      </c>
      <c r="B30" s="44" t="s">
        <v>341</v>
      </c>
      <c r="C30" s="80">
        <v>17.13</v>
      </c>
      <c r="D30" s="80">
        <v>17.059999999999999</v>
      </c>
      <c r="E30" s="80" cm="1">
        <f t="array" ref="E30">D30-_xlfn.SINGLE(C2:C104)</f>
        <v>-7.0000000000000284E-2</v>
      </c>
      <c r="F30" s="20" cm="1">
        <f t="array" ref="F30">IF(D30=0,"",(D30-C30)/C30)</f>
        <v>-4.0863981319322991E-3</v>
      </c>
      <c r="G30" s="21">
        <v>1000</v>
      </c>
      <c r="H30" s="22">
        <v>1</v>
      </c>
      <c r="I30" s="80" cm="1">
        <f t="array" ref="I30">(G30*C30)*0.000425</f>
        <v>7.2802499999999997</v>
      </c>
      <c r="J30" s="80" cm="1">
        <f t="array" ref="J30">(D30*G30)*0.000425</f>
        <v>7.2504999999999997</v>
      </c>
      <c r="K30" s="81" cm="1">
        <f t="array" ref="K30">(I30+J30)*1.05</f>
        <v>15.2572875</v>
      </c>
      <c r="L30" s="81" cm="1">
        <f t="array" ref="L30">IF(D30=0,0,(D30-C30)*G30)</f>
        <v>-70.000000000000284</v>
      </c>
      <c r="M30" s="46" t="s">
        <v>13</v>
      </c>
      <c r="N30" s="26" cm="1">
        <f t="array" ref="N30">IFERROR((K30-J30)/J30,"–")</f>
        <v>1.1043083235638924</v>
      </c>
      <c r="O30" s="81" cm="1">
        <f t="array" ref="O30">IF(D30=0,0,L30-K30)</f>
        <v>-85.257287500000288</v>
      </c>
      <c r="P30" s="82"/>
    </row>
    <row r="31" spans="1:16" ht="22.5" customHeight="1">
      <c r="A31" s="16" t="s">
        <v>330</v>
      </c>
      <c r="B31" s="14" t="s">
        <v>341</v>
      </c>
      <c r="C31" s="83">
        <v>17.05</v>
      </c>
      <c r="D31" s="83">
        <v>17.13</v>
      </c>
      <c r="E31" s="83" cm="1">
        <f t="array" ref="E31">D31-_xlfn.SINGLE(C2:C104)</f>
        <v>7.9999999999998295E-2</v>
      </c>
      <c r="F31" s="31" cm="1">
        <f t="array" ref="F31">IF(D31=0,"",(D31-C31)/C31)</f>
        <v>4.6920821114368495E-3</v>
      </c>
      <c r="G31" s="32">
        <v>1100</v>
      </c>
      <c r="H31" s="10">
        <v>1</v>
      </c>
      <c r="I31" s="83" cm="1">
        <f t="array" ref="I31">(G31*C31)*0.000425</f>
        <v>7.9708749999999995</v>
      </c>
      <c r="J31" s="83" cm="1">
        <f t="array" ref="J31">(D31*G31)*0.000425</f>
        <v>8.0082749999999994</v>
      </c>
      <c r="K31" s="84" cm="1">
        <f t="array" ref="K31">(I31+J31)*1.05</f>
        <v>16.778107500000001</v>
      </c>
      <c r="L31" s="84" cm="1">
        <f t="array" ref="L31">IF(D31=0,0,(D31-C31)*G31)</f>
        <v>87.999999999998124</v>
      </c>
      <c r="M31" s="45" t="s">
        <v>13</v>
      </c>
      <c r="N31" s="34" cm="1">
        <f t="array" ref="N31">IFERROR((K31-J31)/J31,"–")</f>
        <v>1.0950963222416816</v>
      </c>
      <c r="O31" s="84" cm="1">
        <f t="array" ref="O31">IF(D31=0,0,L31-K31)</f>
        <v>71.22189249999812</v>
      </c>
      <c r="P31" s="15"/>
    </row>
    <row r="32" spans="1:16" ht="22.5" customHeight="1">
      <c r="A32" s="16" t="s">
        <v>342</v>
      </c>
      <c r="B32" s="44" t="s">
        <v>343</v>
      </c>
      <c r="C32" s="80">
        <v>6.18</v>
      </c>
      <c r="D32" s="80">
        <v>6.39</v>
      </c>
      <c r="E32" s="80" cm="1">
        <f t="array" ref="E32">D32-_xlfn.SINGLE(C2:C104)</f>
        <v>0.20999999999999996</v>
      </c>
      <c r="F32" s="20" cm="1">
        <f t="array" ref="F32">IF(D32=0,"",(D32-C32)/C32)</f>
        <v>3.3980582524271843E-2</v>
      </c>
      <c r="G32" s="21">
        <v>2000</v>
      </c>
      <c r="H32" s="22">
        <v>1</v>
      </c>
      <c r="I32" s="80" cm="1">
        <f t="array" ref="I32">(G32*C32)*0.000425</f>
        <v>5.2530000000000001</v>
      </c>
      <c r="J32" s="80" cm="1">
        <f t="array" ref="J32">(D32*G32)*0.000425</f>
        <v>5.4314999999999998</v>
      </c>
      <c r="K32" s="81" cm="1">
        <f t="array" ref="K32">(I32+J32)*1.05</f>
        <v>11.218725000000001</v>
      </c>
      <c r="L32" s="81" cm="1">
        <f t="array" ref="L32">IF(D32=0,0,(D32-C32)*G32)</f>
        <v>419.99999999999994</v>
      </c>
      <c r="M32" s="46" t="s">
        <v>13</v>
      </c>
      <c r="N32" s="26" cm="1">
        <f t="array" ref="N32">IFERROR((K32-J32)/J32,"–")</f>
        <v>1.0654929577464791</v>
      </c>
      <c r="O32" s="81" cm="1">
        <f t="array" ref="O32">IF(D32=0,0,L32-K32)</f>
        <v>408.78127499999994</v>
      </c>
      <c r="P32" s="82"/>
    </row>
    <row r="33" spans="1:16" ht="22.5" customHeight="1">
      <c r="A33" s="16" t="s">
        <v>344</v>
      </c>
      <c r="B33" s="14" t="s">
        <v>345</v>
      </c>
      <c r="C33" s="83">
        <v>14.92</v>
      </c>
      <c r="D33" s="83">
        <v>14.97</v>
      </c>
      <c r="E33" s="83" cm="1">
        <f t="array" ref="E33">D33-_xlfn.SINGLE(C2:C104)</f>
        <v>5.0000000000000711E-2</v>
      </c>
      <c r="F33" s="31" cm="1">
        <f t="array" ref="F33">IF(D33=0,"",(D33-C33)/C33)</f>
        <v>3.3512064343164017E-3</v>
      </c>
      <c r="G33" s="32">
        <v>600</v>
      </c>
      <c r="H33" s="10">
        <v>1</v>
      </c>
      <c r="I33" s="83" cm="1">
        <f t="array" ref="I33">(G33*C33)*0.000425</f>
        <v>3.8045999999999998</v>
      </c>
      <c r="J33" s="83" cm="1">
        <f t="array" ref="J33">(D33*G33)*0.000425</f>
        <v>3.8173499999999998</v>
      </c>
      <c r="K33" s="84" cm="1">
        <f t="array" ref="K33">(I33+J33)*1.05</f>
        <v>8.003047500000001</v>
      </c>
      <c r="L33" s="84" cm="1">
        <f t="array" ref="L33">IF(D33=0,0,(D33-C33)*G33)</f>
        <v>30.000000000000426</v>
      </c>
      <c r="M33" s="45" t="s">
        <v>13</v>
      </c>
      <c r="N33" s="34" cm="1">
        <f t="array" ref="N33">IFERROR((K33-J33)/J33,"–")</f>
        <v>1.0964929859719443</v>
      </c>
      <c r="O33" s="84" cm="1">
        <f t="array" ref="O33">IF(D33=0,0,L33-K33)</f>
        <v>21.996952500000425</v>
      </c>
      <c r="P33" s="85"/>
    </row>
    <row r="34" spans="1:16" ht="22.5" customHeight="1">
      <c r="A34" s="16" t="s">
        <v>344</v>
      </c>
      <c r="B34" s="44" t="s">
        <v>346</v>
      </c>
      <c r="C34" s="80">
        <v>15.32</v>
      </c>
      <c r="D34" s="80">
        <v>14.97</v>
      </c>
      <c r="E34" s="80" cm="1">
        <f t="array" ref="E34">D34-_xlfn.SINGLE(C2:C104)</f>
        <v>-0.34999999999999964</v>
      </c>
      <c r="F34" s="20" cm="1">
        <f t="array" ref="F34">IF(D34=0,"",(D34-C34)/C34)</f>
        <v>-2.2845953002610941E-2</v>
      </c>
      <c r="G34" s="21">
        <v>100</v>
      </c>
      <c r="H34" s="22">
        <v>1</v>
      </c>
      <c r="I34" s="80" cm="1">
        <f t="array" ref="I34">(G34*C34)*0.000425</f>
        <v>0.65110000000000001</v>
      </c>
      <c r="J34" s="80" cm="1">
        <f t="array" ref="J34">(D34*G34)*0.000425</f>
        <v>0.63622499999999993</v>
      </c>
      <c r="K34" s="81" cm="1">
        <f t="array" ref="K34">(I34+J34)*1.05</f>
        <v>1.35169125</v>
      </c>
      <c r="L34" s="81" cm="1">
        <f t="array" ref="L34">IF(D34=0,0,(D34-C34)*G34)</f>
        <v>-34.999999999999964</v>
      </c>
      <c r="M34" s="46" t="s">
        <v>13</v>
      </c>
      <c r="N34" s="26" cm="1">
        <f t="array" ref="N34">IFERROR((K34-J34)/J34,"–")</f>
        <v>1.124549098196393</v>
      </c>
      <c r="O34" s="81" cm="1">
        <f t="array" ref="O34">IF(D34=0,0,L34-K34)</f>
        <v>-36.351691249999966</v>
      </c>
      <c r="P34" s="82"/>
    </row>
    <row r="35" spans="1:16" ht="22.5" customHeight="1">
      <c r="A35" s="16" t="s">
        <v>347</v>
      </c>
      <c r="B35" s="14" t="s">
        <v>346</v>
      </c>
      <c r="C35" s="83">
        <v>3.59</v>
      </c>
      <c r="D35" s="83">
        <v>3.66</v>
      </c>
      <c r="E35" s="83" cm="1">
        <f t="array" ref="E35">D35-_xlfn.SINGLE(C2:C104)</f>
        <v>7.0000000000000284E-2</v>
      </c>
      <c r="F35" s="31" cm="1">
        <f t="array" ref="F35">IF(D35=0,"",(D35-C35)/C35)</f>
        <v>1.9498607242339913E-2</v>
      </c>
      <c r="G35" s="32">
        <v>3200</v>
      </c>
      <c r="H35" s="10">
        <v>1</v>
      </c>
      <c r="I35" s="83" cm="1">
        <f t="array" ref="I35">(G35*C35)*0.000425</f>
        <v>4.8823999999999996</v>
      </c>
      <c r="J35" s="83" cm="1">
        <f t="array" ref="J35">(D35*G35)*0.000425</f>
        <v>4.9775999999999998</v>
      </c>
      <c r="K35" s="84" cm="1">
        <f t="array" ref="K35">(I35+J35)*1.05</f>
        <v>10.353</v>
      </c>
      <c r="L35" s="84" cm="1">
        <f t="array" ref="L35">IF(D35=0,0,(D35-C35)*G35)</f>
        <v>224.00000000000091</v>
      </c>
      <c r="M35" s="45" t="s">
        <v>13</v>
      </c>
      <c r="N35" s="34" cm="1">
        <f t="array" ref="N35">IFERROR((K35-J35)/J35,"–")</f>
        <v>1.0799180327868854</v>
      </c>
      <c r="O35" s="84" cm="1">
        <f t="array" ref="O35">IF(D35=0,0,L35-K35)</f>
        <v>213.6470000000009</v>
      </c>
      <c r="P35" s="15"/>
    </row>
    <row r="36" spans="1:16" ht="22.5" customHeight="1">
      <c r="A36" s="16" t="s">
        <v>348</v>
      </c>
      <c r="B36" s="44" t="s">
        <v>346</v>
      </c>
      <c r="C36" s="80">
        <v>39.840000000000003</v>
      </c>
      <c r="D36" s="80">
        <v>39.4</v>
      </c>
      <c r="E36" s="80" cm="1">
        <f t="array" ref="E36">D36-_xlfn.SINGLE(C2:C104)</f>
        <v>-0.44000000000000483</v>
      </c>
      <c r="F36" s="20" cm="1">
        <f t="array" ref="F36">IF(D36=0,"",(D36-C36)/C36)</f>
        <v>-1.1044176706827429E-2</v>
      </c>
      <c r="G36" s="21">
        <v>298</v>
      </c>
      <c r="H36" s="22">
        <v>1</v>
      </c>
      <c r="I36" s="80" cm="1">
        <f t="array" ref="I36">(G36*C36)*0.000425</f>
        <v>5.0457360000000007</v>
      </c>
      <c r="J36" s="80" cm="1">
        <f t="array" ref="J36">(D36*G36)*0.000425</f>
        <v>4.9900099999999989</v>
      </c>
      <c r="K36" s="81" cm="1">
        <f t="array" ref="K36">(I36+J36)*1.05</f>
        <v>10.5375333</v>
      </c>
      <c r="L36" s="81" cm="1">
        <f t="array" ref="L36">IF(D36=0,0,(D36-C36)*G36)</f>
        <v>-131.12000000000143</v>
      </c>
      <c r="M36" s="46" t="s">
        <v>13</v>
      </c>
      <c r="N36" s="26" cm="1">
        <f t="array" ref="N36">IFERROR((K36-J36)/J36,"–")</f>
        <v>1.1117258883248735</v>
      </c>
      <c r="O36" s="81" cm="1">
        <f t="array" ref="O36">IF(D36=0,0,L36-K36)</f>
        <v>-141.65753330000143</v>
      </c>
      <c r="P36" s="82"/>
    </row>
    <row r="37" spans="1:16" ht="22.5" customHeight="1">
      <c r="A37" s="16" t="s">
        <v>349</v>
      </c>
      <c r="B37" s="14" t="s">
        <v>345</v>
      </c>
      <c r="C37" s="83">
        <v>8.09</v>
      </c>
      <c r="D37" s="83">
        <v>8.06</v>
      </c>
      <c r="E37" s="83" cm="1">
        <f t="array" ref="E37">D37-_xlfn.SINGLE(C2:C104)</f>
        <v>-2.9999999999999361E-2</v>
      </c>
      <c r="F37" s="31" cm="1">
        <f t="array" ref="F37">IF(D37=0,"",(D37-C37)/C37)</f>
        <v>-3.708281829418957E-3</v>
      </c>
      <c r="G37" s="32">
        <v>1000</v>
      </c>
      <c r="H37" s="10">
        <v>1</v>
      </c>
      <c r="I37" s="83" cm="1">
        <f t="array" ref="I37">(G37*C37)*0.000425</f>
        <v>3.43825</v>
      </c>
      <c r="J37" s="83" cm="1">
        <f t="array" ref="J37">(D37*G37)*0.000425</f>
        <v>3.4255</v>
      </c>
      <c r="K37" s="84" cm="1">
        <f t="array" ref="K37">(I37+J37)*1.05</f>
        <v>7.2069374999999996</v>
      </c>
      <c r="L37" s="84" cm="1">
        <f t="array" ref="L37">IF(D37=0,0,(D37-C37)*G37)</f>
        <v>-29.999999999999361</v>
      </c>
      <c r="M37" s="45" t="s">
        <v>13</v>
      </c>
      <c r="N37" s="34" cm="1">
        <f t="array" ref="N37">IFERROR((K37-J37)/J37,"–")</f>
        <v>1.1039081885856079</v>
      </c>
      <c r="O37" s="84" cm="1">
        <f t="array" ref="O37">IF(D37=0,0,L37-K37)</f>
        <v>-37.206937499999363</v>
      </c>
      <c r="P37" s="15"/>
    </row>
    <row r="38" spans="1:16" ht="22.5" customHeight="1">
      <c r="A38" s="16" t="s">
        <v>334</v>
      </c>
      <c r="B38" s="44" t="s">
        <v>346</v>
      </c>
      <c r="C38" s="80">
        <v>2.4300000000000002</v>
      </c>
      <c r="D38" s="80">
        <v>2.4</v>
      </c>
      <c r="E38" s="80" cm="1">
        <f t="array" ref="E38">D38-_xlfn.SINGLE(C2:C104)</f>
        <v>-3.0000000000000249E-2</v>
      </c>
      <c r="F38" s="20" cm="1">
        <f t="array" ref="F38">IF(D38=0,"",(D38-C38)/C38)</f>
        <v>-1.2345679012345781E-2</v>
      </c>
      <c r="G38" s="21">
        <v>5000</v>
      </c>
      <c r="H38" s="22">
        <v>1</v>
      </c>
      <c r="I38" s="80" cm="1">
        <f t="array" ref="I38">(G38*C38)*0.000425</f>
        <v>5.1637499999999994</v>
      </c>
      <c r="J38" s="80" cm="1">
        <f t="array" ref="J38">(D38*G38)*0.000425</f>
        <v>5.0999999999999996</v>
      </c>
      <c r="K38" s="81" cm="1">
        <f t="array" ref="K38">(I38+J38)*1.05</f>
        <v>10.776937499999999</v>
      </c>
      <c r="L38" s="81" cm="1">
        <f t="array" ref="L38">IF(D38=0,0,(D38-C38)*G38)</f>
        <v>-150.00000000000125</v>
      </c>
      <c r="M38" s="46" t="s">
        <v>13</v>
      </c>
      <c r="N38" s="26" cm="1">
        <f t="array" ref="N38">IFERROR((K38-J38)/J38,"–")</f>
        <v>1.1131249999999999</v>
      </c>
      <c r="O38" s="81" cm="1">
        <f t="array" ref="O38">IF(D38=0,0,L38-K38)</f>
        <v>-160.77693750000125</v>
      </c>
      <c r="P38" s="82"/>
    </row>
    <row r="39" spans="1:16" ht="22.5" customHeight="1">
      <c r="A39" s="16" t="s">
        <v>334</v>
      </c>
      <c r="B39" s="14" t="s">
        <v>350</v>
      </c>
      <c r="C39" s="83">
        <v>2.4300000000000002</v>
      </c>
      <c r="D39" s="83">
        <v>2.38</v>
      </c>
      <c r="E39" s="83" cm="1">
        <f t="array" ref="E39">D39-_xlfn.SINGLE(C2:C104)</f>
        <v>-5.0000000000000266E-2</v>
      </c>
      <c r="F39" s="31" cm="1">
        <f t="array" ref="F39">IF(D39=0,"",(D39-C39)/C39)</f>
        <v>-2.0576131687242906E-2</v>
      </c>
      <c r="G39" s="32">
        <v>5000</v>
      </c>
      <c r="H39" s="10">
        <v>1</v>
      </c>
      <c r="I39" s="83" cm="1">
        <f t="array" ref="I39">(G39*C39)*0.000425</f>
        <v>5.1637499999999994</v>
      </c>
      <c r="J39" s="83" cm="1">
        <f t="array" ref="J39">(D39*G39)*0.000425</f>
        <v>5.0575000000000001</v>
      </c>
      <c r="K39" s="84" cm="1">
        <f t="array" ref="K39">(I39+J39)*1.05</f>
        <v>10.732312500000001</v>
      </c>
      <c r="L39" s="84" cm="1">
        <f t="array" ref="L39">IF(D39=0,0,(D39-C39)*G39)</f>
        <v>-250.00000000000134</v>
      </c>
      <c r="M39" s="45" t="s">
        <v>13</v>
      </c>
      <c r="N39" s="34" cm="1">
        <f t="array" ref="N39">IFERROR((K39-J39)/J39,"–")</f>
        <v>1.1220588235294118</v>
      </c>
      <c r="O39" s="84" cm="1">
        <f t="array" ref="O39">IF(D39=0,0,L39-K39)</f>
        <v>-260.73231250000134</v>
      </c>
      <c r="P39" s="50"/>
    </row>
    <row r="40" spans="1:16" ht="22.5" customHeight="1">
      <c r="A40" s="16" t="s">
        <v>334</v>
      </c>
      <c r="B40" s="44" t="s">
        <v>350</v>
      </c>
      <c r="C40" s="80">
        <v>2.41</v>
      </c>
      <c r="D40" s="80">
        <v>2.37</v>
      </c>
      <c r="E40" s="80" cm="1">
        <f t="array" ref="E40">D40-_xlfn.SINGLE(C2:C104)</f>
        <v>-4.0000000000000036E-2</v>
      </c>
      <c r="F40" s="20" cm="1">
        <f t="array" ref="F40">IF(D40=0,"",(D40-C40)/C40)</f>
        <v>-1.6597510373443997E-2</v>
      </c>
      <c r="G40" s="21">
        <v>4200</v>
      </c>
      <c r="H40" s="22">
        <v>1</v>
      </c>
      <c r="I40" s="80" cm="1">
        <f t="array" ref="I40">(G40*C40)*0.000425</f>
        <v>4.30185</v>
      </c>
      <c r="J40" s="80" cm="1">
        <f t="array" ref="J40">(D40*G40)*0.000425</f>
        <v>4.2304499999999994</v>
      </c>
      <c r="K40" s="81" cm="1">
        <f t="array" ref="K40">(I40+J40)*1.05</f>
        <v>8.9589149999999993</v>
      </c>
      <c r="L40" s="81" cm="1">
        <f t="array" ref="L40">IF(D40=0,0,(D40-C40)*G40)</f>
        <v>-168.00000000000014</v>
      </c>
      <c r="M40" s="46" t="s">
        <v>13</v>
      </c>
      <c r="N40" s="26" cm="1">
        <f t="array" ref="N40">IFERROR((K40-J40)/J40,"–")</f>
        <v>1.117721518987342</v>
      </c>
      <c r="O40" s="81" cm="1">
        <f t="array" ref="O40">IF(D40=0,0,L40-K40)</f>
        <v>-176.95891500000013</v>
      </c>
      <c r="P40" s="51"/>
    </row>
    <row r="41" spans="1:16" ht="22.5" customHeight="1">
      <c r="A41" s="7"/>
      <c r="B41" s="8"/>
      <c r="C41" s="83"/>
      <c r="D41" s="83"/>
      <c r="E41" s="83" cm="1">
        <f t="array" ref="E41">D41-_xlfn.SINGLE(C2:C104)</f>
        <v>0</v>
      </c>
      <c r="F41" s="8" t="str" cm="1">
        <f t="array" ref="F41">IF(D41=0,"",(D41-C41)/C41)</f>
        <v/>
      </c>
      <c r="G41" s="8"/>
      <c r="H41" s="10">
        <v>1</v>
      </c>
      <c r="I41" s="83" cm="1">
        <f t="array" ref="I41">(G41*C41)*0.000425</f>
        <v>0</v>
      </c>
      <c r="J41" s="83" cm="1">
        <f t="array" ref="J41">(D41*G41)*0.000425</f>
        <v>0</v>
      </c>
      <c r="K41" s="84" cm="1">
        <f t="array" ref="K41">(I41+J41)*1.05</f>
        <v>0</v>
      </c>
      <c r="L41" s="84" cm="1">
        <f t="array" ref="L41">IF(D41=0,0,(D41-C41)*G41)</f>
        <v>0</v>
      </c>
      <c r="M41" s="45" t="s">
        <v>13</v>
      </c>
      <c r="N41" s="13" t="str" cm="1">
        <f t="array" ref="N41">IFERROR((K41-J41)/J41,"–")</f>
        <v>–</v>
      </c>
      <c r="O41" s="84" cm="1">
        <f t="array" ref="O41">IF(D41=0,0,L41-K41)</f>
        <v>0</v>
      </c>
      <c r="P41" s="93" cm="1">
        <f t="array" ref="P41">SUM(O22:O40)</f>
        <v>1121.8991674499969</v>
      </c>
    </row>
    <row r="42" spans="1:16" ht="22.5" customHeight="1">
      <c r="A42" s="7"/>
      <c r="B42" s="40"/>
      <c r="C42" s="80"/>
      <c r="D42" s="80"/>
      <c r="E42" s="80" cm="1">
        <f t="array" ref="E42">D42-_xlfn.SINGLE(C2:C104)</f>
        <v>0</v>
      </c>
      <c r="F42" s="40" t="str" cm="1">
        <f t="array" ref="F42">IF(D42=0,"",(D42-C42)/C42)</f>
        <v/>
      </c>
      <c r="G42" s="40"/>
      <c r="H42" s="22">
        <v>1</v>
      </c>
      <c r="I42" s="80" cm="1">
        <f t="array" ref="I42">(G42*C42)*0.000425</f>
        <v>0</v>
      </c>
      <c r="J42" s="80" cm="1">
        <f t="array" ref="J42">(D42*G42)*0.000425</f>
        <v>0</v>
      </c>
      <c r="K42" s="81" cm="1">
        <f t="array" ref="K42">(I42+J42)*1.05</f>
        <v>0</v>
      </c>
      <c r="L42" s="81" cm="1">
        <f t="array" ref="L42">IF(D42=0,0,(D42-C42)*G42)</f>
        <v>0</v>
      </c>
      <c r="M42" s="46" t="s">
        <v>13</v>
      </c>
      <c r="N42" s="47" t="str" cm="1">
        <f t="array" ref="N42">IFERROR((K42-J42)/J42,"–")</f>
        <v>–</v>
      </c>
      <c r="O42" s="81" cm="1">
        <f t="array" ref="O42">IF(D42=0,0,L42-K42)</f>
        <v>0</v>
      </c>
      <c r="P42" s="58" t="s">
        <v>351</v>
      </c>
    </row>
    <row r="43" spans="1:16" ht="22.5" customHeight="1">
      <c r="A43" s="16" t="s">
        <v>352</v>
      </c>
      <c r="B43" s="14" t="s">
        <v>353</v>
      </c>
      <c r="C43" s="83">
        <v>5.39</v>
      </c>
      <c r="D43" s="83">
        <v>5.82</v>
      </c>
      <c r="E43" s="83" cm="1">
        <f t="array" ref="E43">D43-_xlfn.SINGLE(C2:C104)</f>
        <v>0.4300000000000006</v>
      </c>
      <c r="F43" s="31" cm="1">
        <f t="array" ref="F43">IF(D43=0,"",(D43-C43)/C43)</f>
        <v>7.977736549165132E-2</v>
      </c>
      <c r="G43" s="32">
        <v>2000</v>
      </c>
      <c r="H43" s="10">
        <v>1</v>
      </c>
      <c r="I43" s="83" cm="1">
        <f t="array" ref="I43">(G43*C43)*0.000425</f>
        <v>4.5815000000000001</v>
      </c>
      <c r="J43" s="83" cm="1">
        <f t="array" ref="J43">(D43*G43)*0.000425</f>
        <v>4.9470000000000001</v>
      </c>
      <c r="K43" s="84" cm="1">
        <f t="array" ref="K43">(I43+J43)*1.05</f>
        <v>10.004925000000002</v>
      </c>
      <c r="L43" s="84" cm="1">
        <f t="array" ref="L43">IF(D43=0,0,(D43-C43)*G43)</f>
        <v>860.00000000000125</v>
      </c>
      <c r="M43" s="45" t="s">
        <v>13</v>
      </c>
      <c r="N43" s="34" cm="1">
        <f t="array" ref="N43">IFERROR((K43-J43)/J43,"–")</f>
        <v>1.0224226804123715</v>
      </c>
      <c r="O43" s="84" cm="1">
        <f t="array" ref="O43">IF(D43=0,0,L43-K43)</f>
        <v>849.99507500000129</v>
      </c>
      <c r="P43" s="50"/>
    </row>
    <row r="44" spans="1:16" ht="22.5" customHeight="1">
      <c r="A44" s="16" t="s">
        <v>352</v>
      </c>
      <c r="B44" s="44" t="s">
        <v>354</v>
      </c>
      <c r="C44" s="80">
        <v>5.53</v>
      </c>
      <c r="D44" s="80">
        <v>5.67</v>
      </c>
      <c r="E44" s="80" cm="1">
        <f t="array" ref="E44">D44-_xlfn.SINGLE(C2:C104)</f>
        <v>0.13999999999999968</v>
      </c>
      <c r="F44" s="20" cm="1">
        <f t="array" ref="F44">IF(D44=0,"",(D44-C44)/C44)</f>
        <v>2.5316455696202472E-2</v>
      </c>
      <c r="G44" s="21">
        <v>1985</v>
      </c>
      <c r="H44" s="22">
        <v>1</v>
      </c>
      <c r="I44" s="80" cm="1">
        <f t="array" ref="I44">(G44*C44)*0.000425</f>
        <v>4.66524625</v>
      </c>
      <c r="J44" s="80" cm="1">
        <f t="array" ref="J44">(D44*G44)*0.000425</f>
        <v>4.7833537499999998</v>
      </c>
      <c r="K44" s="81" cm="1">
        <f t="array" ref="K44">(I44+J44)*1.05</f>
        <v>9.92103</v>
      </c>
      <c r="L44" s="81" cm="1">
        <f t="array" ref="L44">IF(D44=0,0,(D44-C44)*G44)</f>
        <v>277.89999999999935</v>
      </c>
      <c r="M44" s="46" t="s">
        <v>13</v>
      </c>
      <c r="N44" s="26" cm="1">
        <f t="array" ref="N44">IFERROR((K44-J44)/J44,"–")</f>
        <v>1.0740740740740742</v>
      </c>
      <c r="O44" s="81" cm="1">
        <f t="array" ref="O44">IF(D44=0,0,L44-K44)</f>
        <v>267.97896999999938</v>
      </c>
      <c r="P44" s="51"/>
    </row>
    <row r="45" spans="1:16" ht="22.5" customHeight="1">
      <c r="A45" s="16" t="s">
        <v>352</v>
      </c>
      <c r="B45" s="14" t="s">
        <v>355</v>
      </c>
      <c r="C45" s="83">
        <v>5.48</v>
      </c>
      <c r="D45" s="83">
        <v>5.67</v>
      </c>
      <c r="E45" s="83" cm="1">
        <f t="array" ref="E45">D45-_xlfn.SINGLE(C2:C104)</f>
        <v>0.1899999999999995</v>
      </c>
      <c r="F45" s="31" cm="1">
        <f t="array" ref="F45">IF(D45=0,"",(D45-C45)/C45)</f>
        <v>3.4671532846715238E-2</v>
      </c>
      <c r="G45" s="32">
        <v>553</v>
      </c>
      <c r="H45" s="10">
        <v>1</v>
      </c>
      <c r="I45" s="83" cm="1">
        <f t="array" ref="I45">(G45*C45)*0.000425</f>
        <v>1.2879369999999999</v>
      </c>
      <c r="J45" s="83" cm="1">
        <f t="array" ref="J45">(D45*G45)*0.000425</f>
        <v>1.3325917499999997</v>
      </c>
      <c r="K45" s="84" cm="1">
        <f t="array" ref="K45">(I45+J45)*1.05</f>
        <v>2.7515551874999997</v>
      </c>
      <c r="L45" s="84" cm="1">
        <f t="array" ref="L45">IF(D45=0,0,(D45-C45)*G45)</f>
        <v>105.06999999999972</v>
      </c>
      <c r="M45" s="45" t="s">
        <v>13</v>
      </c>
      <c r="N45" s="34" cm="1">
        <f t="array" ref="N45">IFERROR((K45-J45)/J45,"–")</f>
        <v>1.0648148148148151</v>
      </c>
      <c r="O45" s="84" cm="1">
        <f t="array" ref="O45">IF(D45=0,0,L45-K45)</f>
        <v>102.31844481249972</v>
      </c>
      <c r="P45" s="85"/>
    </row>
    <row r="46" spans="1:16" ht="22.5" customHeight="1">
      <c r="A46" s="16" t="s">
        <v>330</v>
      </c>
      <c r="B46" s="44" t="s">
        <v>356</v>
      </c>
      <c r="C46" s="80">
        <v>20.98</v>
      </c>
      <c r="D46" s="80">
        <v>20.8</v>
      </c>
      <c r="E46" s="80" cm="1">
        <f t="array" ref="E46">D46-_xlfn.SINGLE(C2:C104)</f>
        <v>-0.17999999999999972</v>
      </c>
      <c r="F46" s="20" cm="1">
        <f t="array" ref="F46">IF(D46=0,"",(D46-C46)/C46)</f>
        <v>-8.5795996186844477E-3</v>
      </c>
      <c r="G46" s="21">
        <v>686</v>
      </c>
      <c r="H46" s="22">
        <v>1</v>
      </c>
      <c r="I46" s="80" cm="1">
        <f t="array" ref="I46">(G46*C46)*0.000425</f>
        <v>6.1167189999999998</v>
      </c>
      <c r="J46" s="80" cm="1">
        <f t="array" ref="J46">(D46*G46)*0.000425</f>
        <v>6.0642399999999999</v>
      </c>
      <c r="K46" s="81" cm="1">
        <f t="array" ref="K46">(I46+J46)*1.05</f>
        <v>12.79000695</v>
      </c>
      <c r="L46" s="81" cm="1">
        <f t="array" ref="L46">IF(D46=0,0,(D46-C46)*G46)</f>
        <v>-123.47999999999981</v>
      </c>
      <c r="M46" s="46" t="s">
        <v>13</v>
      </c>
      <c r="N46" s="26" cm="1">
        <f t="array" ref="N46">IFERROR((K46-J46)/J46,"–")</f>
        <v>1.1090865384615385</v>
      </c>
      <c r="O46" s="81" cm="1">
        <f t="array" ref="O46">IF(D46=0,0,L46-K46)</f>
        <v>-136.27000694999981</v>
      </c>
      <c r="P46" s="82"/>
    </row>
    <row r="47" spans="1:16" ht="22.5" customHeight="1">
      <c r="A47" s="16" t="s">
        <v>344</v>
      </c>
      <c r="B47" s="14" t="s">
        <v>356</v>
      </c>
      <c r="C47" s="83">
        <v>15.49</v>
      </c>
      <c r="D47" s="83">
        <v>15.47</v>
      </c>
      <c r="E47" s="83" cm="1">
        <f t="array" ref="E47">D47-_xlfn.SINGLE(C2:C104)</f>
        <v>-1.9999999999999574E-2</v>
      </c>
      <c r="F47" s="31" cm="1">
        <f t="array" ref="F47">IF(D47=0,"",(D47-C47)/C47)</f>
        <v>-1.2911555842478742E-3</v>
      </c>
      <c r="G47" s="32">
        <v>920</v>
      </c>
      <c r="H47" s="10">
        <v>1</v>
      </c>
      <c r="I47" s="83" cm="1">
        <f t="array" ref="I47">(G47*C47)*0.000425</f>
        <v>6.0565899999999999</v>
      </c>
      <c r="J47" s="83" cm="1">
        <f t="array" ref="J47">(D47*G47)*0.000425</f>
        <v>6.0487700000000002</v>
      </c>
      <c r="K47" s="84" cm="1">
        <f t="array" ref="K47">(I47+J47)*1.05</f>
        <v>12.710628000000002</v>
      </c>
      <c r="L47" s="84" cm="1">
        <f t="array" ref="L47">IF(D47=0,0,(D47-C47)*G47)</f>
        <v>-18.399999999999608</v>
      </c>
      <c r="M47" s="45" t="s">
        <v>13</v>
      </c>
      <c r="N47" s="34" cm="1">
        <f t="array" ref="N47">IFERROR((K47-J47)/J47,"–")</f>
        <v>1.1013574660633485</v>
      </c>
      <c r="O47" s="84" cm="1">
        <f t="array" ref="O47">IF(D47=0,0,L47-K47)</f>
        <v>-31.110627999999608</v>
      </c>
      <c r="P47" s="50"/>
    </row>
    <row r="48" spans="1:16" ht="22.5" customHeight="1">
      <c r="A48" s="16" t="s">
        <v>352</v>
      </c>
      <c r="B48" s="44" t="s">
        <v>356</v>
      </c>
      <c r="C48" s="80">
        <v>5.65</v>
      </c>
      <c r="D48" s="80">
        <v>5.64</v>
      </c>
      <c r="E48" s="80" cm="1">
        <f t="array" ref="E48">D48-_xlfn.SINGLE(C2:C104)</f>
        <v>-1.0000000000000675E-2</v>
      </c>
      <c r="F48" s="20" cm="1">
        <f t="array" ref="F48">IF(D48=0,"",(D48-C48)/C48)</f>
        <v>-1.7699115044248982E-3</v>
      </c>
      <c r="G48" s="21">
        <v>2524</v>
      </c>
      <c r="H48" s="22">
        <v>1</v>
      </c>
      <c r="I48" s="80" cm="1">
        <f t="array" ref="I48">(G48*C48)*0.000425</f>
        <v>6.0607549999999994</v>
      </c>
      <c r="J48" s="80" cm="1">
        <f t="array" ref="J48">(D48*G48)*0.000425</f>
        <v>6.0500279999999993</v>
      </c>
      <c r="K48" s="81" cm="1">
        <f t="array" ref="K48">(I48+J48)*1.05</f>
        <v>12.716322149999998</v>
      </c>
      <c r="L48" s="81" cm="1">
        <f t="array" ref="L48">IF(D48=0,0,(D48-C48)*G48)</f>
        <v>-25.240000000001704</v>
      </c>
      <c r="M48" s="46" t="s">
        <v>13</v>
      </c>
      <c r="N48" s="26" cm="1">
        <f t="array" ref="N48">IFERROR((K48-J48)/J48,"–")</f>
        <v>1.1018617021276595</v>
      </c>
      <c r="O48" s="81" cm="1">
        <f t="array" ref="O48">IF(D48=0,0,L48-K48)</f>
        <v>-37.956322150001704</v>
      </c>
      <c r="P48" s="51"/>
    </row>
    <row r="49" spans="1:16" ht="22.5" customHeight="1">
      <c r="A49" s="16" t="s">
        <v>330</v>
      </c>
      <c r="B49" s="14" t="s">
        <v>357</v>
      </c>
      <c r="C49" s="83">
        <v>20.62</v>
      </c>
      <c r="D49" s="83">
        <v>19.989999999999998</v>
      </c>
      <c r="E49" s="83" cm="1">
        <f t="array" ref="E49">D49-_xlfn.SINGLE(C2:C104)</f>
        <v>-0.63000000000000256</v>
      </c>
      <c r="F49" s="31" cm="1">
        <f t="array" ref="F49">IF(D49=0,"",(D49-C49)/C49)</f>
        <v>-3.0552861299709144E-2</v>
      </c>
      <c r="G49" s="32">
        <v>692</v>
      </c>
      <c r="H49" s="10">
        <v>1</v>
      </c>
      <c r="I49" s="83" cm="1">
        <f t="array" ref="I49">(G49*C49)*0.000425</f>
        <v>6.0643419999999999</v>
      </c>
      <c r="J49" s="83" cm="1">
        <f t="array" ref="J49">(D49*G49)*0.000425</f>
        <v>5.8790589999999989</v>
      </c>
      <c r="K49" s="84" cm="1">
        <f t="array" ref="K49">(I49+J49)*1.05</f>
        <v>12.540571049999999</v>
      </c>
      <c r="L49" s="84" cm="1">
        <f t="array" ref="L49">IF(D49=0,0,(D49-C49)*G49)</f>
        <v>-435.96000000000174</v>
      </c>
      <c r="M49" s="45" t="s">
        <v>13</v>
      </c>
      <c r="N49" s="34" cm="1">
        <f t="array" ref="N49">IFERROR((K49-J49)/J49,"–")</f>
        <v>1.1330915457728865</v>
      </c>
      <c r="O49" s="84" cm="1">
        <f t="array" ref="O49">IF(D49=0,0,L49-K49)</f>
        <v>-448.50057105000172</v>
      </c>
      <c r="P49" s="50"/>
    </row>
    <row r="50" spans="1:16" ht="22.5" customHeight="1">
      <c r="A50" s="16" t="s">
        <v>352</v>
      </c>
      <c r="B50" s="44" t="s">
        <v>358</v>
      </c>
      <c r="C50" s="80">
        <v>5.74</v>
      </c>
      <c r="D50" s="80">
        <v>5.82</v>
      </c>
      <c r="E50" s="80" cm="1">
        <f t="array" ref="E50">D50-_xlfn.SINGLE(C2:C104)</f>
        <v>8.0000000000000071E-2</v>
      </c>
      <c r="F50" s="20" cm="1">
        <f t="array" ref="F50">IF(D50=0,"",(D50-C50)/C50)</f>
        <v>1.3937282229965169E-2</v>
      </c>
      <c r="G50" s="21">
        <v>2395</v>
      </c>
      <c r="H50" s="22">
        <v>1</v>
      </c>
      <c r="I50" s="80" cm="1">
        <f t="array" ref="I50">(G50*C50)*0.000425</f>
        <v>5.8426024999999999</v>
      </c>
      <c r="J50" s="80" cm="1">
        <f t="array" ref="J50">(D50*G50)*0.000425</f>
        <v>5.9240325</v>
      </c>
      <c r="K50" s="81" cm="1">
        <f t="array" ref="K50">(I50+J50)*1.05</f>
        <v>12.354966750000001</v>
      </c>
      <c r="L50" s="81" cm="1">
        <f t="array" ref="L50">IF(D50=0,0,(D50-C50)*G50)</f>
        <v>191.60000000000016</v>
      </c>
      <c r="M50" s="46" t="s">
        <v>13</v>
      </c>
      <c r="N50" s="26" cm="1">
        <f t="array" ref="N50">IFERROR((K50-J50)/J50,"–")</f>
        <v>1.0855670103092785</v>
      </c>
      <c r="O50" s="81" cm="1">
        <f t="array" ref="O50">IF(D50=0,0,L50-K50)</f>
        <v>179.24503325000018</v>
      </c>
      <c r="P50" s="51"/>
    </row>
    <row r="51" spans="1:16" ht="22.5" customHeight="1">
      <c r="A51" s="16" t="s">
        <v>352</v>
      </c>
      <c r="B51" s="14" t="s">
        <v>359</v>
      </c>
      <c r="C51" s="83">
        <v>5.84</v>
      </c>
      <c r="D51" s="83">
        <v>5.63</v>
      </c>
      <c r="E51" s="83" cm="1">
        <f t="array" ref="E51">D51-_xlfn.SINGLE(C2:C104)</f>
        <v>-0.20999999999999996</v>
      </c>
      <c r="F51" s="31" cm="1">
        <f t="array" ref="F51">IF(D51=0,"",(D51-C51)/C51)</f>
        <v>-3.5958904109589039E-2</v>
      </c>
      <c r="G51" s="32">
        <v>4370</v>
      </c>
      <c r="H51" s="10">
        <v>1</v>
      </c>
      <c r="I51" s="83" cm="1">
        <f t="array" ref="I51">(G51*C51)*0.000425</f>
        <v>10.84634</v>
      </c>
      <c r="J51" s="83" cm="1">
        <f t="array" ref="J51">(D51*G51)*0.000425</f>
        <v>10.456317499999999</v>
      </c>
      <c r="K51" s="84" cm="1">
        <f t="array" ref="K51">(I51+J51)*1.05</f>
        <v>22.367790374999998</v>
      </c>
      <c r="L51" s="84" cm="1">
        <f t="array" ref="L51">IF(D51=0,0,(D51-C51)*G51)</f>
        <v>-917.69999999999982</v>
      </c>
      <c r="M51" s="45" t="s">
        <v>13</v>
      </c>
      <c r="N51" s="34" cm="1">
        <f t="array" ref="N51">IFERROR((K51-J51)/J51,"–")</f>
        <v>1.139165186500888</v>
      </c>
      <c r="O51" s="84" cm="1">
        <f t="array" ref="O51">IF(D51=0,0,L51-K51)</f>
        <v>-940.06779037499984</v>
      </c>
      <c r="P51" s="50"/>
    </row>
    <row r="52" spans="1:16" ht="22.5" customHeight="1">
      <c r="A52" s="16" t="s">
        <v>352</v>
      </c>
      <c r="B52" s="44" t="s">
        <v>359</v>
      </c>
      <c r="C52" s="80">
        <v>5.79</v>
      </c>
      <c r="D52" s="80">
        <v>5.63</v>
      </c>
      <c r="E52" s="80" cm="1">
        <f t="array" ref="E52">D52-_xlfn.SINGLE(C2:C104)</f>
        <v>-0.16000000000000014</v>
      </c>
      <c r="F52" s="20" cm="1">
        <f t="array" ref="F52">IF(D52=0,"",(D52-C52)/C52)</f>
        <v>-2.7633851468048382E-2</v>
      </c>
      <c r="G52" s="21">
        <v>8</v>
      </c>
      <c r="H52" s="22">
        <v>1</v>
      </c>
      <c r="I52" s="80" cm="1">
        <f t="array" ref="I52">(G52*C52)*0.000425</f>
        <v>1.9685999999999999E-2</v>
      </c>
      <c r="J52" s="80" cm="1">
        <f t="array" ref="J52">(D52*G52)*0.000425</f>
        <v>1.9141999999999999E-2</v>
      </c>
      <c r="K52" s="81" cm="1">
        <f t="array" ref="K52">(I52+J52)*1.05</f>
        <v>4.0769400000000004E-2</v>
      </c>
      <c r="L52" s="81" cm="1">
        <f t="array" ref="L52">IF(D52=0,0,(D52-C52)*G52)</f>
        <v>-1.2800000000000011</v>
      </c>
      <c r="M52" s="46" t="s">
        <v>13</v>
      </c>
      <c r="N52" s="26" cm="1">
        <f t="array" ref="N52">IFERROR((K52-J52)/J52,"–")</f>
        <v>1.129840142095915</v>
      </c>
      <c r="O52" s="81" cm="1">
        <f t="array" ref="O52">IF(D52=0,0,L52-K52)</f>
        <v>-1.3207694000000012</v>
      </c>
      <c r="P52" s="51"/>
    </row>
    <row r="53" spans="1:16" ht="22.5" customHeight="1">
      <c r="A53" s="16" t="s">
        <v>360</v>
      </c>
      <c r="B53" s="14" t="s">
        <v>361</v>
      </c>
      <c r="C53" s="83">
        <v>3.91</v>
      </c>
      <c r="D53" s="83">
        <v>3.9</v>
      </c>
      <c r="E53" s="83" cm="1">
        <f t="array" ref="E53">D53-_xlfn.SINGLE(C2:C104)</f>
        <v>-1.0000000000000231E-2</v>
      </c>
      <c r="F53" s="31" cm="1">
        <f t="array" ref="F53">IF(D53=0,"",(D53-C53)/C53)</f>
        <v>-2.5575447570333068E-3</v>
      </c>
      <c r="G53" s="32">
        <v>2500</v>
      </c>
      <c r="H53" s="10">
        <v>1</v>
      </c>
      <c r="I53" s="83" cm="1">
        <f t="array" ref="I53">(G53*C53)*0.000425</f>
        <v>4.1543749999999999</v>
      </c>
      <c r="J53" s="83" cm="1">
        <f t="array" ref="J53">(D53*G53)*0.000425</f>
        <v>4.1437499999999998</v>
      </c>
      <c r="K53" s="84" cm="1">
        <f t="array" ref="K53">(I53+J53)*1.05</f>
        <v>8.7130312499999985</v>
      </c>
      <c r="L53" s="84" cm="1">
        <f t="array" ref="L53">IF(D53=0,0,(D53-C53)*G53)</f>
        <v>-25.000000000000576</v>
      </c>
      <c r="M53" s="45" t="s">
        <v>13</v>
      </c>
      <c r="N53" s="34" cm="1">
        <f t="array" ref="N53">IFERROR((K53-J53)/J53,"–")</f>
        <v>1.1026923076923074</v>
      </c>
      <c r="O53" s="84" cm="1">
        <f t="array" ref="O53">IF(D53=0,0,L53-K53)</f>
        <v>-33.713031250000576</v>
      </c>
      <c r="P53" s="50"/>
    </row>
    <row r="54" spans="1:16" ht="22.5" customHeight="1">
      <c r="A54" s="16" t="s">
        <v>360</v>
      </c>
      <c r="B54" s="44" t="s">
        <v>361</v>
      </c>
      <c r="C54" s="80">
        <v>3.9</v>
      </c>
      <c r="D54" s="80">
        <v>3.9</v>
      </c>
      <c r="E54" s="80" cm="1">
        <f t="array" ref="E54">D54-_xlfn.SINGLE(C2:C104)</f>
        <v>0</v>
      </c>
      <c r="F54" s="20" cm="1">
        <f t="array" ref="F54">IF(D54=0,"",(D54-C54)/C54)</f>
        <v>0</v>
      </c>
      <c r="G54" s="21">
        <v>2000</v>
      </c>
      <c r="H54" s="22">
        <v>1</v>
      </c>
      <c r="I54" s="80" cm="1">
        <f t="array" ref="I54">(G54*C54)*0.000425</f>
        <v>3.3149999999999999</v>
      </c>
      <c r="J54" s="80" cm="1">
        <f t="array" ref="J54">(D54*G54)*0.000425</f>
        <v>3.3149999999999999</v>
      </c>
      <c r="K54" s="81" cm="1">
        <f t="array" ref="K54">(I54+J54)*1.05</f>
        <v>6.9615</v>
      </c>
      <c r="L54" s="81" cm="1">
        <f t="array" ref="L54">IF(D54=0,0,(D54-C54)*G54)</f>
        <v>0</v>
      </c>
      <c r="M54" s="46" t="s">
        <v>13</v>
      </c>
      <c r="N54" s="26" cm="1">
        <f t="array" ref="N54">IFERROR((K54-J54)/J54,"–")</f>
        <v>1.1000000000000001</v>
      </c>
      <c r="O54" s="81" cm="1">
        <f t="array" ref="O54">IF(D54=0,0,L54-K54)</f>
        <v>-6.9615</v>
      </c>
      <c r="P54" s="51"/>
    </row>
    <row r="55" spans="1:16" ht="22.5" customHeight="1">
      <c r="A55" s="16" t="s">
        <v>360</v>
      </c>
      <c r="B55" s="14" t="s">
        <v>362</v>
      </c>
      <c r="C55" s="83">
        <v>3.92</v>
      </c>
      <c r="D55" s="83">
        <v>3.9</v>
      </c>
      <c r="E55" s="83" cm="1">
        <f t="array" ref="E55">D55-_xlfn.SINGLE(C2:C104)</f>
        <v>-2.0000000000000018E-2</v>
      </c>
      <c r="F55" s="31" cm="1">
        <f t="array" ref="F55">IF(D55=0,"",(D55-C55)/C55)</f>
        <v>-5.1020408163265354E-3</v>
      </c>
      <c r="G55" s="32">
        <v>2800</v>
      </c>
      <c r="H55" s="10">
        <v>1</v>
      </c>
      <c r="I55" s="83" cm="1">
        <f t="array" ref="I55">(G55*C55)*0.000425</f>
        <v>4.6647999999999996</v>
      </c>
      <c r="J55" s="83" cm="1">
        <f t="array" ref="J55">(D55*G55)*0.000425</f>
        <v>4.641</v>
      </c>
      <c r="K55" s="84" cm="1">
        <f t="array" ref="K55">(I55+J55)*1.05</f>
        <v>9.7710899999999992</v>
      </c>
      <c r="L55" s="84" cm="1">
        <f t="array" ref="L55">IF(D55=0,0,(D55-C55)*G55)</f>
        <v>-56.00000000000005</v>
      </c>
      <c r="M55" s="45" t="s">
        <v>13</v>
      </c>
      <c r="N55" s="34" cm="1">
        <f t="array" ref="N55">IFERROR((K55-J55)/J55,"–")</f>
        <v>1.1053846153846152</v>
      </c>
      <c r="O55" s="84" cm="1">
        <f t="array" ref="O55">IF(D55=0,0,L55-K55)</f>
        <v>-65.771090000000044</v>
      </c>
      <c r="P55" s="50"/>
    </row>
    <row r="56" spans="1:16" ht="22.5" customHeight="1">
      <c r="A56" s="16" t="s">
        <v>363</v>
      </c>
      <c r="B56" s="44" t="s">
        <v>364</v>
      </c>
      <c r="C56" s="80">
        <v>1.91</v>
      </c>
      <c r="D56" s="80">
        <v>1.86</v>
      </c>
      <c r="E56" s="80" cm="1">
        <f t="array" ref="E56">D56-_xlfn.SINGLE(C2:C104)</f>
        <v>-4.9999999999999822E-2</v>
      </c>
      <c r="F56" s="20" cm="1">
        <f t="array" ref="F56">IF(D56=0,"",(D56-C56)/C56)</f>
        <v>-2.6178010471204098E-2</v>
      </c>
      <c r="G56" s="21">
        <v>5500</v>
      </c>
      <c r="H56" s="22">
        <v>1</v>
      </c>
      <c r="I56" s="80" cm="1">
        <f t="array" ref="I56">(G56*C56)*0.000425</f>
        <v>4.4646249999999998</v>
      </c>
      <c r="J56" s="80" cm="1">
        <f t="array" ref="J56">(D56*G56)*0.000425</f>
        <v>4.3477499999999996</v>
      </c>
      <c r="K56" s="81" cm="1">
        <f t="array" ref="K56">(I56+J56)*1.05</f>
        <v>9.2529937499999999</v>
      </c>
      <c r="L56" s="81" cm="1">
        <f t="array" ref="L56">IF(D56=0,0,(D56-C56)*G56)</f>
        <v>-274.99999999999903</v>
      </c>
      <c r="M56" s="46" t="s">
        <v>13</v>
      </c>
      <c r="N56" s="26" cm="1">
        <f t="array" ref="N56">IFERROR((K56-J56)/J56,"–")</f>
        <v>1.1282258064516131</v>
      </c>
      <c r="O56" s="81" cm="1">
        <f t="array" ref="O56">IF(D56=0,0,L56-K56)</f>
        <v>-284.25299374999901</v>
      </c>
      <c r="P56" s="51"/>
    </row>
    <row r="57" spans="1:16" ht="22.5" customHeight="1">
      <c r="A57" s="16" t="s">
        <v>365</v>
      </c>
      <c r="B57" s="14" t="s">
        <v>364</v>
      </c>
      <c r="C57" s="83">
        <v>4</v>
      </c>
      <c r="D57" s="83">
        <v>4</v>
      </c>
      <c r="E57" s="83" cm="1">
        <f t="array" ref="E57">D57-_xlfn.SINGLE(C2:C104)</f>
        <v>0</v>
      </c>
      <c r="F57" s="31" cm="1">
        <f t="array" ref="F57">IF(D57=0,"",(D57-C57)/C57)</f>
        <v>0</v>
      </c>
      <c r="G57" s="32">
        <v>2700</v>
      </c>
      <c r="H57" s="10">
        <v>1</v>
      </c>
      <c r="I57" s="83" cm="1">
        <f t="array" ref="I57">(G57*C57)*0.000425</f>
        <v>4.59</v>
      </c>
      <c r="J57" s="83" cm="1">
        <f t="array" ref="J57">(D57*G57)*0.000425</f>
        <v>4.59</v>
      </c>
      <c r="K57" s="84" cm="1">
        <f t="array" ref="K57">(I57+J57)*1.05</f>
        <v>9.6389999999999993</v>
      </c>
      <c r="L57" s="84" cm="1">
        <f t="array" ref="L57">IF(D57=0,0,(D57-C57)*G57)</f>
        <v>0</v>
      </c>
      <c r="M57" s="45" t="s">
        <v>13</v>
      </c>
      <c r="N57" s="34" cm="1">
        <f t="array" ref="N57">IFERROR((K57-J57)/J57,"–")</f>
        <v>1.0999999999999999</v>
      </c>
      <c r="O57" s="84" cm="1">
        <f t="array" ref="O57">IF(D57=0,0,L57-K57)</f>
        <v>-9.6389999999999993</v>
      </c>
      <c r="P57" s="50"/>
    </row>
    <row r="58" spans="1:16" ht="22.5" customHeight="1">
      <c r="A58" s="16" t="s">
        <v>365</v>
      </c>
      <c r="B58" s="44" t="s">
        <v>366</v>
      </c>
      <c r="C58" s="80">
        <v>4</v>
      </c>
      <c r="D58" s="80">
        <v>4.13</v>
      </c>
      <c r="E58" s="80" cm="1">
        <f t="array" ref="E58">D58-_xlfn.SINGLE(C2:C104)</f>
        <v>0.12999999999999989</v>
      </c>
      <c r="F58" s="20" cm="1">
        <f t="array" ref="F58">IF(D58=0,"",(D58-C58)/C58)</f>
        <v>3.2499999999999973E-2</v>
      </c>
      <c r="G58" s="21">
        <v>4300</v>
      </c>
      <c r="H58" s="22">
        <v>1</v>
      </c>
      <c r="I58" s="80" cm="1">
        <f t="array" ref="I58">(G58*C58)*0.000425</f>
        <v>7.31</v>
      </c>
      <c r="J58" s="80" cm="1">
        <f t="array" ref="J58">(D58*G58)*0.000425</f>
        <v>7.5475749999999993</v>
      </c>
      <c r="K58" s="81" cm="1">
        <f t="array" ref="K58">(I58+J58)*1.05</f>
        <v>15.60045375</v>
      </c>
      <c r="L58" s="81" cm="1">
        <f t="array" ref="L58">IF(D58=0,0,(D58-C58)*G58)</f>
        <v>558.99999999999955</v>
      </c>
      <c r="M58" s="46" t="s">
        <v>13</v>
      </c>
      <c r="N58" s="26" cm="1">
        <f t="array" ref="N58">IFERROR((K58-J58)/J58,"–")</f>
        <v>1.0669491525423731</v>
      </c>
      <c r="O58" s="81" cm="1">
        <f t="array" ref="O58">IF(D58=0,0,L58-K58)</f>
        <v>543.3995462499995</v>
      </c>
      <c r="P58" s="51"/>
    </row>
    <row r="59" spans="1:16" ht="22.5" customHeight="1">
      <c r="A59" s="16" t="s">
        <v>365</v>
      </c>
      <c r="B59" s="14" t="s">
        <v>366</v>
      </c>
      <c r="C59" s="83">
        <v>4.0199999999999996</v>
      </c>
      <c r="D59" s="83">
        <v>4.13</v>
      </c>
      <c r="E59" s="83" cm="1">
        <f t="array" ref="E59">D59-_xlfn.SINGLE(C2:C104)</f>
        <v>0.11000000000000032</v>
      </c>
      <c r="F59" s="31" cm="1">
        <f t="array" ref="F59">IF(D59=0,"",(D59-C59)/C59)</f>
        <v>2.7363184079602074E-2</v>
      </c>
      <c r="G59" s="32">
        <v>2600</v>
      </c>
      <c r="H59" s="10">
        <v>1</v>
      </c>
      <c r="I59" s="83" cm="1">
        <f t="array" ref="I59">(G59*C59)*0.000425</f>
        <v>4.442099999999999</v>
      </c>
      <c r="J59" s="83" cm="1">
        <f t="array" ref="J59">(D59*G59)*0.000425</f>
        <v>4.56365</v>
      </c>
      <c r="K59" s="84" cm="1">
        <f t="array" ref="K59">(I59+J59)*1.05</f>
        <v>9.456037499999999</v>
      </c>
      <c r="L59" s="84" cm="1">
        <f t="array" ref="L59">IF(D59=0,0,(D59-C59)*G59)</f>
        <v>286.00000000000085</v>
      </c>
      <c r="M59" s="45" t="s">
        <v>13</v>
      </c>
      <c r="N59" s="34" cm="1">
        <f t="array" ref="N59">IFERROR((K59-J59)/J59,"–")</f>
        <v>1.0720338983050846</v>
      </c>
      <c r="O59" s="84" cm="1">
        <f t="array" ref="O59">IF(D59=0,0,L59-K59)</f>
        <v>276.54396250000087</v>
      </c>
      <c r="P59" s="50"/>
    </row>
    <row r="60" spans="1:16" ht="22.5" customHeight="1">
      <c r="A60" s="16" t="s">
        <v>365</v>
      </c>
      <c r="B60" s="44" t="s">
        <v>366</v>
      </c>
      <c r="C60" s="80">
        <v>4.04</v>
      </c>
      <c r="D60" s="80">
        <v>4.13</v>
      </c>
      <c r="E60" s="80" cm="1">
        <f t="array" ref="E60">D60-_xlfn.SINGLE(C2:C104)</f>
        <v>8.9999999999999858E-2</v>
      </c>
      <c r="F60" s="20" cm="1">
        <f t="array" ref="F60">IF(D60=0,"",(D60-C60)/C60)</f>
        <v>2.2277227722772242E-2</v>
      </c>
      <c r="G60" s="21">
        <v>145</v>
      </c>
      <c r="H60" s="22">
        <v>1</v>
      </c>
      <c r="I60" s="80" cm="1">
        <f t="array" ref="I60">(G60*C60)*0.000425</f>
        <v>0.24896499999999996</v>
      </c>
      <c r="J60" s="80" cm="1">
        <f t="array" ref="J60">(D60*G60)*0.000425</f>
        <v>0.25451125000000002</v>
      </c>
      <c r="K60" s="81" cm="1">
        <f t="array" ref="K60">(I60+J60)*1.05</f>
        <v>0.52865006250000002</v>
      </c>
      <c r="L60" s="81" cm="1">
        <f t="array" ref="L60">IF(D60=0,0,(D60-C60)*G60)</f>
        <v>13.049999999999979</v>
      </c>
      <c r="M60" s="46" t="s">
        <v>13</v>
      </c>
      <c r="N60" s="26" cm="1">
        <f t="array" ref="N60">IFERROR((K60-J60)/J60,"–")</f>
        <v>1.0771186440677964</v>
      </c>
      <c r="O60" s="81" cm="1">
        <f t="array" ref="O60">IF(D60=0,0,L60-K60)</f>
        <v>12.521349937499979</v>
      </c>
      <c r="P60" s="51"/>
    </row>
    <row r="61" spans="1:16" ht="22.5" customHeight="1">
      <c r="A61" s="16" t="s">
        <v>367</v>
      </c>
      <c r="B61" s="14" t="s">
        <v>368</v>
      </c>
      <c r="C61" s="83">
        <v>16.940000000000001</v>
      </c>
      <c r="D61" s="83">
        <v>16.97</v>
      </c>
      <c r="E61" s="83" cm="1">
        <f t="array" ref="E61">D61-_xlfn.SINGLE(C2:C104)</f>
        <v>2.9999999999997584E-2</v>
      </c>
      <c r="F61" s="31" cm="1">
        <f t="array" ref="F61">IF(D61=0,"",(D61-C61)/C61)</f>
        <v>1.7709563164107192E-3</v>
      </c>
      <c r="G61" s="32">
        <v>1000</v>
      </c>
      <c r="H61" s="10">
        <v>1</v>
      </c>
      <c r="I61" s="83" cm="1">
        <f t="array" ref="I61">(G61*C61)*0.000425</f>
        <v>7.1994999999999996</v>
      </c>
      <c r="J61" s="83" cm="1">
        <f t="array" ref="J61">(D61*G61)*0.000425</f>
        <v>7.2122499999999992</v>
      </c>
      <c r="K61" s="84" cm="1">
        <f t="array" ref="K61">(I61+J61)*1.05</f>
        <v>15.132337499999998</v>
      </c>
      <c r="L61" s="84" cm="1">
        <f t="array" ref="L61">IF(D61=0,0,(D61-C61)*G61)</f>
        <v>29.999999999997584</v>
      </c>
      <c r="M61" s="45" t="s">
        <v>13</v>
      </c>
      <c r="N61" s="34" cm="1">
        <f t="array" ref="N61">IFERROR((K61-J61)/J61,"–")</f>
        <v>1.0981437831467296</v>
      </c>
      <c r="O61" s="84" cm="1">
        <f t="array" ref="O61">IF(D61=0,0,L61-K61)</f>
        <v>14.867662499997586</v>
      </c>
      <c r="P61" s="50"/>
    </row>
    <row r="62" spans="1:16" ht="22.5" customHeight="1">
      <c r="A62" s="16" t="s">
        <v>365</v>
      </c>
      <c r="B62" s="44" t="s">
        <v>369</v>
      </c>
      <c r="C62" s="80">
        <v>4.12</v>
      </c>
      <c r="D62" s="80">
        <v>4.2</v>
      </c>
      <c r="E62" s="80" cm="1">
        <f t="array" ref="E62">D62-_xlfn.SINGLE(C2:C104)</f>
        <v>8.0000000000000071E-2</v>
      </c>
      <c r="F62" s="20" cm="1">
        <f t="array" ref="F62">IF(D62=0,"",(D62-C62)/C62)</f>
        <v>1.9417475728155355E-2</v>
      </c>
      <c r="G62" s="21">
        <v>7045</v>
      </c>
      <c r="H62" s="22">
        <v>1</v>
      </c>
      <c r="I62" s="80" cm="1">
        <f t="array" ref="I62">(G62*C62)*0.000425</f>
        <v>12.335794999999999</v>
      </c>
      <c r="J62" s="80" cm="1">
        <f t="array" ref="J62">(D62*G62)*0.000425</f>
        <v>12.575324999999999</v>
      </c>
      <c r="K62" s="81" cm="1">
        <f t="array" ref="K62">(I62+J62)*1.05</f>
        <v>26.156675999999997</v>
      </c>
      <c r="L62" s="81" cm="1">
        <f t="array" ref="L62">IF(D62=0,0,(D62-C62)*G62)</f>
        <v>563.60000000000048</v>
      </c>
      <c r="M62" s="46" t="s">
        <v>13</v>
      </c>
      <c r="N62" s="26" cm="1">
        <f t="array" ref="N62">IFERROR((K62-J62)/J62,"–")</f>
        <v>1.0799999999999998</v>
      </c>
      <c r="O62" s="81" cm="1">
        <f t="array" ref="O62">IF(D62=0,0,L62-K62)</f>
        <v>537.44332400000053</v>
      </c>
      <c r="P62" s="51"/>
    </row>
    <row r="63" spans="1:16" ht="22.5" customHeight="1">
      <c r="A63" s="16" t="s">
        <v>365</v>
      </c>
      <c r="B63" s="14" t="s">
        <v>370</v>
      </c>
      <c r="C63" s="83">
        <v>4.21</v>
      </c>
      <c r="D63" s="83">
        <v>4.26</v>
      </c>
      <c r="E63" s="83" cm="1">
        <f t="array" ref="E63">D63-_xlfn.SINGLE(C2:C104)</f>
        <v>4.9999999999999822E-2</v>
      </c>
      <c r="F63" s="31" cm="1">
        <f t="array" ref="F63">IF(D63=0,"",(D63-C63)/C63)</f>
        <v>1.1876484560570029E-2</v>
      </c>
      <c r="G63" s="32">
        <v>7000</v>
      </c>
      <c r="H63" s="10">
        <v>1</v>
      </c>
      <c r="I63" s="83" cm="1">
        <f t="array" ref="I63">(G63*C63)*0.000425</f>
        <v>12.524749999999999</v>
      </c>
      <c r="J63" s="83" cm="1">
        <f t="array" ref="J63">(D63*G63)*0.000425</f>
        <v>12.673499999999999</v>
      </c>
      <c r="K63" s="84" cm="1">
        <f t="array" ref="K63">(I63+J63)*1.05</f>
        <v>26.4581625</v>
      </c>
      <c r="L63" s="84" cm="1">
        <f t="array" ref="L63">IF(D63=0,0,(D63-C63)*G63)</f>
        <v>349.99999999999875</v>
      </c>
      <c r="M63" s="45" t="s">
        <v>13</v>
      </c>
      <c r="N63" s="34" cm="1">
        <f t="array" ref="N63">IFERROR((K63-J63)/J63,"–")</f>
        <v>1.0876760563380283</v>
      </c>
      <c r="O63" s="84" cm="1">
        <f t="array" ref="O63">IF(D63=0,0,L63-K63)</f>
        <v>323.54183749999873</v>
      </c>
      <c r="P63" s="50"/>
    </row>
    <row r="64" spans="1:16" ht="22.5" customHeight="1">
      <c r="A64" s="16" t="s">
        <v>365</v>
      </c>
      <c r="B64" s="44" t="s">
        <v>370</v>
      </c>
      <c r="C64" s="80">
        <v>4.2699999999999996</v>
      </c>
      <c r="D64" s="80">
        <v>4.26</v>
      </c>
      <c r="E64" s="80" cm="1">
        <f t="array" ref="E64">D64-_xlfn.SINGLE(C2:C104)</f>
        <v>-9.9999999999997868E-3</v>
      </c>
      <c r="F64" s="20" cm="1">
        <f t="array" ref="F64">IF(D64=0,"",(D64-C64)/C64)</f>
        <v>-2.3419203747072101E-3</v>
      </c>
      <c r="G64" s="21">
        <v>7000</v>
      </c>
      <c r="H64" s="22">
        <v>1</v>
      </c>
      <c r="I64" s="80" cm="1">
        <f t="array" ref="I64">(G64*C64)*0.000425</f>
        <v>12.703249999999997</v>
      </c>
      <c r="J64" s="80" cm="1">
        <f t="array" ref="J64">(D64*G64)*0.000425</f>
        <v>12.673499999999999</v>
      </c>
      <c r="K64" s="81" cm="1">
        <f t="array" ref="K64">(I64+J64)*1.05</f>
        <v>26.645587499999994</v>
      </c>
      <c r="L64" s="81" cm="1">
        <f t="array" ref="L64">IF(D64=0,0,(D64-C64)*G64)</f>
        <v>-69.999999999998508</v>
      </c>
      <c r="M64" s="46" t="s">
        <v>13</v>
      </c>
      <c r="N64" s="26" cm="1">
        <f t="array" ref="N64">IFERROR((K64-J64)/J64,"–")</f>
        <v>1.1024647887323942</v>
      </c>
      <c r="O64" s="81" cm="1">
        <f t="array" ref="O64">IF(D64=0,0,L64-K64)</f>
        <v>-96.645587499998499</v>
      </c>
      <c r="P64" s="51"/>
    </row>
    <row r="65" spans="1:16" ht="22.5" customHeight="1">
      <c r="A65" s="16" t="s">
        <v>365</v>
      </c>
      <c r="B65" s="14" t="s">
        <v>370</v>
      </c>
      <c r="C65" s="83">
        <v>4.24</v>
      </c>
      <c r="D65" s="83">
        <v>4.3</v>
      </c>
      <c r="E65" s="83" cm="1">
        <f t="array" ref="E65">D65-_xlfn.SINGLE(C2:C104)</f>
        <v>5.9999999999999609E-2</v>
      </c>
      <c r="F65" s="31" cm="1">
        <f t="array" ref="F65">IF(D65=0,"",(D65-C65)/C65)</f>
        <v>1.4150943396226322E-2</v>
      </c>
      <c r="G65" s="32">
        <v>7000</v>
      </c>
      <c r="H65" s="10">
        <v>1</v>
      </c>
      <c r="I65" s="83" cm="1">
        <f t="array" ref="I65">(G65*C65)*0.000425</f>
        <v>12.613999999999999</v>
      </c>
      <c r="J65" s="83" cm="1">
        <f t="array" ref="J65">(D65*G65)*0.000425</f>
        <v>12.792499999999999</v>
      </c>
      <c r="K65" s="84" cm="1">
        <f t="array" ref="K65">(I65+J65)*1.05</f>
        <v>26.676824999999997</v>
      </c>
      <c r="L65" s="84" cm="1">
        <f t="array" ref="L65">IF(D65=0,0,(D65-C65)*G65)</f>
        <v>419.99999999999727</v>
      </c>
      <c r="M65" s="45" t="s">
        <v>13</v>
      </c>
      <c r="N65" s="34" cm="1">
        <f t="array" ref="N65">IFERROR((K65-J65)/J65,"–")</f>
        <v>1.0853488372093023</v>
      </c>
      <c r="O65" s="84" cm="1">
        <f t="array" ref="O65">IF(D65=0,0,L65-K65)</f>
        <v>393.32317499999726</v>
      </c>
      <c r="P65" s="50"/>
    </row>
    <row r="66" spans="1:16" ht="22.5" customHeight="1">
      <c r="A66" s="16" t="s">
        <v>365</v>
      </c>
      <c r="B66" s="44" t="s">
        <v>370</v>
      </c>
      <c r="C66" s="80">
        <v>4.29</v>
      </c>
      <c r="D66" s="80">
        <v>4.24</v>
      </c>
      <c r="E66" s="80" cm="1">
        <f t="array" ref="E66">D66-_xlfn.SINGLE(C2:C104)</f>
        <v>-4.9999999999999822E-2</v>
      </c>
      <c r="F66" s="20" cm="1">
        <f t="array" ref="F66">IF(D66=0,"",(D66-C66)/C66)</f>
        <v>-1.1655011655011614E-2</v>
      </c>
      <c r="G66" s="21">
        <v>7050</v>
      </c>
      <c r="H66" s="22">
        <v>1</v>
      </c>
      <c r="I66" s="80" cm="1">
        <f t="array" ref="I66">(G66*C66)*0.000425</f>
        <v>12.8539125</v>
      </c>
      <c r="J66" s="80" cm="1">
        <f t="array" ref="J66">(D66*G66)*0.000425</f>
        <v>12.704099999999999</v>
      </c>
      <c r="K66" s="81" cm="1">
        <f t="array" ref="K66">(I66+J66)*1.05</f>
        <v>26.835913124999998</v>
      </c>
      <c r="L66" s="81" cm="1">
        <f t="array" ref="L66">IF(D66=0,0,(D66-C66)*G66)</f>
        <v>-352.49999999999875</v>
      </c>
      <c r="M66" s="46" t="s">
        <v>13</v>
      </c>
      <c r="N66" s="26" cm="1">
        <f t="array" ref="N66">IFERROR((K66-J66)/J66,"–")</f>
        <v>1.1123820754716982</v>
      </c>
      <c r="O66" s="81" cm="1">
        <f t="array" ref="O66">IF(D66=0,0,L66-K66)</f>
        <v>-379.33591312499874</v>
      </c>
      <c r="P66" s="51"/>
    </row>
    <row r="67" spans="1:16" ht="22.5" customHeight="1">
      <c r="A67" s="16" t="s">
        <v>371</v>
      </c>
      <c r="B67" s="14" t="s">
        <v>372</v>
      </c>
      <c r="C67" s="83">
        <v>3.03</v>
      </c>
      <c r="D67" s="83">
        <v>2.98</v>
      </c>
      <c r="E67" s="83" cm="1">
        <f t="array" ref="E67">D67-_xlfn.SINGLE(C2:C104)</f>
        <v>-4.9999999999999822E-2</v>
      </c>
      <c r="F67" s="31" cm="1">
        <f t="array" ref="F67">IF(D67=0,"",(D67-C67)/C67)</f>
        <v>-1.6501650165016445E-2</v>
      </c>
      <c r="G67" s="32">
        <v>4000</v>
      </c>
      <c r="H67" s="10">
        <v>1</v>
      </c>
      <c r="I67" s="83" cm="1">
        <f t="array" ref="I67">(G67*C67)*0.000425</f>
        <v>5.1509999999999998</v>
      </c>
      <c r="J67" s="83" cm="1">
        <f t="array" ref="J67">(D67*G67)*0.000425</f>
        <v>5.0659999999999998</v>
      </c>
      <c r="K67" s="84" cm="1">
        <f t="array" ref="K67">(I67+J67)*1.05</f>
        <v>10.727849999999998</v>
      </c>
      <c r="L67" s="84" cm="1">
        <f t="array" ref="L67">IF(D67=0,0,(D67-C67)*G67)</f>
        <v>-199.99999999999929</v>
      </c>
      <c r="M67" s="45" t="s">
        <v>13</v>
      </c>
      <c r="N67" s="34" cm="1">
        <f t="array" ref="N67">IFERROR((K67-J67)/J67,"–")</f>
        <v>1.1176174496644293</v>
      </c>
      <c r="O67" s="84" cm="1">
        <f t="array" ref="O67">IF(D67=0,0,L67-K67)</f>
        <v>-210.72784999999928</v>
      </c>
      <c r="P67" s="50"/>
    </row>
    <row r="68" spans="1:16" ht="22.5" customHeight="1">
      <c r="A68" s="16" t="s">
        <v>371</v>
      </c>
      <c r="B68" s="44" t="s">
        <v>372</v>
      </c>
      <c r="C68" s="80">
        <v>3.01</v>
      </c>
      <c r="D68" s="80">
        <v>2.88</v>
      </c>
      <c r="E68" s="80" cm="1">
        <f t="array" ref="E68">D68-_xlfn.SINGLE(C2:C104)</f>
        <v>-0.12999999999999989</v>
      </c>
      <c r="F68" s="20" cm="1">
        <f t="array" ref="F68">IF(D68=0,"",(D68-C68)/C68)</f>
        <v>-4.318936877076409E-2</v>
      </c>
      <c r="G68" s="21">
        <v>345</v>
      </c>
      <c r="H68" s="22">
        <v>1</v>
      </c>
      <c r="I68" s="80" cm="1">
        <f t="array" ref="I68">(G68*C68)*0.000425</f>
        <v>0.44134124999999991</v>
      </c>
      <c r="J68" s="80" cm="1">
        <f t="array" ref="J68">(D68*G68)*0.000425</f>
        <v>0.42227999999999993</v>
      </c>
      <c r="K68" s="81" cm="1">
        <f t="array" ref="K68">(I68+J68)*1.05</f>
        <v>0.90680231249999976</v>
      </c>
      <c r="L68" s="81" cm="1">
        <f t="array" ref="L68">IF(D68=0,0,(D68-C68)*G68)</f>
        <v>-44.849999999999966</v>
      </c>
      <c r="M68" s="46" t="s">
        <v>13</v>
      </c>
      <c r="N68" s="26" cm="1">
        <f t="array" ref="N68">IFERROR((K68-J68)/J68,"–")</f>
        <v>1.1473958333333332</v>
      </c>
      <c r="O68" s="81" cm="1">
        <f t="array" ref="O68">IF(D68=0,0,L68-K68)</f>
        <v>-45.756802312499964</v>
      </c>
      <c r="P68" s="51"/>
    </row>
    <row r="69" spans="1:16" ht="22.5" customHeight="1">
      <c r="A69" s="16" t="s">
        <v>373</v>
      </c>
      <c r="B69" s="14" t="s">
        <v>374</v>
      </c>
      <c r="C69" s="83">
        <v>6.69</v>
      </c>
      <c r="D69" s="83">
        <v>6.67</v>
      </c>
      <c r="E69" s="83" cm="1">
        <f t="array" ref="E69">D69-_xlfn.SINGLE(C2:C104)</f>
        <v>-2.0000000000000462E-2</v>
      </c>
      <c r="F69" s="31" cm="1">
        <f t="array" ref="F69">IF(D69=0,"",(D69-C69)/C69)</f>
        <v>-2.9895366218236864E-3</v>
      </c>
      <c r="G69" s="32">
        <v>2500</v>
      </c>
      <c r="H69" s="10">
        <v>1</v>
      </c>
      <c r="I69" s="83" cm="1">
        <f t="array" ref="I69">(G69*C69)*0.000425</f>
        <v>7.1081249999999994</v>
      </c>
      <c r="J69" s="83" cm="1">
        <f t="array" ref="J69">(D69*G69)*0.000425</f>
        <v>7.086875</v>
      </c>
      <c r="K69" s="84" cm="1">
        <f t="array" ref="K69">(I69+J69)*1.05</f>
        <v>14.904750000000002</v>
      </c>
      <c r="L69" s="84" cm="1">
        <f t="array" ref="L69">IF(D69=0,0,(D69-C69)*G69)</f>
        <v>-50.000000000001151</v>
      </c>
      <c r="M69" s="45" t="s">
        <v>13</v>
      </c>
      <c r="N69" s="34" cm="1">
        <f t="array" ref="N69">IFERROR((K69-J69)/J69,"–")</f>
        <v>1.1031484257871067</v>
      </c>
      <c r="O69" s="84" cm="1">
        <f t="array" ref="O69">IF(D69=0,0,L69-K69)</f>
        <v>-64.904750000001158</v>
      </c>
      <c r="P69" s="50"/>
    </row>
    <row r="70" spans="1:16" ht="22.5" customHeight="1">
      <c r="A70" s="16" t="s">
        <v>375</v>
      </c>
      <c r="B70" s="44" t="s">
        <v>376</v>
      </c>
      <c r="C70" s="80">
        <v>1788.99</v>
      </c>
      <c r="D70" s="80">
        <v>1820.5</v>
      </c>
      <c r="E70" s="80" cm="1">
        <f t="array" ref="E70">D70-_xlfn.SINGLE(C2:C104)</f>
        <v>31.509999999999991</v>
      </c>
      <c r="F70" s="20" cm="1">
        <f t="array" ref="F70">IF(D70=0,"",(D70-C70)/C70)</f>
        <v>1.7613290180492899E-2</v>
      </c>
      <c r="G70" s="21">
        <v>9</v>
      </c>
      <c r="H70" s="22">
        <v>1</v>
      </c>
      <c r="I70" s="80" cm="1">
        <f t="array" ref="I70">(G70*C70)*0.000425</f>
        <v>6.8428867499999999</v>
      </c>
      <c r="J70" s="80" cm="1">
        <f t="array" ref="J70">(D70*G70)*0.000425</f>
        <v>6.9634124999999996</v>
      </c>
      <c r="K70" s="81" cm="1">
        <f t="array" ref="K70">(I70+J70)*1.05</f>
        <v>14.496614212499999</v>
      </c>
      <c r="L70" s="81" cm="1">
        <f t="array" ref="L70">IF(D70=0,0,(D70-C70)*G70)</f>
        <v>283.58999999999992</v>
      </c>
      <c r="M70" s="46" t="s">
        <v>13</v>
      </c>
      <c r="N70" s="26" cm="1">
        <f t="array" ref="N70">IFERROR((K70-J70)/J70,"–")</f>
        <v>1.0818261466630046</v>
      </c>
      <c r="O70" s="81" cm="1">
        <f t="array" ref="O70">IF(D70=0,0,L70-K70)</f>
        <v>269.09338578749993</v>
      </c>
      <c r="P70" s="51"/>
    </row>
    <row r="71" spans="1:16" ht="22.5" customHeight="1">
      <c r="A71" s="16" t="s">
        <v>375</v>
      </c>
      <c r="B71" s="14" t="s">
        <v>376</v>
      </c>
      <c r="C71" s="83">
        <v>1802.2</v>
      </c>
      <c r="D71" s="83">
        <v>1821</v>
      </c>
      <c r="E71" s="83" cm="1">
        <f t="array" ref="E71">D71-_xlfn.SINGLE(C2:C104)</f>
        <v>18.799999999999955</v>
      </c>
      <c r="F71" s="31" cm="1">
        <f t="array" ref="F71">IF(D71=0,"",(D71-C71)/C71)</f>
        <v>1.0431694595494371E-2</v>
      </c>
      <c r="G71" s="32">
        <v>1</v>
      </c>
      <c r="H71" s="10">
        <v>1</v>
      </c>
      <c r="I71" s="83" cm="1">
        <f t="array" ref="I71">(G71*C71)*0.000425</f>
        <v>0.76593499999999992</v>
      </c>
      <c r="J71" s="83" cm="1">
        <f t="array" ref="J71">(D71*G71)*0.000425</f>
        <v>0.77392499999999997</v>
      </c>
      <c r="K71" s="84" cm="1">
        <f t="array" ref="K71">(I71+J71)*1.05</f>
        <v>1.6168530000000001</v>
      </c>
      <c r="L71" s="84" cm="1">
        <f t="array" ref="L71">IF(D71=0,0,(D71-C71)*G71)</f>
        <v>18.799999999999955</v>
      </c>
      <c r="M71" s="45" t="s">
        <v>13</v>
      </c>
      <c r="N71" s="34" cm="1">
        <f t="array" ref="N71">IFERROR((K71-J71)/J71,"–")</f>
        <v>1.0891598023064253</v>
      </c>
      <c r="O71" s="84" cm="1">
        <f t="array" ref="O71">IF(D71=0,0,L71-K71)</f>
        <v>17.183146999999956</v>
      </c>
      <c r="P71" s="50"/>
    </row>
    <row r="72" spans="1:16" ht="22.5" customHeight="1">
      <c r="A72" s="16" t="s">
        <v>375</v>
      </c>
      <c r="B72" s="44" t="s">
        <v>376</v>
      </c>
      <c r="C72" s="80">
        <v>1788.99</v>
      </c>
      <c r="D72" s="80">
        <v>1821</v>
      </c>
      <c r="E72" s="80" cm="1">
        <f t="array" ref="E72">D72-_xlfn.SINGLE(C2:C104)</f>
        <v>32.009999999999991</v>
      </c>
      <c r="F72" s="20" cm="1">
        <f t="array" ref="F72">IF(D72=0,"",(D72-C72)/C72)</f>
        <v>1.7892777488974221E-2</v>
      </c>
      <c r="G72" s="21">
        <v>2</v>
      </c>
      <c r="H72" s="22">
        <v>1</v>
      </c>
      <c r="I72" s="80" cm="1">
        <f t="array" ref="I72">(G72*C72)*0.000425</f>
        <v>1.5206415</v>
      </c>
      <c r="J72" s="80" cm="1">
        <f t="array" ref="J72">(D72*G72)*0.000425</f>
        <v>1.5478499999999999</v>
      </c>
      <c r="K72" s="81" cm="1">
        <f t="array" ref="K72">(I72+J72)*1.05</f>
        <v>3.2219160750000002</v>
      </c>
      <c r="L72" s="81" cm="1">
        <f t="array" ref="L72">IF(D72=0,0,(D72-C72)*G72)</f>
        <v>64.019999999999982</v>
      </c>
      <c r="M72" s="46" t="s">
        <v>13</v>
      </c>
      <c r="N72" s="26" cm="1">
        <f t="array" ref="N72">IFERROR((K72-J72)/J72,"–")</f>
        <v>1.081542833607908</v>
      </c>
      <c r="O72" s="81" cm="1">
        <f t="array" ref="O72">IF(D72=0,0,L72-K72)</f>
        <v>60.798083924999979</v>
      </c>
      <c r="P72" s="51"/>
    </row>
    <row r="73" spans="1:16" ht="22.5" customHeight="1">
      <c r="A73" s="16" t="s">
        <v>375</v>
      </c>
      <c r="B73" s="14" t="s">
        <v>376</v>
      </c>
      <c r="C73" s="83">
        <v>1788.99</v>
      </c>
      <c r="D73" s="83">
        <v>1820.1</v>
      </c>
      <c r="E73" s="83" cm="1">
        <f t="array" ref="E73">D73-_xlfn.SINGLE(C2:C104)</f>
        <v>31.1099999999999</v>
      </c>
      <c r="F73" s="31" cm="1">
        <f t="array" ref="F73">IF(D73=0,"",(D73-C73)/C73)</f>
        <v>1.7389700333707792E-2</v>
      </c>
      <c r="G73" s="32">
        <v>4</v>
      </c>
      <c r="H73" s="10">
        <v>1</v>
      </c>
      <c r="I73" s="83" cm="1">
        <f t="array" ref="I73">(G73*C73)*0.000425</f>
        <v>3.041283</v>
      </c>
      <c r="J73" s="83" cm="1">
        <f t="array" ref="J73">(D73*G73)*0.000425</f>
        <v>3.0941699999999996</v>
      </c>
      <c r="K73" s="84" cm="1">
        <f t="array" ref="K73">(I73+J73)*1.05</f>
        <v>6.4422256500000001</v>
      </c>
      <c r="L73" s="84" cm="1">
        <f t="array" ref="L73">IF(D73=0,0,(D73-C73)*G73)</f>
        <v>124.4399999999996</v>
      </c>
      <c r="M73" s="45" t="s">
        <v>13</v>
      </c>
      <c r="N73" s="34" cm="1">
        <f t="array" ref="N73">IFERROR((K73-J73)/J73,"–")</f>
        <v>1.0820529091808144</v>
      </c>
      <c r="O73" s="84" cm="1">
        <f t="array" ref="O73">IF(D73=0,0,L73-K73)</f>
        <v>117.9977743499996</v>
      </c>
      <c r="P73" s="50"/>
    </row>
    <row r="74" spans="1:16" ht="22.5" customHeight="1">
      <c r="A74" s="16" t="s">
        <v>336</v>
      </c>
      <c r="B74" s="44" t="s">
        <v>377</v>
      </c>
      <c r="C74" s="80">
        <v>4.9800000000000004</v>
      </c>
      <c r="D74" s="80">
        <v>4.63</v>
      </c>
      <c r="E74" s="80" cm="1">
        <f t="array" ref="E74">D74-_xlfn.SINGLE(C2:C104)</f>
        <v>-0.35000000000000053</v>
      </c>
      <c r="F74" s="20" cm="1">
        <f t="array" ref="F74">IF(D74=0,"",(D74-C74)/C74)</f>
        <v>-7.0281124497992065E-2</v>
      </c>
      <c r="G74" s="21">
        <v>3000</v>
      </c>
      <c r="H74" s="22">
        <v>1</v>
      </c>
      <c r="I74" s="80" cm="1">
        <f t="array" ref="I74">(G74*C74)*0.000425</f>
        <v>6.3495000000000008</v>
      </c>
      <c r="J74" s="80" cm="1">
        <f t="array" ref="J74">(D74*G74)*0.000425</f>
        <v>5.9032499999999999</v>
      </c>
      <c r="K74" s="81" cm="1">
        <f t="array" ref="K74">(I74+J74)*1.05</f>
        <v>12.865387500000001</v>
      </c>
      <c r="L74" s="81" cm="1">
        <f t="array" ref="L74">IF(D74=0,0,(D74-C74)*G74)</f>
        <v>-1050.0000000000016</v>
      </c>
      <c r="M74" s="46" t="s">
        <v>13</v>
      </c>
      <c r="N74" s="26" cm="1">
        <f t="array" ref="N74">IFERROR((K74-J74)/J74,"–")</f>
        <v>1.1793736501079914</v>
      </c>
      <c r="O74" s="81" cm="1">
        <f t="array" ref="O74">IF(D74=0,0,L74-K74)</f>
        <v>-1062.8653875000016</v>
      </c>
      <c r="P74" s="51"/>
    </row>
    <row r="75" spans="1:16" ht="22.5" customHeight="1">
      <c r="A75" s="16" t="s">
        <v>336</v>
      </c>
      <c r="B75" s="14" t="s">
        <v>378</v>
      </c>
      <c r="C75" s="83">
        <v>4.9800000000000004</v>
      </c>
      <c r="D75" s="83">
        <v>5.0999999999999996</v>
      </c>
      <c r="E75" s="83" cm="1">
        <f t="array" ref="E75">D75-_xlfn.SINGLE(C2:C104)</f>
        <v>0.11999999999999922</v>
      </c>
      <c r="F75" s="31" cm="1">
        <f t="array" ref="F75">IF(D75=0,"",(D75-C75)/C75)</f>
        <v>2.4096385542168516E-2</v>
      </c>
      <c r="G75" s="32">
        <v>3000</v>
      </c>
      <c r="H75" s="10">
        <v>1</v>
      </c>
      <c r="I75" s="83" cm="1">
        <f t="array" ref="I75">(G75*C75)*0.000425</f>
        <v>6.3495000000000008</v>
      </c>
      <c r="J75" s="83" cm="1">
        <f t="array" ref="J75">(D75*G75)*0.000425</f>
        <v>6.5024999999999986</v>
      </c>
      <c r="K75" s="84" cm="1">
        <f t="array" ref="K75">(I75+J75)*1.05</f>
        <v>13.4946</v>
      </c>
      <c r="L75" s="84" cm="1">
        <f t="array" ref="L75">IF(D75=0,0,(D75-C75)*G75)</f>
        <v>359.99999999999767</v>
      </c>
      <c r="M75" s="45" t="s">
        <v>13</v>
      </c>
      <c r="N75" s="34" cm="1">
        <f t="array" ref="N75">IFERROR((K75-J75)/J75,"–")</f>
        <v>1.0752941176470594</v>
      </c>
      <c r="O75" s="84" cm="1">
        <f t="array" ref="O75">IF(D75=0,0,L75-K75)</f>
        <v>346.50539999999768</v>
      </c>
      <c r="P75" s="50"/>
    </row>
    <row r="76" spans="1:16" ht="22.5" customHeight="1">
      <c r="A76" s="16" t="s">
        <v>336</v>
      </c>
      <c r="B76" s="44" t="s">
        <v>378</v>
      </c>
      <c r="C76" s="80">
        <v>5.07</v>
      </c>
      <c r="D76" s="80">
        <v>5.17</v>
      </c>
      <c r="E76" s="80" cm="1">
        <f t="array" ref="E76">D76-_xlfn.SINGLE(C2:C104)</f>
        <v>9.9999999999999645E-2</v>
      </c>
      <c r="F76" s="20" cm="1">
        <f t="array" ref="F76">IF(D76=0,"",(D76-C76)/C76)</f>
        <v>1.9723865877711959E-2</v>
      </c>
      <c r="G76" s="21">
        <v>3000</v>
      </c>
      <c r="H76" s="22">
        <v>1</v>
      </c>
      <c r="I76" s="80" cm="1">
        <f t="array" ref="I76">(G76*C76)*0.000425</f>
        <v>6.4642499999999998</v>
      </c>
      <c r="J76" s="80" cm="1">
        <f t="array" ref="J76">(D76*G76)*0.000425</f>
        <v>6.5917499999999993</v>
      </c>
      <c r="K76" s="81" cm="1">
        <f t="array" ref="K76">(I76+J76)*1.05</f>
        <v>13.7088</v>
      </c>
      <c r="L76" s="81" cm="1">
        <f t="array" ref="L76">IF(D76=0,0,(D76-C76)*G76)</f>
        <v>299.99999999999892</v>
      </c>
      <c r="M76" s="46" t="s">
        <v>13</v>
      </c>
      <c r="N76" s="26" cm="1">
        <f t="array" ref="N76">IFERROR((K76-J76)/J76,"–")</f>
        <v>1.0796905222437139</v>
      </c>
      <c r="O76" s="81" cm="1">
        <f t="array" ref="O76">IF(D76=0,0,L76-K76)</f>
        <v>286.29119999999892</v>
      </c>
      <c r="P76" s="51"/>
    </row>
    <row r="77" spans="1:16" ht="22.5" customHeight="1">
      <c r="A77" s="16" t="s">
        <v>336</v>
      </c>
      <c r="B77" s="14" t="s">
        <v>379</v>
      </c>
      <c r="C77" s="83">
        <v>5.07</v>
      </c>
      <c r="D77" s="83">
        <v>4.3499999999999996</v>
      </c>
      <c r="E77" s="83" cm="1">
        <f t="array" ref="E77">D77-_xlfn.SINGLE(C2:C104)</f>
        <v>-0.72000000000000064</v>
      </c>
      <c r="F77" s="31" cm="1">
        <f t="array" ref="F77">IF(D77=0,"",(D77-C77)/C77)</f>
        <v>-0.14201183431952674</v>
      </c>
      <c r="G77" s="32">
        <v>43</v>
      </c>
      <c r="H77" s="10">
        <v>1</v>
      </c>
      <c r="I77" s="83" cm="1">
        <f t="array" ref="I77">(G77*C77)*0.000425</f>
        <v>9.2654250000000007E-2</v>
      </c>
      <c r="J77" s="83" cm="1">
        <f t="array" ref="J77">(D77*G77)*0.000425</f>
        <v>7.9496249999999991E-2</v>
      </c>
      <c r="K77" s="84" cm="1">
        <f t="array" ref="K77">(I77+J77)*1.05</f>
        <v>0.18075802499999999</v>
      </c>
      <c r="L77" s="84" cm="1">
        <f t="array" ref="L77">IF(D77=0,0,(D77-C77)*G77)</f>
        <v>-30.960000000000029</v>
      </c>
      <c r="M77" s="45" t="s">
        <v>13</v>
      </c>
      <c r="N77" s="34" cm="1">
        <f t="array" ref="N77">IFERROR((K77-J77)/J77,"–")</f>
        <v>1.2737931034482759</v>
      </c>
      <c r="O77" s="84" cm="1">
        <f t="array" ref="O77">IF(D77=0,0,L77-K77)</f>
        <v>-31.140758025000029</v>
      </c>
      <c r="P77" s="50"/>
    </row>
    <row r="78" spans="1:16" ht="22.5" customHeight="1">
      <c r="A78" s="16" t="s">
        <v>336</v>
      </c>
      <c r="B78" s="44" t="s">
        <v>379</v>
      </c>
      <c r="C78" s="80">
        <v>5.15</v>
      </c>
      <c r="D78" s="80">
        <v>4.3499999999999996</v>
      </c>
      <c r="E78" s="80" cm="1">
        <f t="array" ref="E78">D78-_xlfn.SINGLE(C2:C104)</f>
        <v>-0.80000000000000071</v>
      </c>
      <c r="F78" s="20" cm="1">
        <f t="array" ref="F78">IF(D78=0,"",(D78-C78)/C78)</f>
        <v>-0.15533980582524284</v>
      </c>
      <c r="G78" s="21">
        <v>3000</v>
      </c>
      <c r="H78" s="22">
        <v>1</v>
      </c>
      <c r="I78" s="80" cm="1">
        <f t="array" ref="I78">(G78*C78)*0.000425</f>
        <v>6.5662500000000001</v>
      </c>
      <c r="J78" s="80" cm="1">
        <f t="array" ref="J78">(D78*G78)*0.000425</f>
        <v>5.5462499999999988</v>
      </c>
      <c r="K78" s="81" cm="1">
        <f t="array" ref="K78">(I78+J78)*1.05</f>
        <v>12.718124999999999</v>
      </c>
      <c r="L78" s="81" cm="1">
        <f t="array" ref="L78">IF(D78=0,0,(D78-C78)*G78)</f>
        <v>-2400.0000000000023</v>
      </c>
      <c r="M78" s="46" t="s">
        <v>13</v>
      </c>
      <c r="N78" s="26" cm="1">
        <f t="array" ref="N78">IFERROR((K78-J78)/J78,"–")</f>
        <v>1.2931034482758623</v>
      </c>
      <c r="O78" s="81" cm="1">
        <f t="array" ref="O78">IF(D78=0,0,L78-K78)</f>
        <v>-2412.7181250000021</v>
      </c>
      <c r="P78" s="51"/>
    </row>
    <row r="79" spans="1:16" ht="22.5" customHeight="1">
      <c r="A79" s="16" t="s">
        <v>380</v>
      </c>
      <c r="B79" s="14" t="s">
        <v>381</v>
      </c>
      <c r="C79" s="83">
        <v>14</v>
      </c>
      <c r="D79" s="83">
        <v>13.93</v>
      </c>
      <c r="E79" s="83" cm="1">
        <f t="array" ref="E79">D79-_xlfn.SINGLE(C2:C104)</f>
        <v>-7.0000000000000284E-2</v>
      </c>
      <c r="F79" s="31" cm="1">
        <f t="array" ref="F79">IF(D79=0,"",(D79-C79)/C79)</f>
        <v>-5.0000000000000201E-3</v>
      </c>
      <c r="G79" s="32">
        <v>738</v>
      </c>
      <c r="H79" s="10">
        <v>1</v>
      </c>
      <c r="I79" s="83" cm="1">
        <f t="array" ref="I79">(G79*C79)*0.000425</f>
        <v>4.3910999999999998</v>
      </c>
      <c r="J79" s="83" cm="1">
        <f t="array" ref="J79">(D79*G79)*0.000425</f>
        <v>4.3691445</v>
      </c>
      <c r="K79" s="84" cm="1">
        <f t="array" ref="K79">(I79+J79)*1.05</f>
        <v>9.1982567249999985</v>
      </c>
      <c r="L79" s="84" cm="1">
        <f t="array" ref="L79">IF(D79=0,0,(D79-C79)*G79)</f>
        <v>-51.66000000000021</v>
      </c>
      <c r="M79" s="45" t="s">
        <v>13</v>
      </c>
      <c r="N79" s="34" cm="1">
        <f t="array" ref="N79">IFERROR((K79-J79)/J79,"–")</f>
        <v>1.1052763819095475</v>
      </c>
      <c r="O79" s="84" cm="1">
        <f t="array" ref="O79">IF(D79=0,0,L79-K79)</f>
        <v>-60.85825672500021</v>
      </c>
      <c r="P79" s="50"/>
    </row>
    <row r="80" spans="1:16" ht="22.5" customHeight="1">
      <c r="A80" s="16" t="s">
        <v>380</v>
      </c>
      <c r="B80" s="44" t="s">
        <v>381</v>
      </c>
      <c r="C80" s="80">
        <v>13.99</v>
      </c>
      <c r="D80" s="80">
        <v>14</v>
      </c>
      <c r="E80" s="80" cm="1">
        <f t="array" ref="E80">D80-_xlfn.SINGLE(C2:C104)</f>
        <v>9.9999999999997868E-3</v>
      </c>
      <c r="F80" s="20" cm="1">
        <f t="array" ref="F80">IF(D80=0,"",(D80-C80)/C80)</f>
        <v>7.1479628305931282E-4</v>
      </c>
      <c r="G80" s="21">
        <v>62</v>
      </c>
      <c r="H80" s="22">
        <v>1</v>
      </c>
      <c r="I80" s="80" cm="1">
        <f t="array" ref="I80">(G80*C80)*0.000425</f>
        <v>0.36863649999999998</v>
      </c>
      <c r="J80" s="80" cm="1">
        <f t="array" ref="J80">(D80*G80)*0.000425</f>
        <v>0.36890000000000001</v>
      </c>
      <c r="K80" s="81" cm="1">
        <f t="array" ref="K80">(I80+J80)*1.05</f>
        <v>0.77441332500000004</v>
      </c>
      <c r="L80" s="81" cm="1">
        <f t="array" ref="L80">IF(D80=0,0,(D80-C80)*G80)</f>
        <v>0.61999999999998678</v>
      </c>
      <c r="M80" s="46" t="s">
        <v>13</v>
      </c>
      <c r="N80" s="26" cm="1">
        <f t="array" ref="N80">IFERROR((K80-J80)/J80,"–")</f>
        <v>1.0992500000000001</v>
      </c>
      <c r="O80" s="81" cm="1">
        <f t="array" ref="O80">IF(D80=0,0,L80-K80)</f>
        <v>-0.15441332500001326</v>
      </c>
      <c r="P80" s="51"/>
    </row>
    <row r="81" spans="1:16" ht="22.5" customHeight="1">
      <c r="A81" s="16" t="s">
        <v>336</v>
      </c>
      <c r="B81" s="14" t="s">
        <v>382</v>
      </c>
      <c r="C81" s="83">
        <v>4.62</v>
      </c>
      <c r="D81" s="83">
        <v>4.3499999999999996</v>
      </c>
      <c r="E81" s="83" cm="1">
        <f t="array" ref="E81">D81-_xlfn.SINGLE(C2:C104)</f>
        <v>-0.27000000000000046</v>
      </c>
      <c r="F81" s="31" cm="1">
        <f t="array" ref="F81">IF(D81=0,"",(D81-C81)/C81)</f>
        <v>-5.8441558441558537E-2</v>
      </c>
      <c r="G81" s="32">
        <v>580</v>
      </c>
      <c r="H81" s="10">
        <v>1</v>
      </c>
      <c r="I81" s="83" cm="1">
        <f t="array" ref="I81">(G81*C81)*0.000425</f>
        <v>1.13883</v>
      </c>
      <c r="J81" s="83" cm="1">
        <f t="array" ref="J81">(D81*G81)*0.000425</f>
        <v>1.0722749999999999</v>
      </c>
      <c r="K81" s="84" cm="1">
        <f t="array" ref="K81">(I81+J81)*1.05</f>
        <v>2.3216602499999999</v>
      </c>
      <c r="L81" s="84" cm="1">
        <f t="array" ref="L81">IF(D81=0,0,(D81-C81)*G81)</f>
        <v>-156.60000000000028</v>
      </c>
      <c r="M81" s="45" t="s">
        <v>13</v>
      </c>
      <c r="N81" s="34" cm="1">
        <f t="array" ref="N81">IFERROR((K81-J81)/J81,"–")</f>
        <v>1.1651724137931037</v>
      </c>
      <c r="O81" s="84" cm="1">
        <f t="array" ref="O81">IF(D81=0,0,L81-K81)</f>
        <v>-158.92166025000029</v>
      </c>
      <c r="P81" s="50"/>
    </row>
    <row r="82" spans="1:16" ht="22.5" customHeight="1">
      <c r="A82" s="16" t="s">
        <v>336</v>
      </c>
      <c r="B82" s="44" t="s">
        <v>382</v>
      </c>
      <c r="C82" s="80">
        <v>4.5199999999999996</v>
      </c>
      <c r="D82" s="80">
        <v>4.3499999999999996</v>
      </c>
      <c r="E82" s="80" cm="1">
        <f t="array" ref="E82">D82-_xlfn.SINGLE(C2:C104)</f>
        <v>-0.16999999999999993</v>
      </c>
      <c r="F82" s="20" cm="1">
        <f t="array" ref="F82">IF(D82=0,"",(D82-C82)/C82)</f>
        <v>-3.7610619469026538E-2</v>
      </c>
      <c r="G82" s="21">
        <v>1350</v>
      </c>
      <c r="H82" s="22">
        <v>1</v>
      </c>
      <c r="I82" s="80" cm="1">
        <f t="array" ref="I82">(G82*C82)*0.000425</f>
        <v>2.5933499999999996</v>
      </c>
      <c r="J82" s="80" cm="1">
        <f t="array" ref="J82">(D82*G82)*0.000425</f>
        <v>2.4958124999999995</v>
      </c>
      <c r="K82" s="81" cm="1">
        <f t="array" ref="K82">(I82+J82)*1.05</f>
        <v>5.3436206249999989</v>
      </c>
      <c r="L82" s="81" cm="1">
        <f t="array" ref="L82">IF(D82=0,0,(D82-C82)*G82)</f>
        <v>-229.49999999999991</v>
      </c>
      <c r="M82" s="46" t="s">
        <v>13</v>
      </c>
      <c r="N82" s="26" cm="1">
        <f t="array" ref="N82">IFERROR((K82-J82)/J82,"–")</f>
        <v>1.1410344827586207</v>
      </c>
      <c r="O82" s="81" cm="1">
        <f t="array" ref="O82">IF(D82=0,0,L82-K82)</f>
        <v>-234.84362062499991</v>
      </c>
      <c r="P82" s="89"/>
    </row>
    <row r="83" spans="1:16" ht="22.5" customHeight="1">
      <c r="A83" s="16" t="s">
        <v>336</v>
      </c>
      <c r="B83" s="14" t="s">
        <v>382</v>
      </c>
      <c r="C83" s="83">
        <v>4.5199999999999996</v>
      </c>
      <c r="D83" s="83">
        <v>4.53</v>
      </c>
      <c r="E83" s="83" cm="1">
        <f t="array" ref="E83">D83-_xlfn.SINGLE(C2:C104)</f>
        <v>1.0000000000000675E-2</v>
      </c>
      <c r="F83" s="31" cm="1">
        <f t="array" ref="F83">IF(D83=0,"",(D83-C83)/C83)</f>
        <v>2.212389380531123E-3</v>
      </c>
      <c r="G83" s="32">
        <v>1100</v>
      </c>
      <c r="H83" s="10">
        <v>1</v>
      </c>
      <c r="I83" s="83" cm="1">
        <f t="array" ref="I83">(G83*C83)*0.000425</f>
        <v>2.1130999999999993</v>
      </c>
      <c r="J83" s="83" cm="1">
        <f t="array" ref="J83">(D83*G83)*0.000425</f>
        <v>2.117775</v>
      </c>
      <c r="K83" s="84" cm="1">
        <f t="array" ref="K83">(I83+J83)*1.05</f>
        <v>4.4424187499999999</v>
      </c>
      <c r="L83" s="84" cm="1">
        <f t="array" ref="L83">IF(D83=0,0,(D83-C83)*G83)</f>
        <v>11.000000000000743</v>
      </c>
      <c r="M83" s="45" t="s">
        <v>13</v>
      </c>
      <c r="N83" s="34" cm="1">
        <f t="array" ref="N83">IFERROR((K83-J83)/J83,"–")</f>
        <v>1.0976821192052979</v>
      </c>
      <c r="O83" s="84" cm="1">
        <f t="array" ref="O83">IF(D83=0,0,L83-K83)</f>
        <v>6.5575812500007427</v>
      </c>
      <c r="P83" s="94"/>
    </row>
    <row r="84" spans="1:16" ht="22.5" customHeight="1">
      <c r="A84" s="16" t="s">
        <v>336</v>
      </c>
      <c r="B84" s="44" t="s">
        <v>383</v>
      </c>
      <c r="C84" s="80">
        <v>4.8099999999999996</v>
      </c>
      <c r="D84" s="80">
        <v>4.33</v>
      </c>
      <c r="E84" s="80" cm="1">
        <f t="array" ref="E84">D84-_xlfn.SINGLE(C2:C104)</f>
        <v>-0.47999999999999954</v>
      </c>
      <c r="F84" s="20" cm="1">
        <f t="array" ref="F84">IF(D84=0,"",(D84-C84)/C84)</f>
        <v>-9.97920997920997E-2</v>
      </c>
      <c r="G84" s="21">
        <v>3000</v>
      </c>
      <c r="H84" s="22">
        <v>1</v>
      </c>
      <c r="I84" s="80" cm="1">
        <f t="array" ref="I84">(G84*C84)*0.000425</f>
        <v>6.1327499999999988</v>
      </c>
      <c r="J84" s="80" cm="1">
        <f t="array" ref="J84">(D84*G84)*0.000425</f>
        <v>5.5207499999999996</v>
      </c>
      <c r="K84" s="81" cm="1">
        <f t="array" ref="K84">(I84+J84)*1.05</f>
        <v>12.236174999999998</v>
      </c>
      <c r="L84" s="81" cm="1">
        <f t="array" ref="L84">IF(D84=0,0,(D84-C84)*G84)</f>
        <v>-1439.9999999999986</v>
      </c>
      <c r="M84" s="46" t="s">
        <v>13</v>
      </c>
      <c r="N84" s="26" cm="1">
        <f t="array" ref="N84">IFERROR((K84-J84)/J84,"–")</f>
        <v>1.2163972286374132</v>
      </c>
      <c r="O84" s="81" cm="1">
        <f t="array" ref="O84">IF(D84=0,0,L84-K84)</f>
        <v>-1452.2361749999986</v>
      </c>
      <c r="P84" s="89"/>
    </row>
    <row r="85" spans="1:16" ht="22.5" customHeight="1">
      <c r="A85" s="16" t="s">
        <v>336</v>
      </c>
      <c r="B85" s="14" t="s">
        <v>383</v>
      </c>
      <c r="C85" s="83">
        <v>4.82</v>
      </c>
      <c r="D85" s="83">
        <v>4.33</v>
      </c>
      <c r="E85" s="83" cm="1">
        <f t="array" ref="E85">D85-_xlfn.SINGLE(C2:C104)</f>
        <v>-0.49000000000000021</v>
      </c>
      <c r="F85" s="31" cm="1">
        <f t="array" ref="F85">IF(D85=0,"",(D85-C85)/C85)</f>
        <v>-0.10165975103734444</v>
      </c>
      <c r="G85" s="32">
        <v>1500</v>
      </c>
      <c r="H85" s="10">
        <v>1</v>
      </c>
      <c r="I85" s="83" cm="1">
        <f t="array" ref="I85">(G85*C85)*0.000425</f>
        <v>3.0727499999999996</v>
      </c>
      <c r="J85" s="83" cm="1">
        <f t="array" ref="J85">(D85*G85)*0.000425</f>
        <v>2.7603749999999998</v>
      </c>
      <c r="K85" s="84" cm="1">
        <f t="array" ref="K85">(I85+J85)*1.05</f>
        <v>6.124781249999999</v>
      </c>
      <c r="L85" s="84" cm="1">
        <f t="array" ref="L85">IF(D85=0,0,(D85-C85)*G85)</f>
        <v>-735.00000000000034</v>
      </c>
      <c r="M85" s="45" t="s">
        <v>13</v>
      </c>
      <c r="N85" s="34" cm="1">
        <f t="array" ref="N85">IFERROR((K85-J85)/J85,"–")</f>
        <v>1.2188221709006926</v>
      </c>
      <c r="O85" s="84" cm="1">
        <f t="array" ref="O85">IF(D85=0,0,L85-K85)</f>
        <v>-741.1247812500003</v>
      </c>
      <c r="P85" s="50"/>
    </row>
    <row r="86" spans="1:16" ht="22.5" customHeight="1">
      <c r="A86" s="16" t="s">
        <v>336</v>
      </c>
      <c r="B86" s="44" t="s">
        <v>383</v>
      </c>
      <c r="C86" s="80">
        <v>4.8</v>
      </c>
      <c r="D86" s="80">
        <v>4.33</v>
      </c>
      <c r="E86" s="80" cm="1">
        <f t="array" ref="E86">D86-_xlfn.SINGLE(C2:C104)</f>
        <v>-0.46999999999999975</v>
      </c>
      <c r="F86" s="20" cm="1">
        <f t="array" ref="F86">IF(D86=0,"",(D86-C86)/C86)</f>
        <v>-9.7916666666666624E-2</v>
      </c>
      <c r="G86" s="21">
        <v>1000</v>
      </c>
      <c r="H86" s="22">
        <v>1</v>
      </c>
      <c r="I86" s="80" cm="1">
        <f t="array" ref="I86">(G86*C86)*0.000425</f>
        <v>2.04</v>
      </c>
      <c r="J86" s="80" cm="1">
        <f t="array" ref="J86">(D86*G86)*0.000425</f>
        <v>1.8402499999999999</v>
      </c>
      <c r="K86" s="81" cm="1">
        <f t="array" ref="K86">(I86+J86)*1.05</f>
        <v>4.0742625000000006</v>
      </c>
      <c r="L86" s="81" cm="1">
        <f t="array" ref="L86">IF(D86=0,0,(D86-C86)*G86)</f>
        <v>-469.99999999999977</v>
      </c>
      <c r="M86" s="46" t="s">
        <v>13</v>
      </c>
      <c r="N86" s="26" cm="1">
        <f t="array" ref="N86">IFERROR((K86-J86)/J86,"–")</f>
        <v>1.2139722863741342</v>
      </c>
      <c r="O86" s="81" cm="1">
        <f t="array" ref="O86">IF(D86=0,0,L86-K86)</f>
        <v>-474.07426249999975</v>
      </c>
      <c r="P86" s="89"/>
    </row>
    <row r="87" spans="1:16" ht="22.5" customHeight="1">
      <c r="A87" s="7"/>
      <c r="B87" s="8"/>
      <c r="C87" s="83"/>
      <c r="D87" s="83"/>
      <c r="E87" s="83" cm="1">
        <f t="array" ref="E87">D87-_xlfn.SINGLE(C2:C104)</f>
        <v>0</v>
      </c>
      <c r="F87" s="8" t="str" cm="1">
        <f t="array" ref="F87">IF(D87=0,"",(D87-C87)/C87)</f>
        <v/>
      </c>
      <c r="G87" s="8"/>
      <c r="H87" s="10">
        <v>1</v>
      </c>
      <c r="I87" s="83" cm="1">
        <f t="array" ref="I87">(G87*C87)*0.000425</f>
        <v>0</v>
      </c>
      <c r="J87" s="83" cm="1">
        <f t="array" ref="J87">(D87*G87)*0.000425</f>
        <v>0</v>
      </c>
      <c r="K87" s="84" cm="1">
        <f t="array" ref="K87">(I87+J87)*1.05</f>
        <v>0</v>
      </c>
      <c r="L87" s="84" cm="1">
        <f t="array" ref="L87">IF(D87=0,0,(D87-C87)*G87)</f>
        <v>0</v>
      </c>
      <c r="M87" s="45" t="s">
        <v>13</v>
      </c>
      <c r="N87" s="13" t="str" cm="1">
        <f t="array" ref="N87">IFERROR((K87-J87)/J87,"–")</f>
        <v>–</v>
      </c>
      <c r="O87" s="84" cm="1">
        <f t="array" ref="O87">IF(D87=0,0,L87-K87)</f>
        <v>0</v>
      </c>
      <c r="P87" s="94" cm="1">
        <f t="array" ref="P87">SUM(O43:O85)</f>
        <v>-4342.192830500012</v>
      </c>
    </row>
    <row r="88" spans="1:16" ht="22.5" customHeight="1">
      <c r="A88" s="7"/>
      <c r="B88" s="46"/>
      <c r="C88" s="46"/>
      <c r="D88" s="46"/>
      <c r="E88" s="46"/>
      <c r="F88" s="46"/>
      <c r="G88" s="46"/>
      <c r="H88" s="22">
        <v>1</v>
      </c>
      <c r="I88" s="46"/>
      <c r="J88" s="46"/>
      <c r="K88" s="46"/>
      <c r="L88" s="46"/>
      <c r="M88" s="88">
        <v>0</v>
      </c>
      <c r="N88" s="47" t="str" cm="1">
        <f t="array" ref="N88">IFERROR((K88-J88)/J88,"–")</f>
        <v>–</v>
      </c>
      <c r="O88" s="46"/>
      <c r="P88" s="95" t="s">
        <v>384</v>
      </c>
    </row>
    <row r="89" spans="1:16" ht="22.5" customHeight="1">
      <c r="A89" s="16" t="s">
        <v>385</v>
      </c>
      <c r="B89" s="14" t="s">
        <v>386</v>
      </c>
      <c r="C89" s="83">
        <v>11.84</v>
      </c>
      <c r="D89" s="83">
        <v>11.7</v>
      </c>
      <c r="E89" s="83" cm="1">
        <f t="array" ref="E89">D89-_xlfn.SINGLE(C2:C104)</f>
        <v>-0.14000000000000057</v>
      </c>
      <c r="F89" s="31" cm="1">
        <f t="array" ref="F89">IF(D89=0,"",(D89-C89)/C89)</f>
        <v>-1.1824324324324372E-2</v>
      </c>
      <c r="G89" s="32">
        <v>2000</v>
      </c>
      <c r="H89" s="10">
        <v>1</v>
      </c>
      <c r="I89" s="83" cm="1">
        <f t="array" ref="I89">(G89*C89)*0.000425</f>
        <v>10.064</v>
      </c>
      <c r="J89" s="83" cm="1">
        <f t="array" ref="J89">(D89*G89)*0.000425</f>
        <v>9.9450000000000003</v>
      </c>
      <c r="K89" s="84" cm="1">
        <f t="array" ref="K89">(I89+J89)*1.05</f>
        <v>21.009450000000001</v>
      </c>
      <c r="L89" s="84" cm="1">
        <f t="array" ref="L89">IF(D89=0,0,(D89-C89)*G89)</f>
        <v>-280.00000000000114</v>
      </c>
      <c r="M89" s="45" t="s">
        <v>13</v>
      </c>
      <c r="N89" s="34" cm="1">
        <f t="array" ref="N89">IFERROR((K89-J89)/J89,"–")</f>
        <v>1.1125641025641027</v>
      </c>
      <c r="O89" s="84" cm="1">
        <f t="array" ref="O89">IF(D89=0,0,L89-K89)</f>
        <v>-301.00945000000115</v>
      </c>
      <c r="P89" s="94"/>
    </row>
    <row r="90" spans="1:16" ht="22.5" customHeight="1">
      <c r="A90" s="16" t="s">
        <v>387</v>
      </c>
      <c r="B90" s="44" t="s">
        <v>388</v>
      </c>
      <c r="C90" s="80">
        <v>13.97</v>
      </c>
      <c r="D90" s="80">
        <v>14.52</v>
      </c>
      <c r="E90" s="80" cm="1">
        <f t="array" ref="E90">D90-_xlfn.SINGLE(C2:C104)</f>
        <v>0.54999999999999893</v>
      </c>
      <c r="F90" s="20" cm="1">
        <f t="array" ref="F90">IF(D90=0,"",(D90-C90)/C90)</f>
        <v>3.9370078740157403E-2</v>
      </c>
      <c r="G90" s="21">
        <v>1500</v>
      </c>
      <c r="H90" s="22">
        <v>1</v>
      </c>
      <c r="I90" s="80" cm="1">
        <f t="array" ref="I90">(G90*C90)*0.000425</f>
        <v>8.905875</v>
      </c>
      <c r="J90" s="80" cm="1">
        <f t="array" ref="J90">(D90*G90)*0.000425</f>
        <v>9.2564999999999991</v>
      </c>
      <c r="K90" s="81" cm="1">
        <f t="array" ref="K90">(I90+J90)*1.05</f>
        <v>19.070493749999997</v>
      </c>
      <c r="L90" s="81" cm="1">
        <f t="array" ref="L90">IF(D90=0,0,(D90-C90)*G90)</f>
        <v>824.99999999999841</v>
      </c>
      <c r="M90" s="46" t="s">
        <v>13</v>
      </c>
      <c r="N90" s="26" cm="1">
        <f t="array" ref="N90">IFERROR((K90-J90)/J90,"–")</f>
        <v>1.0602272727272726</v>
      </c>
      <c r="O90" s="81" cm="1">
        <f t="array" ref="O90">IF(D90=0,0,L90-K90)</f>
        <v>805.92950624999844</v>
      </c>
      <c r="P90" s="89"/>
    </row>
    <row r="91" spans="1:16" ht="22.5" customHeight="1">
      <c r="A91" s="16" t="s">
        <v>387</v>
      </c>
      <c r="B91" s="14" t="s">
        <v>388</v>
      </c>
      <c r="C91" s="83">
        <v>14.28</v>
      </c>
      <c r="D91" s="83">
        <v>13.91</v>
      </c>
      <c r="E91" s="83" cm="1">
        <f t="array" ref="E91">D91-_xlfn.SINGLE(C2:C104)</f>
        <v>-0.36999999999999922</v>
      </c>
      <c r="F91" s="31" cm="1">
        <f t="array" ref="F91">IF(D91=0,"",(D91-C91)/C91)</f>
        <v>-2.5910364145658209E-2</v>
      </c>
      <c r="G91" s="32">
        <v>280</v>
      </c>
      <c r="H91" s="10">
        <v>1</v>
      </c>
      <c r="I91" s="83" cm="1">
        <f t="array" ref="I91">(G91*C91)*0.000425</f>
        <v>1.6993199999999997</v>
      </c>
      <c r="J91" s="83" cm="1">
        <f t="array" ref="J91">(D91*G91)*0.000425</f>
        <v>1.6552899999999999</v>
      </c>
      <c r="K91" s="84" cm="1">
        <f t="array" ref="K91">(I91+J91)*1.05</f>
        <v>3.5223404999999999</v>
      </c>
      <c r="L91" s="84" cm="1">
        <f t="array" ref="L91">IF(D91=0,0,(D91-C91)*G91)</f>
        <v>-103.59999999999978</v>
      </c>
      <c r="M91" s="45" t="s">
        <v>13</v>
      </c>
      <c r="N91" s="34" cm="1">
        <f t="array" ref="N91">IFERROR((K91-J91)/J91,"–")</f>
        <v>1.1279295470884256</v>
      </c>
      <c r="O91" s="84" cm="1">
        <f t="array" ref="O91">IF(D91=0,0,L91-K91)</f>
        <v>-107.12234049999978</v>
      </c>
      <c r="P91" s="94"/>
    </row>
    <row r="92" spans="1:16" ht="22.5" customHeight="1">
      <c r="A92" s="16" t="s">
        <v>387</v>
      </c>
      <c r="B92" s="44" t="s">
        <v>388</v>
      </c>
      <c r="C92" s="80">
        <v>14.28</v>
      </c>
      <c r="D92" s="80">
        <v>13.9</v>
      </c>
      <c r="E92" s="80" cm="1">
        <f t="array" ref="E92">D92-_xlfn.SINGLE(C2:C104)</f>
        <v>-0.37999999999999901</v>
      </c>
      <c r="F92" s="20" cm="1">
        <f t="array" ref="F92">IF(D92=0,"",(D92-C92)/C92)</f>
        <v>-2.6610644257703014E-2</v>
      </c>
      <c r="G92" s="21">
        <v>353</v>
      </c>
      <c r="H92" s="22">
        <v>1</v>
      </c>
      <c r="I92" s="80" cm="1">
        <f t="array" ref="I92">(G92*C92)*0.000425</f>
        <v>2.1423570000000001</v>
      </c>
      <c r="J92" s="80" cm="1">
        <f t="array" ref="J92">(D92*G92)*0.000425</f>
        <v>2.0853474999999997</v>
      </c>
      <c r="K92" s="81" cm="1">
        <f t="array" ref="K92">(I92+J92)*1.05</f>
        <v>4.4390897249999997</v>
      </c>
      <c r="L92" s="81" cm="1">
        <f t="array" ref="L92">IF(D92=0,0,(D92-C92)*G92)</f>
        <v>-134.13999999999965</v>
      </c>
      <c r="M92" s="46" t="s">
        <v>13</v>
      </c>
      <c r="N92" s="26" cm="1">
        <f t="array" ref="N92">IFERROR((K92-J92)/J92,"–")</f>
        <v>1.1287050359712232</v>
      </c>
      <c r="O92" s="81" cm="1">
        <f t="array" ref="O92">IF(D92=0,0,L92-K92)</f>
        <v>-138.57908972499965</v>
      </c>
      <c r="P92" s="89"/>
    </row>
    <row r="93" spans="1:16" ht="22.5" customHeight="1">
      <c r="A93" s="16" t="s">
        <v>387</v>
      </c>
      <c r="B93" s="14" t="s">
        <v>388</v>
      </c>
      <c r="C93" s="83">
        <v>14.25</v>
      </c>
      <c r="D93" s="83">
        <v>13.9</v>
      </c>
      <c r="E93" s="83" cm="1">
        <f t="array" ref="E93">D93-_xlfn.SINGLE(C2:C104)</f>
        <v>-0.34999999999999964</v>
      </c>
      <c r="F93" s="31" cm="1">
        <f t="array" ref="F93">IF(D93=0,"",(D93-C93)/C93)</f>
        <v>-2.4561403508771906E-2</v>
      </c>
      <c r="G93" s="32">
        <v>500</v>
      </c>
      <c r="H93" s="10">
        <v>1</v>
      </c>
      <c r="I93" s="83" cm="1">
        <f t="array" ref="I93">(G93*C93)*0.000425</f>
        <v>3.0281249999999997</v>
      </c>
      <c r="J93" s="83" cm="1">
        <f t="array" ref="J93">(D93*G93)*0.000425</f>
        <v>2.9537499999999999</v>
      </c>
      <c r="K93" s="84" cm="1">
        <f t="array" ref="K93">(I93+J93)*1.05</f>
        <v>6.2809687499999995</v>
      </c>
      <c r="L93" s="84" cm="1">
        <f t="array" ref="L93">IF(D93=0,0,(D93-C93)*G93)</f>
        <v>-174.99999999999983</v>
      </c>
      <c r="M93" s="45" t="s">
        <v>13</v>
      </c>
      <c r="N93" s="34" cm="1">
        <f t="array" ref="N93">IFERROR((K93-J93)/J93,"–")</f>
        <v>1.1264388489208632</v>
      </c>
      <c r="O93" s="84" cm="1">
        <f t="array" ref="O93">IF(D93=0,0,L93-K93)</f>
        <v>-181.28096874999983</v>
      </c>
      <c r="P93" s="94"/>
    </row>
    <row r="94" spans="1:16" ht="22.5" customHeight="1">
      <c r="A94" s="16" t="s">
        <v>387</v>
      </c>
      <c r="B94" s="44" t="s">
        <v>388</v>
      </c>
      <c r="C94" s="80">
        <v>14.28</v>
      </c>
      <c r="D94" s="80">
        <v>14.06</v>
      </c>
      <c r="E94" s="80" cm="1">
        <f t="array" ref="E94">D94-_xlfn.SINGLE(C2:C104)</f>
        <v>-0.21999999999999886</v>
      </c>
      <c r="F94" s="20" cm="1">
        <f t="array" ref="F94">IF(D94=0,"",(D94-C94)/C94)</f>
        <v>-1.5406162464985915E-2</v>
      </c>
      <c r="G94" s="21">
        <v>367</v>
      </c>
      <c r="H94" s="22">
        <v>1</v>
      </c>
      <c r="I94" s="80" cm="1">
        <f t="array" ref="I94">(G95*C95)*0.000425</f>
        <v>5.9797499999999992</v>
      </c>
      <c r="J94" s="80" cm="1">
        <f t="array" ref="J94">(D94*G95)*0.000425</f>
        <v>5.9754999999999994</v>
      </c>
      <c r="K94" s="81" cm="1">
        <f t="array" ref="K94">(I94+J94)*1.05</f>
        <v>12.553012499999999</v>
      </c>
      <c r="L94" s="81" cm="1">
        <f t="array" ref="L94">IF(D94=0,0,(D94-C95)*G95)</f>
        <v>-9.9999999999997868</v>
      </c>
      <c r="M94" s="46" t="s">
        <v>13</v>
      </c>
      <c r="N94" s="26" cm="1">
        <f t="array" ref="N94">IFERROR((K94-J94)/J94,"–")</f>
        <v>1.1007467994310101</v>
      </c>
      <c r="O94" s="81" cm="1">
        <f t="array" ref="O94">IF(D94=0,0,L94-K94)</f>
        <v>-22.553012499999788</v>
      </c>
      <c r="P94" s="51"/>
    </row>
    <row r="95" spans="1:16" ht="22.5" customHeight="1">
      <c r="A95" s="16" t="s">
        <v>387</v>
      </c>
      <c r="B95" s="14" t="s">
        <v>388</v>
      </c>
      <c r="C95" s="83">
        <v>14.07</v>
      </c>
      <c r="D95" s="83">
        <v>14.1</v>
      </c>
      <c r="E95" s="83" cm="1">
        <f t="array" ref="E95">D95-_xlfn.SINGLE(C2:C104)</f>
        <v>2.9999999999999361E-2</v>
      </c>
      <c r="F95" s="31" cm="1">
        <f t="array" ref="F95">IF(D95=0,"",(D95-C95)/C95)</f>
        <v>2.1321961620468627E-3</v>
      </c>
      <c r="G95" s="32">
        <v>1000</v>
      </c>
      <c r="H95" s="10">
        <v>1</v>
      </c>
      <c r="I95" s="83" cm="1">
        <f t="array" ref="I95">(G95*C95)*0.000425</f>
        <v>5.9797499999999992</v>
      </c>
      <c r="J95" s="83" cm="1">
        <f t="array" ref="J95">(D95*G95)*0.000425</f>
        <v>5.9924999999999997</v>
      </c>
      <c r="K95" s="84" cm="1">
        <f t="array" ref="K95">(I95+J95)*1.05</f>
        <v>12.570862499999999</v>
      </c>
      <c r="L95" s="84" cm="1">
        <f t="array" ref="L95">IF(D95=0,0,(D95-C95)*G95)</f>
        <v>29.999999999999361</v>
      </c>
      <c r="M95" s="45" t="s">
        <v>13</v>
      </c>
      <c r="N95" s="34" cm="1">
        <f t="array" ref="N95">IFERROR((K95-J95)/J95,"–")</f>
        <v>1.0977659574468084</v>
      </c>
      <c r="O95" s="84" cm="1">
        <f t="array" ref="O95">IF(D95=0,0,L95-K95)</f>
        <v>17.429137499999364</v>
      </c>
      <c r="P95" s="94"/>
    </row>
    <row r="96" spans="1:16" ht="22.5" customHeight="1">
      <c r="A96" s="16" t="s">
        <v>387</v>
      </c>
      <c r="B96" s="44" t="s">
        <v>389</v>
      </c>
      <c r="C96" s="80">
        <v>12.44</v>
      </c>
      <c r="D96" s="80">
        <v>12.7</v>
      </c>
      <c r="E96" s="80" cm="1">
        <f t="array" ref="E96">D96-_xlfn.SINGLE(C2:C104)</f>
        <v>0.25999999999999979</v>
      </c>
      <c r="F96" s="20" cm="1">
        <f t="array" ref="F96">IF(D96=0,"",(D96-C96)/C96)</f>
        <v>2.0900321543408342E-2</v>
      </c>
      <c r="G96" s="21">
        <v>1500</v>
      </c>
      <c r="H96" s="22">
        <v>1</v>
      </c>
      <c r="I96" s="80" cm="1">
        <f t="array" ref="I96">(G96*C96)*0.000425</f>
        <v>7.9304999999999994</v>
      </c>
      <c r="J96" s="80" cm="1">
        <f t="array" ref="J96">(D96*G96)*0.000425</f>
        <v>8.0962499999999995</v>
      </c>
      <c r="K96" s="81" cm="1">
        <f t="array" ref="K96">(I96+J96)*1.05</f>
        <v>16.828087500000002</v>
      </c>
      <c r="L96" s="81" cm="1">
        <f t="array" ref="L96">IF(D96=0,0,(D96-C96)*G96)</f>
        <v>389.99999999999966</v>
      </c>
      <c r="M96" s="46" t="s">
        <v>13</v>
      </c>
      <c r="N96" s="26" cm="1">
        <f t="array" ref="N96">IFERROR((K96-J96)/J96,"–")</f>
        <v>1.0785039370078744</v>
      </c>
      <c r="O96" s="81" cm="1">
        <f t="array" ref="O96">IF(D96=0,0,L96-K96)</f>
        <v>373.17191249999968</v>
      </c>
      <c r="P96" s="89"/>
    </row>
    <row r="97" spans="1:18" ht="22.5" customHeight="1">
      <c r="A97" s="16" t="s">
        <v>385</v>
      </c>
      <c r="B97" s="14" t="s">
        <v>389</v>
      </c>
      <c r="C97" s="83">
        <v>10.61</v>
      </c>
      <c r="D97" s="83">
        <v>10.61</v>
      </c>
      <c r="E97" s="83" cm="1">
        <f t="array" ref="E97">D97-_xlfn.SINGLE(C2:C104)</f>
        <v>0</v>
      </c>
      <c r="F97" s="31" cm="1">
        <f t="array" ref="F97">IF(D97=0,"",(D97-C97)/C97)</f>
        <v>0</v>
      </c>
      <c r="G97" s="32">
        <v>1600</v>
      </c>
      <c r="H97" s="10">
        <v>1</v>
      </c>
      <c r="I97" s="83" cm="1">
        <f t="array" ref="I97">(G97*C97)*0.000425</f>
        <v>7.2147999999999994</v>
      </c>
      <c r="J97" s="83" cm="1">
        <f t="array" ref="J97">(D97*G97)*0.000425</f>
        <v>7.2147999999999994</v>
      </c>
      <c r="K97" s="84" cm="1">
        <f t="array" ref="K97">(I97+J97)*1.05</f>
        <v>15.15108</v>
      </c>
      <c r="L97" s="84" cm="1">
        <f t="array" ref="L97">IF(D97=0,0,(D97-C97)*G97)</f>
        <v>0</v>
      </c>
      <c r="M97" s="45" t="s">
        <v>13</v>
      </c>
      <c r="N97" s="34" cm="1">
        <f t="array" ref="N97">IFERROR((K97-J97)/J97,"–")</f>
        <v>1.1000000000000003</v>
      </c>
      <c r="O97" s="84" cm="1">
        <f t="array" ref="O97">IF(D97=0,0,L97-K97)</f>
        <v>-15.15108</v>
      </c>
      <c r="P97" s="50"/>
    </row>
    <row r="98" spans="1:18" ht="22.5" customHeight="1">
      <c r="A98" s="16" t="s">
        <v>390</v>
      </c>
      <c r="B98" s="44" t="s">
        <v>389</v>
      </c>
      <c r="C98" s="80">
        <v>23.4</v>
      </c>
      <c r="D98" s="80">
        <v>22.96</v>
      </c>
      <c r="E98" s="80" cm="1">
        <f t="array" ref="E98">D98-_xlfn.SINGLE(C2:C104)</f>
        <v>-0.43999999999999773</v>
      </c>
      <c r="F98" s="20" cm="1">
        <f t="array" ref="F98">IF(D98=0,"",(D98-C98)/C98)</f>
        <v>-1.8803418803418709E-2</v>
      </c>
      <c r="G98" s="21">
        <v>500</v>
      </c>
      <c r="H98" s="22">
        <v>1</v>
      </c>
      <c r="I98" s="80" cm="1">
        <f t="array" ref="I98">(G98*C98)*0.000425</f>
        <v>4.9725000000000001</v>
      </c>
      <c r="J98" s="80" cm="1">
        <f t="array" ref="J98">(D98*G98)*0.000425</f>
        <v>4.8789999999999996</v>
      </c>
      <c r="K98" s="81" cm="1">
        <f t="array" ref="K98">(I98+J98)*1.05</f>
        <v>10.344075</v>
      </c>
      <c r="L98" s="81" cm="1">
        <f t="array" ref="L98">IF(D98=0,0,(D98-C98)*G98)</f>
        <v>-219.99999999999886</v>
      </c>
      <c r="M98" s="46" t="s">
        <v>13</v>
      </c>
      <c r="N98" s="26" cm="1">
        <f t="array" ref="N98">IFERROR((K98-J98)/J98,"–")</f>
        <v>1.1201219512195124</v>
      </c>
      <c r="O98" s="81" cm="1">
        <f t="array" ref="O98">IF(D98=0,0,L98-K98)</f>
        <v>-230.34407499999887</v>
      </c>
      <c r="P98" s="89"/>
    </row>
    <row r="99" spans="1:18" ht="22.5" customHeight="1">
      <c r="A99" s="16" t="s">
        <v>336</v>
      </c>
      <c r="B99" s="14" t="s">
        <v>389</v>
      </c>
      <c r="C99" s="83">
        <v>3.93</v>
      </c>
      <c r="D99" s="83">
        <v>3.98</v>
      </c>
      <c r="E99" s="83" cm="1">
        <f t="array" ref="E99">D99-_xlfn.SINGLE(C2:C104)</f>
        <v>4.9999999999999822E-2</v>
      </c>
      <c r="F99" s="31" cm="1">
        <f t="array" ref="F99">IF(D99=0,"",(D99-C99)/C99)</f>
        <v>1.2722646310432524E-2</v>
      </c>
      <c r="G99" s="32">
        <v>5000</v>
      </c>
      <c r="H99" s="10">
        <v>1</v>
      </c>
      <c r="I99" s="83" cm="1">
        <f t="array" ref="I99">(G99*C99)*0.000425</f>
        <v>8.3512500000000003</v>
      </c>
      <c r="J99" s="83" cm="1">
        <f t="array" ref="J99">(D99*G99)*0.000425</f>
        <v>8.4574999999999996</v>
      </c>
      <c r="K99" s="84" cm="1">
        <f t="array" ref="K99">(I99+J99)*1.05</f>
        <v>17.6491875</v>
      </c>
      <c r="L99" s="84" cm="1">
        <f t="array" ref="L99">IF(D99=0,0,(D99-C99)*G99)</f>
        <v>249.99999999999912</v>
      </c>
      <c r="M99" s="45" t="s">
        <v>13</v>
      </c>
      <c r="N99" s="34" cm="1">
        <f t="array" ref="N99">IFERROR((K99-J99)/J99,"–")</f>
        <v>1.0868090452261308</v>
      </c>
      <c r="O99" s="84" cm="1">
        <f t="array" ref="O99">IF(D99=0,0,L99-K99)</f>
        <v>232.35081249999911</v>
      </c>
      <c r="P99" s="50"/>
    </row>
    <row r="100" spans="1:18" ht="22.5" customHeight="1">
      <c r="A100" s="16" t="s">
        <v>347</v>
      </c>
      <c r="B100" s="44" t="s">
        <v>389</v>
      </c>
      <c r="C100" s="80">
        <v>3.8</v>
      </c>
      <c r="D100" s="80">
        <v>3.8</v>
      </c>
      <c r="E100" s="80" cm="1">
        <f t="array" ref="E100">D100-_xlfn.SINGLE(C2:C104)</f>
        <v>0</v>
      </c>
      <c r="F100" s="20" cm="1">
        <f t="array" ref="F100">IF(D100=0,"",(D100-C100)/C100)</f>
        <v>0</v>
      </c>
      <c r="G100" s="21">
        <v>5000</v>
      </c>
      <c r="H100" s="22">
        <v>1</v>
      </c>
      <c r="I100" s="80" cm="1">
        <f t="array" ref="I100">(G100*C100)*0.000425</f>
        <v>8.0749999999999993</v>
      </c>
      <c r="J100" s="80" cm="1">
        <f t="array" ref="J100">(D100*G100)*0.000425</f>
        <v>8.0749999999999993</v>
      </c>
      <c r="K100" s="81" cm="1">
        <f t="array" ref="K100">(I100+J100)*1.05</f>
        <v>16.9575</v>
      </c>
      <c r="L100" s="81" cm="1">
        <f t="array" ref="L100">IF(D100=0,0,(D100-C100)*G100)</f>
        <v>0</v>
      </c>
      <c r="M100" s="46" t="s">
        <v>13</v>
      </c>
      <c r="N100" s="26" cm="1">
        <f t="array" ref="N100">IFERROR((K100-J100)/J100,"–")</f>
        <v>1.1000000000000001</v>
      </c>
      <c r="O100" s="81" cm="1">
        <f t="array" ref="O100">IF(D100=0,0,L100-K100)</f>
        <v>-16.9575</v>
      </c>
      <c r="P100" s="89"/>
    </row>
    <row r="101" spans="1:18" ht="22.5" customHeight="1">
      <c r="A101" s="16" t="s">
        <v>323</v>
      </c>
      <c r="B101" s="14" t="s">
        <v>391</v>
      </c>
      <c r="C101" s="83">
        <v>38.200000000000003</v>
      </c>
      <c r="D101" s="83">
        <v>37.51</v>
      </c>
      <c r="E101" s="83" cm="1">
        <f t="array" ref="E101">D101-_xlfn.SINGLE(C2:C104)</f>
        <v>-0.69000000000000483</v>
      </c>
      <c r="F101" s="31" cm="1">
        <f t="array" ref="F101">IF(D101=0,"",(D101-C101)/C101)</f>
        <v>-1.8062827225131015E-2</v>
      </c>
      <c r="G101" s="32">
        <v>500</v>
      </c>
      <c r="H101" s="10">
        <v>1</v>
      </c>
      <c r="I101" s="83" cm="1">
        <f t="array" ref="I101">(G101*C101)*0.000425</f>
        <v>8.1174999999999997</v>
      </c>
      <c r="J101" s="83" cm="1">
        <f t="array" ref="J101">(D101*G101)*0.000425</f>
        <v>7.9708749999999995</v>
      </c>
      <c r="K101" s="84" cm="1">
        <f t="array" ref="K101">(I101+J101)*1.05</f>
        <v>16.892793749999999</v>
      </c>
      <c r="L101" s="84" cm="1">
        <f t="array" ref="L101">IF(D101=0,0,(D101-C101)*G101)</f>
        <v>-345.00000000000239</v>
      </c>
      <c r="M101" s="45" t="s">
        <v>13</v>
      </c>
      <c r="N101" s="34" cm="1">
        <f t="array" ref="N101">IFERROR((K101-J101)/J101,"–")</f>
        <v>1.1193148493735003</v>
      </c>
      <c r="O101" s="84" cm="1">
        <f t="array" ref="O101">IF(D101=0,0,L101-K101)</f>
        <v>-361.8927937500024</v>
      </c>
      <c r="P101" s="94"/>
    </row>
    <row r="102" spans="1:18" ht="22.5" customHeight="1">
      <c r="A102" s="16" t="s">
        <v>336</v>
      </c>
      <c r="B102" s="44" t="s">
        <v>391</v>
      </c>
      <c r="C102" s="80">
        <v>3.93</v>
      </c>
      <c r="D102" s="80">
        <v>3.9</v>
      </c>
      <c r="E102" s="80" cm="1">
        <f t="array" ref="E102">D102-_xlfn.SINGLE(C2:C104)</f>
        <v>-3.0000000000000249E-2</v>
      </c>
      <c r="F102" s="20" cm="1">
        <f t="array" ref="F102">IF(D102=0,"",(D102-C102)/C102)</f>
        <v>-7.633587786259605E-3</v>
      </c>
      <c r="G102" s="21">
        <v>5000</v>
      </c>
      <c r="H102" s="22">
        <v>1</v>
      </c>
      <c r="I102" s="80" cm="1">
        <f t="array" ref="I102">(G102*C102)*0.000425</f>
        <v>8.3512500000000003</v>
      </c>
      <c r="J102" s="80" cm="1">
        <f t="array" ref="J102">(D102*G102)*0.000425</f>
        <v>8.2874999999999996</v>
      </c>
      <c r="K102" s="81" cm="1">
        <f t="array" ref="K102">(I102+J102)*1.05</f>
        <v>17.470687500000004</v>
      </c>
      <c r="L102" s="81" cm="1">
        <f t="array" ref="L102">IF(D102=0,0,(D102-C102)*G102)</f>
        <v>-150.00000000000125</v>
      </c>
      <c r="M102" s="46" t="s">
        <v>13</v>
      </c>
      <c r="N102" s="26" cm="1">
        <f t="array" ref="N102">IFERROR((K102-J102)/J102,"–")</f>
        <v>1.1080769230769236</v>
      </c>
      <c r="O102" s="81" cm="1">
        <f t="array" ref="O102">IF(D102=0,0,L102-K102)</f>
        <v>-167.47068750000125</v>
      </c>
      <c r="P102" s="51"/>
    </row>
    <row r="103" spans="1:18" ht="22.7" customHeight="1">
      <c r="A103" s="59"/>
      <c r="B103" s="60"/>
      <c r="C103" s="96"/>
      <c r="D103" s="96"/>
      <c r="E103" s="96" cm="1">
        <f t="array" ref="E103">D103-_xlfn.SINGLE(C2:C104)</f>
        <v>0</v>
      </c>
      <c r="F103" s="60" t="str" cm="1">
        <f t="array" ref="F103">IF(D103=0,"",(D103-C103)/C103)</f>
        <v/>
      </c>
      <c r="G103" s="60"/>
      <c r="H103" s="63">
        <v>1</v>
      </c>
      <c r="I103" s="96" cm="1">
        <f t="array" ref="I103">(G103*C103)*0.000425</f>
        <v>0</v>
      </c>
      <c r="J103" s="96" cm="1">
        <f t="array" ref="J103">(D103*G103)*0.000425</f>
        <v>0</v>
      </c>
      <c r="K103" s="97" cm="1">
        <f t="array" ref="K103">(I103+J103)*1.05</f>
        <v>0</v>
      </c>
      <c r="L103" s="97" cm="1">
        <f t="array" ref="L103">IF(D103=0,0,(D103-C103)*G103)</f>
        <v>0</v>
      </c>
      <c r="M103" s="65" t="s">
        <v>13</v>
      </c>
      <c r="N103" s="66" t="str" cm="1">
        <f t="array" ref="N103">IFERROR((K103-J103)/J103,"–")</f>
        <v>–</v>
      </c>
      <c r="O103" s="97" cm="1">
        <f t="array" ref="O103">IF(D103=0,0,L103-K103)</f>
        <v>0</v>
      </c>
      <c r="P103" s="98" cm="1">
        <f t="array" ref="P103">SUM(O89:O102)</f>
        <v>-113.47962897500605</v>
      </c>
    </row>
    <row r="104" spans="1:18" ht="22.9" customHeight="1">
      <c r="A104" s="69" t="s">
        <v>313</v>
      </c>
      <c r="B104" s="99"/>
      <c r="C104" s="72"/>
      <c r="D104" s="72"/>
      <c r="E104" s="72"/>
      <c r="F104" s="72"/>
      <c r="G104" s="72"/>
      <c r="H104" s="73"/>
      <c r="I104" s="72"/>
      <c r="J104" s="100"/>
      <c r="K104" s="101" cm="1">
        <f t="array" ref="K104">SUM(K3:K102)</f>
        <v>1102.2717462749997</v>
      </c>
      <c r="L104" s="101" cm="1">
        <f t="array" ref="L104">SUM(L3:L102)</f>
        <v>-2868.7100000000228</v>
      </c>
      <c r="M104" s="102" cm="1">
        <f t="array" ref="M104">SUM(M3:M103)</f>
        <v>0</v>
      </c>
      <c r="N104" s="76" t="e" cm="1">
        <f t="array" ref="N104">(K104-J104)/J104</f>
        <v>#DIV/0!</v>
      </c>
      <c r="O104" s="101" cm="1">
        <f t="array" ref="O104">SUM(O3:O102)</f>
        <v>-3970.9817462750202</v>
      </c>
      <c r="P104" s="103" cm="1">
        <f t="array" ref="P104">SUM(P3:P103)</f>
        <v>-2496.9074837750227</v>
      </c>
    </row>
    <row r="106" spans="1:18" ht="30" customHeight="1">
      <c r="Q106" s="123" t="s">
        <v>392</v>
      </c>
      <c r="R106" s="123"/>
    </row>
    <row r="107" spans="1:18" ht="22.7" customHeight="1">
      <c r="Q107" s="2" t="s">
        <v>393</v>
      </c>
      <c r="R107" s="6" t="s">
        <v>394</v>
      </c>
    </row>
    <row r="108" spans="1:18" ht="22.5" customHeight="1">
      <c r="Q108" s="104">
        <v>44138</v>
      </c>
      <c r="R108" s="93">
        <v>4350</v>
      </c>
    </row>
    <row r="109" spans="1:18" ht="22.5" customHeight="1">
      <c r="Q109" s="104">
        <v>44144</v>
      </c>
      <c r="R109" s="105">
        <v>9620</v>
      </c>
    </row>
    <row r="110" spans="1:18" ht="22.5" customHeight="1">
      <c r="Q110" s="104">
        <v>44145</v>
      </c>
      <c r="R110" s="93">
        <v>6190</v>
      </c>
    </row>
    <row r="111" spans="1:18" ht="22.5" customHeight="1">
      <c r="Q111" s="106">
        <v>44166</v>
      </c>
      <c r="R111" s="105">
        <v>3000</v>
      </c>
    </row>
    <row r="112" spans="1:18" ht="22.5" customHeight="1">
      <c r="Q112" s="104">
        <v>44183</v>
      </c>
      <c r="R112" s="93">
        <v>4000</v>
      </c>
    </row>
    <row r="113" spans="17:22" ht="22.5" customHeight="1">
      <c r="Q113" s="106">
        <v>44229</v>
      </c>
      <c r="R113" s="105">
        <v>6200</v>
      </c>
    </row>
    <row r="114" spans="17:22" ht="22.5" customHeight="1">
      <c r="Q114" s="7"/>
      <c r="R114" s="50"/>
    </row>
    <row r="115" spans="17:22" ht="22.5" customHeight="1">
      <c r="Q115" s="7"/>
      <c r="R115" s="105"/>
    </row>
    <row r="116" spans="17:22" ht="22.5" customHeight="1">
      <c r="Q116" s="7"/>
      <c r="R116" s="93"/>
    </row>
    <row r="117" spans="17:22" ht="22.5" customHeight="1">
      <c r="Q117" s="7"/>
      <c r="R117" s="105"/>
    </row>
    <row r="118" spans="17:22" ht="22.5" customHeight="1">
      <c r="Q118" s="7"/>
      <c r="R118" s="93"/>
    </row>
    <row r="119" spans="17:22" ht="22.7" customHeight="1">
      <c r="Q119" s="107"/>
      <c r="R119" s="108"/>
    </row>
    <row r="121" spans="17:22" ht="22.7" customHeight="1">
      <c r="S121" s="109" t="s">
        <v>395</v>
      </c>
      <c r="T121" s="110" t="s">
        <v>393</v>
      </c>
      <c r="U121" s="110" t="s">
        <v>396</v>
      </c>
      <c r="V121" s="111" t="s">
        <v>397</v>
      </c>
    </row>
    <row r="122" spans="17:22" ht="22.5" customHeight="1">
      <c r="S122" s="112" cm="1">
        <f t="array" ref="S122">20160+P41-5000</f>
        <v>16281.899167449996</v>
      </c>
      <c r="T122" s="90" t="s">
        <v>398</v>
      </c>
      <c r="U122" s="90" t="s">
        <v>399</v>
      </c>
      <c r="V122" s="113" t="s">
        <v>399</v>
      </c>
    </row>
    <row r="123" spans="17:22" ht="22.5" customHeight="1">
      <c r="S123" s="114" cm="1">
        <f t="array" ref="S123">S122+R111+P87+39+R112</f>
        <v>18978.706336949985</v>
      </c>
      <c r="T123" s="115" t="s">
        <v>400</v>
      </c>
      <c r="U123" s="87" cm="1">
        <f t="array" ref="U123">IF(S123=0,"",(S123-S122))</f>
        <v>2696.807169499989</v>
      </c>
      <c r="V123" s="116" cm="1">
        <f t="array" ref="V123">IF(S123=0,"",(U123/S123))</f>
        <v>0.14209646967609835</v>
      </c>
    </row>
    <row r="124" spans="17:22" ht="22.5" customHeight="1">
      <c r="S124" s="112"/>
      <c r="T124" s="90" t="s">
        <v>401</v>
      </c>
      <c r="U124" s="45" t="str" cm="1">
        <f t="array" ref="U124">IF(S124=0,"",(S124-S123))</f>
        <v/>
      </c>
      <c r="V124" s="117" t="str" cm="1">
        <f t="array" ref="V124">IF(S124=0,"",(U124/S124))</f>
        <v/>
      </c>
    </row>
    <row r="125" spans="17:22" ht="22.5" customHeight="1">
      <c r="S125" s="114"/>
      <c r="T125" s="115" t="s">
        <v>402</v>
      </c>
      <c r="U125" s="46" t="str" cm="1">
        <f t="array" ref="U125">IF(S125=0,"",(S125-S124))</f>
        <v/>
      </c>
      <c r="V125" s="118" t="str" cm="1">
        <f t="array" ref="V125">IF(S125=0,"",(U125/S125))</f>
        <v/>
      </c>
    </row>
    <row r="126" spans="17:22" ht="22.5" customHeight="1">
      <c r="S126" s="112"/>
      <c r="T126" s="90" t="s">
        <v>403</v>
      </c>
      <c r="U126" s="45" t="str" cm="1">
        <f t="array" ref="U126">IF(S126=0,"",(S126-S125))</f>
        <v/>
      </c>
      <c r="V126" s="117" t="str" cm="1">
        <f t="array" ref="V126">IF(S126=0,"",(U126/S126))</f>
        <v/>
      </c>
    </row>
    <row r="127" spans="17:22" ht="22.5" customHeight="1">
      <c r="S127" s="114"/>
      <c r="T127" s="115" t="s">
        <v>404</v>
      </c>
      <c r="U127" s="46" t="str" cm="1">
        <f t="array" ref="U127">IF(S127=0,"",(S127-S126))</f>
        <v/>
      </c>
      <c r="V127" s="118" t="str" cm="1">
        <f t="array" ref="V127">IF(S127=0,"",(U127/S127))</f>
        <v/>
      </c>
    </row>
    <row r="128" spans="17:22" ht="22.5" customHeight="1">
      <c r="S128" s="112"/>
      <c r="T128" s="90" t="s">
        <v>405</v>
      </c>
      <c r="U128" s="45" t="str" cm="1">
        <f t="array" ref="U128">IF(S128=0,"",(S128-S127))</f>
        <v/>
      </c>
      <c r="V128" s="117" t="str" cm="1">
        <f t="array" ref="V128">IF(S128=0,"",(U128/S128))</f>
        <v/>
      </c>
    </row>
    <row r="129" spans="19:24" ht="22.5" customHeight="1">
      <c r="S129" s="114"/>
      <c r="T129" s="115" t="s">
        <v>406</v>
      </c>
      <c r="U129" s="46" t="str" cm="1">
        <f t="array" ref="U129">IF(S129=0,"",(S129-S128))</f>
        <v/>
      </c>
      <c r="V129" s="118" t="str" cm="1">
        <f t="array" ref="V129">IF(S129=0,"",(U129/S129))</f>
        <v/>
      </c>
    </row>
    <row r="130" spans="19:24" ht="22.5" customHeight="1">
      <c r="S130" s="112"/>
      <c r="T130" s="90" t="s">
        <v>407</v>
      </c>
      <c r="U130" s="45" t="str" cm="1">
        <f t="array" ref="U130">IF(S130=0,"",(S130-S129))</f>
        <v/>
      </c>
      <c r="V130" s="117" t="str" cm="1">
        <f t="array" ref="V130">IF(S130=0,"",(U130/S130))</f>
        <v/>
      </c>
    </row>
    <row r="131" spans="19:24" ht="22.5" customHeight="1">
      <c r="S131" s="114"/>
      <c r="T131" s="115" t="s">
        <v>408</v>
      </c>
      <c r="U131" s="46" t="str" cm="1">
        <f t="array" ref="U131">IF(S131=0,"",(S131-S130))</f>
        <v/>
      </c>
      <c r="V131" s="118" t="str" cm="1">
        <f t="array" ref="V131">IF(S131=0,"",(U131/S131))</f>
        <v/>
      </c>
    </row>
    <row r="132" spans="19:24" ht="22.5" customHeight="1">
      <c r="S132" s="112"/>
      <c r="T132" s="90" t="s">
        <v>409</v>
      </c>
      <c r="U132" s="45" t="str" cm="1">
        <f t="array" ref="U132">IF(S132=0,"",(S132-S131))</f>
        <v/>
      </c>
      <c r="V132" s="117" t="str" cm="1">
        <f t="array" ref="V132">IF(S132=0,"",(U132/S132))</f>
        <v/>
      </c>
    </row>
    <row r="133" spans="19:24" ht="22.7" customHeight="1">
      <c r="S133" s="119"/>
      <c r="T133" s="120" t="s">
        <v>410</v>
      </c>
      <c r="U133" s="121" t="str" cm="1">
        <f t="array" ref="U133">IF(S133=0,"",(S133-S132))</f>
        <v/>
      </c>
      <c r="V133" s="122" t="str" cm="1">
        <f t="array" ref="V133">IF(S133=0,"",(U133/S133))</f>
        <v/>
      </c>
    </row>
    <row r="135" spans="19:24" ht="39.6" customHeight="1">
      <c r="W135" s="78"/>
    </row>
    <row r="137" spans="19:24" ht="39.6" customHeight="1">
      <c r="X137" s="78"/>
    </row>
  </sheetData>
  <mergeCells count="1">
    <mergeCell ref="Q106:R106"/>
  </mergeCells>
  <pageMargins left="0.41666700000000001" right="0.41666700000000001" top="0.25" bottom="0.25" header="0.25" footer="0.25"/>
  <pageSetup orientation="landscape"/>
  <headerFooter>
    <oddFooter>&amp;C&amp;"Avenir Next Regular,Regular"&amp;12&amp;K000000&amp;P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Yatırım Dökümü </vt:lpstr>
      <vt:lpstr>Yatırım Dökümü Hisse Senedi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Tulum, Mehmet Oguz</cp:lastModifiedBy>
  <dcterms:created xsi:type="dcterms:W3CDTF">2026-09-02T19:55:48Z</dcterms:created>
  <dcterms:modified xsi:type="dcterms:W3CDTF">2026-09-02T20:05:09Z</dcterms:modified>
</cp:coreProperties>
</file>